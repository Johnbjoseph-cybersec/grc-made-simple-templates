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ashboard" sheetId="2" state="visible" r:id="rId4"/>
    <sheet name="AI Inventory" sheetId="3" state="visible" r:id="rId5"/>
    <sheet name="Risk Register" sheetId="4" state="visible" r:id="rId6"/>
    <sheet name="Scoring Guide" sheetId="5" state="visible" r:id="rId7"/>
    <sheet name="Heat Map" sheetId="6" state="visible" r:id="rId8"/>
    <sheet name="Sources" sheetId="7" state="visible" r:id="rId9"/>
    <sheet name="Lists" sheetId="8" state="visible" r:id="rId10"/>
  </sheets>
  <definedNames>
    <definedName function="false" hidden="false" localSheetId="2" name="_xlnm.Print_Titles" vbProcedure="false">'AI Inventory'!$5:$5</definedName>
    <definedName function="false" hidden="true" localSheetId="2" name="_xlnm._FilterDatabase" vbProcedure="false">'AI Inventory'!$A$5:$Z$155</definedName>
    <definedName function="false" hidden="false" localSheetId="3" name="_xlnm.Print_Titles" vbProcedure="false">'Risk Register'!$5:$5</definedName>
    <definedName function="false" hidden="true" localSheetId="3" name="_xlnm._FilterDatabase" vbProcedure="false">'Risk Register'!$A$5:$X$155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<sst xmlns="http://schemas.openxmlformats.org/spreadsheetml/2006/main" count="274" uniqueCount="228">
  <si>
    <t xml:space="preserve">AI System Inventory &amp; Risk Register</t>
  </si>
  <si>
    <t xml:space="preserve">By John Bommeraveni Joseph  |  linkedin.com/in/john-bj  |  Free every weekday: GRC Made Simple Daily</t>
  </si>
  <si>
    <t xml:space="preserve">What this is</t>
  </si>
  <si>
    <t xml:space="preserve">A working register for every AI system your organisation builds, buys or uses: what it is, who owns it, what data it touches, what it is allowed to do, how the EU AI Act classifies it, and the risks you are treating. Built for ISO/IEC 42001 programmes, EU AI Act readiness and internal audit.</t>
  </si>
  <si>
    <t xml:space="preserve">How to use it (about 2 hours for a first pass)</t>
  </si>
  <si>
    <t xml:space="preserve">1. AI Inventory: one row per AI system. Start with what touches customers or personal data. Include AI features that arrived inside existing SaaS tools and the personal accounts people use (shadow AI).</t>
  </si>
  <si>
    <t xml:space="preserve">2. Fill the yellow cells using the drop-downs. Grey cells are formulas - do not type in them.</t>
  </si>
  <si>
    <t xml:space="preserve">3. Read the Flags column: it warns you about missing impact assessments, unclassified systems and the 'lethal trifecta' (private data + untrusted input + ability to act externally).</t>
  </si>
  <si>
    <t xml:space="preserve">4. Risk Register: write each risk as cause, event and consequence; score likelihood and impact 1-5 using the Scoring Guide; record the treatment, owner and due date.</t>
  </si>
  <si>
    <t xml:space="preserve">5. Dashboard: the summary for your risk committee or board. Heat Map shows where your risks sit.</t>
  </si>
  <si>
    <t xml:space="preserve">6. Review every system at least every 6 months, and whenever its provider, model, data or purpose changes.</t>
  </si>
  <si>
    <t xml:space="preserve">Legend</t>
  </si>
  <si>
    <t xml:space="preserve">Yellow cell = your input.   Grey cell = calculated.   Row 6 on each register is a worked example - overwrite or delete it.</t>
  </si>
  <si>
    <t xml:space="preserve">Important</t>
  </si>
  <si>
    <t xml:space="preserve">This template supports, and does not replace, legal advice or the text of the regulation and standards. EU AI Act references follow Regulation (EU) 2024/1689 as amended; check the current consolidated text and the dates that apply to you. ISO/IEC 42001 Annex A is referenced by section title only; use your licensed copy of the standard for the control text. Sources are on the Sources tab.</t>
  </si>
  <si>
    <t xml:space="preserve">Version 1.0 - 27 October 2026.   Free to use and share with this credit kept.</t>
  </si>
  <si>
    <t xml:space="preserve">AI Governance Dashboard</t>
  </si>
  <si>
    <t xml:space="preserve">Measure</t>
  </si>
  <si>
    <t xml:space="preserve">Count</t>
  </si>
  <si>
    <t xml:space="preserve">AI systems in the inventory</t>
  </si>
  <si>
    <t xml:space="preserve">...in production</t>
  </si>
  <si>
    <t xml:space="preserve">...processing personal data</t>
  </si>
  <si>
    <t xml:space="preserve">...that decide automatically</t>
  </si>
  <si>
    <t xml:space="preserve">Prohibited practices found (must stop)</t>
  </si>
  <si>
    <t xml:space="preserve">High-risk systems (Annex I or Annex III)</t>
  </si>
  <si>
    <t xml:space="preserve">Systems with transparency obligations</t>
  </si>
  <si>
    <t xml:space="preserve">Not yet classified under the AI Act</t>
  </si>
  <si>
    <t xml:space="preserve">Impact assessments outstanding</t>
  </si>
  <si>
    <t xml:space="preserve">Lethal trifecta systems (data + untrusted input + external action)</t>
  </si>
  <si>
    <t xml:space="preserve">Production systems without full logging</t>
  </si>
  <si>
    <t xml:space="preserve">Reviews overdue</t>
  </si>
  <si>
    <t xml:space="preserve">Open risks rated High (inherent)</t>
  </si>
  <si>
    <t xml:space="preserve">Open risks rated High (residual)</t>
  </si>
  <si>
    <t xml:space="preserve">Treatments overdue</t>
  </si>
  <si>
    <t xml:space="preserve">Risks accepted (check sign-off is recorded)</t>
  </si>
  <si>
    <t xml:space="preserve">Red = needs action. The worked examples on rows 6 of each register are counted until you delete them.</t>
  </si>
  <si>
    <t xml:space="preserve">AI Inventory</t>
  </si>
  <si>
    <t xml:space="preserve">ID</t>
  </si>
  <si>
    <t xml:space="preserve">AI system name</t>
  </si>
  <si>
    <t xml:space="preserve">Business owner</t>
  </si>
  <si>
    <t xml:space="preserve">Technical owner</t>
  </si>
  <si>
    <t xml:space="preserve">Business purpose</t>
  </si>
  <si>
    <t xml:space="preserve">Users and affected people</t>
  </si>
  <si>
    <t xml:space="preserve">AI type</t>
  </si>
  <si>
    <t xml:space="preserve">How it is built or bought</t>
  </si>
  <si>
    <t xml:space="preserve">Provider / model</t>
  </si>
  <si>
    <t xml:space="preserve">Status</t>
  </si>
  <si>
    <t xml:space="preserve">Personal data processed?</t>
  </si>
  <si>
    <t xml:space="preserve">Special-category data?</t>
  </si>
  <si>
    <t xml:space="preserve">Decides or advises?</t>
  </si>
  <si>
    <t xml:space="preserve">Tools / actions it can take</t>
  </si>
  <si>
    <t xml:space="preserve">Can it act externally (send, write, execute)?</t>
  </si>
  <si>
    <t xml:space="preserve">Reads untrusted content (web, email, documents, tickets)?</t>
  </si>
  <si>
    <t xml:space="preserve">EU AI Act role</t>
  </si>
  <si>
    <t xml:space="preserve">EU AI Act classification</t>
  </si>
  <si>
    <t xml:space="preserve">Annex III area (if high-risk)</t>
  </si>
  <si>
    <t xml:space="preserve">Impact assessment done (ISO/IEC 42001 A.5)</t>
  </si>
  <si>
    <t xml:space="preserve">Human oversight defined?</t>
  </si>
  <si>
    <t xml:space="preserve">Logging of inputs, actions and outputs?</t>
  </si>
  <si>
    <t xml:space="preserve">Last reviewed</t>
  </si>
  <si>
    <t xml:space="preserve">Next review due</t>
  </si>
  <si>
    <t xml:space="preserve">Highest open inherent risk score</t>
  </si>
  <si>
    <t xml:space="preserve">Flags</t>
  </si>
  <si>
    <t xml:space="preserve">AI-001</t>
  </si>
  <si>
    <t xml:space="preserve">Customer support assistant</t>
  </si>
  <si>
    <t xml:space="preserve">Head of Customer Service</t>
  </si>
  <si>
    <t xml:space="preserve">Platform Engineering Lead</t>
  </si>
  <si>
    <t xml:space="preserve">Drafts replies to customer emails and looks up order status</t>
  </si>
  <si>
    <t xml:space="preserve">Support agents; customers</t>
  </si>
  <si>
    <t xml:space="preserve">AI agent with tools</t>
  </si>
  <si>
    <t xml:space="preserve">Vendor model API</t>
  </si>
  <si>
    <t xml:space="preserve">Example: hosted LLM API</t>
  </si>
  <si>
    <t xml:space="preserve">Production</t>
  </si>
  <si>
    <t xml:space="preserve">Yes</t>
  </si>
  <si>
    <t xml:space="preserve">No</t>
  </si>
  <si>
    <t xml:space="preserve">Advises a human who decides</t>
  </si>
  <si>
    <t xml:space="preserve">Reads order system; drafts email replies</t>
  </si>
  <si>
    <t xml:space="preserve">Deployer</t>
  </si>
  <si>
    <t xml:space="preserve">Transparency obligations (Art. 50)</t>
  </si>
  <si>
    <t xml:space="preserve">Not applicable</t>
  </si>
  <si>
    <t xml:space="preserve">In progress</t>
  </si>
  <si>
    <t xml:space="preserve">Partly</t>
  </si>
  <si>
    <t xml:space="preserve">AI Risk Register</t>
  </si>
  <si>
    <t xml:space="preserve">Risk ID</t>
  </si>
  <si>
    <t xml:space="preserve">AI system ID</t>
  </si>
  <si>
    <t xml:space="preserve">Risk category</t>
  </si>
  <si>
    <t xml:space="preserve">Cause (because...)</t>
  </si>
  <si>
    <t xml:space="preserve">Event (...this could happen...)</t>
  </si>
  <si>
    <t xml:space="preserve">Consequence (...resulting in)</t>
  </si>
  <si>
    <t xml:space="preserve">Likelihood 1-5</t>
  </si>
  <si>
    <t xml:space="preserve">Impact 1-5</t>
  </si>
  <si>
    <t xml:space="preserve">Inherent score</t>
  </si>
  <si>
    <t xml:space="preserve">Inherent rating</t>
  </si>
  <si>
    <t xml:space="preserve">Existing controls</t>
  </si>
  <si>
    <t xml:space="preserve">ISO/IEC 42001 Annex A area</t>
  </si>
  <si>
    <t xml:space="preserve">Residual likelihood 1-5</t>
  </si>
  <si>
    <t xml:space="preserve">Residual impact 1-5</t>
  </si>
  <si>
    <t xml:space="preserve">Residual score</t>
  </si>
  <si>
    <t xml:space="preserve">Residual rating</t>
  </si>
  <si>
    <t xml:space="preserve">Treatment</t>
  </si>
  <si>
    <t xml:space="preserve">Treatment action</t>
  </si>
  <si>
    <t xml:space="preserve">Owner</t>
  </si>
  <si>
    <t xml:space="preserve">Due date</t>
  </si>
  <si>
    <t xml:space="preserve">If accepted: accepted by and date</t>
  </si>
  <si>
    <t xml:space="preserve">Overdue?</t>
  </si>
  <si>
    <t xml:space="preserve">R-001</t>
  </si>
  <si>
    <t xml:space="preserve">Security - prompt injection</t>
  </si>
  <si>
    <t xml:space="preserve">Because the assistant reads customer emails and can look up orders</t>
  </si>
  <si>
    <t xml:space="preserve">a hidden instruction in an incoming email could make it reveal another customer's order details</t>
  </si>
  <si>
    <t xml:space="preserve">resulting in a personal data breach and a notifiable incident</t>
  </si>
  <si>
    <t xml:space="preserve">3</t>
  </si>
  <si>
    <t xml:space="preserve">5</t>
  </si>
  <si>
    <t xml:space="preserve">Order lookups limited to the sender's verified account; replies reviewed by an agent before sending</t>
  </si>
  <si>
    <t xml:space="preserve">A.9 Use of AI systems</t>
  </si>
  <si>
    <t xml:space="preserve">2</t>
  </si>
  <si>
    <t xml:space="preserve">4</t>
  </si>
  <si>
    <t xml:space="preserve">Mitigate</t>
  </si>
  <si>
    <t xml:space="preserve">Add output filter that blocks other customers' identifiers; red-team test before next release</t>
  </si>
  <si>
    <t xml:space="preserve">Scoring Guide</t>
  </si>
  <si>
    <t xml:space="preserve">Score</t>
  </si>
  <si>
    <t xml:space="preserve">Likelihood (over the next 12 months)</t>
  </si>
  <si>
    <t xml:space="preserve">Impact (worst credible outcome)</t>
  </si>
  <si>
    <t xml:space="preserve">Almost certain: expected to happen, or already seen here</t>
  </si>
  <si>
    <t xml:space="preserve">Severe: regulatory action, major breach of personal data, harm to people, or loss a board must report</t>
  </si>
  <si>
    <t xml:space="preserve">Likely: has happened at comparable organisations; weak or no controls</t>
  </si>
  <si>
    <t xml:space="preserve">Major: notifiable incident, significant customer impact, material financial loss</t>
  </si>
  <si>
    <t xml:space="preserve">Possible: plausible with current exposure and partial controls</t>
  </si>
  <si>
    <t xml:space="preserve">Moderate: contained incident, limited customer impact, internal escalation</t>
  </si>
  <si>
    <t xml:space="preserve">Unlikely: requires several controls to fail</t>
  </si>
  <si>
    <t xml:space="preserve">Minor: small, quickly corrected impact; no external reporting</t>
  </si>
  <si>
    <t xml:space="preserve">1</t>
  </si>
  <si>
    <t xml:space="preserve">Rare: no known path with current controls</t>
  </si>
  <si>
    <t xml:space="preserve">Negligible: no meaningful effect</t>
  </si>
  <si>
    <t xml:space="preserve">Rating = Likelihood x Impact.   15-25 High (treat now, report to risk committee)   8-14 Medium (treat within plan)   1-7 Low (monitor).</t>
  </si>
  <si>
    <t xml:space="preserve">These scales are a starting point. Align them with your enterprise risk methodology before first use and record that decision.</t>
  </si>
  <si>
    <t xml:space="preserve">Risk Heat Map (open inherent risks)</t>
  </si>
  <si>
    <t xml:space="preserve">Impact →  /  Likelihood ↓</t>
  </si>
  <si>
    <t xml:space="preserve">Each cell counts open risks (status not Done) at that likelihood and impact on the Risk Register.</t>
  </si>
  <si>
    <t xml:space="preserve">Sources and further reading</t>
  </si>
  <si>
    <t xml:space="preserve">Source</t>
  </si>
  <si>
    <t xml:space="preserve">Link</t>
  </si>
  <si>
    <t xml:space="preserve">Regulation (EU) 2024/1689 (Artificial Intelligence Act) - Art. 5 prohibited practices, Art. 6 and Annexes I and III high-risk classification, Art. 25 when a deployer becomes a provider, Art. 26 deployer obligations, Art. 50 transparency</t>
  </si>
  <si>
    <t xml:space="preserve">https://eur-lex.europa.eu/eli/reg/2024/1689/oj</t>
  </si>
  <si>
    <t xml:space="preserve">European Commission - AI Act standardisation (harmonised standards, including EN 18286 quality management)</t>
  </si>
  <si>
    <t xml:space="preserve">https://digital-strategy.ec.europa.eu/en/policies/ai-act-standardisation</t>
  </si>
  <si>
    <t xml:space="preserve">ISO/IEC 42001:2023 Artificial intelligence - Management system (Annex A referenced by section title only)</t>
  </si>
  <si>
    <t xml:space="preserve">https://www.iso.org/standard/81230.html</t>
  </si>
  <si>
    <t xml:space="preserve">NIST AI Risk Management Framework 1.0 (Govern, Map, Measure, Manage)</t>
  </si>
  <si>
    <t xml:space="preserve">https://www.nist.gov/itl/ai-risk-management-framework</t>
  </si>
  <si>
    <t xml:space="preserve">OWASP Top 10 for Large Language Model Applications</t>
  </si>
  <si>
    <t xml:space="preserve">https://genai.owasp.org/llm-top-10/</t>
  </si>
  <si>
    <t xml:space="preserve">Simon Willison - 'The lethal trifecta for AI agents'</t>
  </si>
  <si>
    <t xml:space="preserve">https://simonwillison.net/2025/Jun/16/the-lethal-trifecta/</t>
  </si>
  <si>
    <t xml:space="preserve">Template by John Bommeraveni Joseph - ISO/IEC 27001, 42001 and 27701 Lead Auditor. Follow on LinkedIn for the free weekday newsletter GRC Made Simple Daily: linkedin.com/in/john-bj</t>
  </si>
  <si>
    <t xml:space="preserve">Lists (drop-down values)</t>
  </si>
  <si>
    <t xml:space="preserve">YesNo</t>
  </si>
  <si>
    <t xml:space="preserve">YesNoPartial</t>
  </si>
  <si>
    <t xml:space="preserve">AIType</t>
  </si>
  <si>
    <t xml:space="preserve">Build</t>
  </si>
  <si>
    <t xml:space="preserve">DecisionMode</t>
  </si>
  <si>
    <t xml:space="preserve">AIActRole</t>
  </si>
  <si>
    <t xml:space="preserve">AIActClass</t>
  </si>
  <si>
    <t xml:space="preserve">AnnexIII</t>
  </si>
  <si>
    <t xml:space="preserve">Assessed</t>
  </si>
  <si>
    <t xml:space="preserve">RiskCat</t>
  </si>
  <si>
    <t xml:space="preserve">AnnexA</t>
  </si>
  <si>
    <t xml:space="preserve">Scale</t>
  </si>
  <si>
    <t xml:space="preserve">TStatus</t>
  </si>
  <si>
    <t xml:space="preserve">Generative (text/image/code)</t>
  </si>
  <si>
    <t xml:space="preserve">Built in-house</t>
  </si>
  <si>
    <t xml:space="preserve">Idea</t>
  </si>
  <si>
    <t xml:space="preserve">Decides automatically</t>
  </si>
  <si>
    <t xml:space="preserve">Provider</t>
  </si>
  <si>
    <t xml:space="preserve">Prohibited practice (Art. 5) - stop</t>
  </si>
  <si>
    <t xml:space="preserve">A.2 Policies related to AI</t>
  </si>
  <si>
    <t xml:space="preserve">Not started</t>
  </si>
  <si>
    <t xml:space="preserve">Predictive / scoring</t>
  </si>
  <si>
    <t xml:space="preserve">Vendor product</t>
  </si>
  <si>
    <t xml:space="preserve">Pilot</t>
  </si>
  <si>
    <t xml:space="preserve">High-risk - Annex III (Art. 6(2))</t>
  </si>
  <si>
    <t xml:space="preserve">1. Biometrics</t>
  </si>
  <si>
    <t xml:space="preserve">Security - data poisoning</t>
  </si>
  <si>
    <t xml:space="preserve">A.3 Internal organization</t>
  </si>
  <si>
    <t xml:space="preserve">Accept</t>
  </si>
  <si>
    <t xml:space="preserve">Classification</t>
  </si>
  <si>
    <t xml:space="preserve">Informational only</t>
  </si>
  <si>
    <t xml:space="preserve">Importer</t>
  </si>
  <si>
    <t xml:space="preserve">High-risk - Annex I product (Art. 6(1))</t>
  </si>
  <si>
    <t xml:space="preserve">2. Critical infrastructure</t>
  </si>
  <si>
    <t xml:space="preserve">Security - model / supply chain</t>
  </si>
  <si>
    <t xml:space="preserve">A.4 Resources for AI systems</t>
  </si>
  <si>
    <t xml:space="preserve">Transfer</t>
  </si>
  <si>
    <t xml:space="preserve">Done</t>
  </si>
  <si>
    <t xml:space="preserve">Recommender</t>
  </si>
  <si>
    <t xml:space="preserve">Open-source model (self-hosted)</t>
  </si>
  <si>
    <t xml:space="preserve">Retired</t>
  </si>
  <si>
    <t xml:space="preserve">Distributor</t>
  </si>
  <si>
    <t xml:space="preserve">3. Education and vocational training</t>
  </si>
  <si>
    <t xml:space="preserve">Security - excessive agency (tools &amp; actions)</t>
  </si>
  <si>
    <t xml:space="preserve">A.5 Assessing impacts of AI systems</t>
  </si>
  <si>
    <t xml:space="preserve">Avoid</t>
  </si>
  <si>
    <t xml:space="preserve">Blocked</t>
  </si>
  <si>
    <t xml:space="preserve">AI feature inside existing SaaS</t>
  </si>
  <si>
    <t xml:space="preserve">Authorised representative</t>
  </si>
  <si>
    <t xml:space="preserve">Minimal risk</t>
  </si>
  <si>
    <t xml:space="preserve">4. Employment, workers management and access to self-employment</t>
  </si>
  <si>
    <t xml:space="preserve">Privacy - personal data exposure</t>
  </si>
  <si>
    <t xml:space="preserve">A.6 AI system life cycle</t>
  </si>
  <si>
    <t xml:space="preserve">Computer vision</t>
  </si>
  <si>
    <t xml:space="preserve">Personal account / shadow AI</t>
  </si>
  <si>
    <t xml:space="preserve">Product manufacturer</t>
  </si>
  <si>
    <t xml:space="preserve">To assess</t>
  </si>
  <si>
    <t xml:space="preserve">5. Access to essential private services and essential public services and benefits</t>
  </si>
  <si>
    <t xml:space="preserve">Fairness - bias and discrimination</t>
  </si>
  <si>
    <t xml:space="preserve">A.7 Data for AI systems</t>
  </si>
  <si>
    <t xml:space="preserve">Speech</t>
  </si>
  <si>
    <t xml:space="preserve">Not in scope</t>
  </si>
  <si>
    <t xml:space="preserve">6. Law enforcement</t>
  </si>
  <si>
    <t xml:space="preserve">Reliability - wrong or invented output</t>
  </si>
  <si>
    <t xml:space="preserve">A.8 Information for interested parties of AI systems</t>
  </si>
  <si>
    <t xml:space="preserve">Other</t>
  </si>
  <si>
    <t xml:space="preserve">7. Migration, asylum and border control management</t>
  </si>
  <si>
    <t xml:space="preserve">Transparency - users not informed</t>
  </si>
  <si>
    <t xml:space="preserve">8. Administration of justice and democratic processes</t>
  </si>
  <si>
    <t xml:space="preserve">Legal and regulatory</t>
  </si>
  <si>
    <t xml:space="preserve">A.10 Third-party and customer relationships</t>
  </si>
  <si>
    <t xml:space="preserve">Third party / provider change</t>
  </si>
  <si>
    <t xml:space="preserve">Accountability - no owner or oversight</t>
  </si>
</sst>
</file>

<file path=xl/styles.xml><?xml version="1.0" encoding="utf-8"?>
<styleSheet xmlns="http://schemas.openxmlformats.org/spreadsheetml/2006/main">
  <numFmts count="2">
    <numFmt numFmtId="164" formatCode="General"/>
    <numFmt numFmtId="165" formatCode="dd\ mmm\ yyyy"/>
  </numFmts>
  <fonts count="17">
    <font>
      <sz val="11"/>
      <color theme="1"/>
      <name val="Calibri"/>
      <family val="2"/>
      <charset val="1"/>
    </font>
    <font>
      <sz val="10"/>
      <name val="Arial"/>
      <family val="0"/>
    </font>
    <font>
      <sz val="10"/>
      <name val="Arial"/>
      <family val="0"/>
    </font>
    <font>
      <sz val="10"/>
      <name val="Arial"/>
      <family val="0"/>
    </font>
    <font>
      <b val="true"/>
      <sz val="16"/>
      <color rgb="FF16213A"/>
      <name val="Arial"/>
      <family val="0"/>
      <charset val="1"/>
    </font>
    <font>
      <sz val="9"/>
      <color rgb="FF6B7280"/>
      <name val="Arial"/>
      <family val="0"/>
      <charset val="1"/>
    </font>
    <font>
      <b val="true"/>
      <sz val="12"/>
      <color rgb="FF16213A"/>
      <name val="Arial"/>
      <family val="0"/>
      <charset val="1"/>
    </font>
    <font>
      <sz val="10"/>
      <color rgb="FF111827"/>
      <name val="Arial"/>
      <family val="0"/>
      <charset val="1"/>
    </font>
    <font>
      <b val="true"/>
      <sz val="10"/>
      <color rgb="FFFFFFFF"/>
      <name val="Arial"/>
      <family val="0"/>
      <charset val="1"/>
    </font>
    <font>
      <sz val="10"/>
      <name val="Arial"/>
      <family val="0"/>
      <charset val="1"/>
    </font>
    <font>
      <b val="true"/>
      <sz val="11"/>
      <name val="Arial"/>
      <family val="0"/>
      <charset val="1"/>
    </font>
    <font>
      <i val="true"/>
      <sz val="9"/>
      <color rgb="FF6B7280"/>
      <name val="Arial"/>
      <family val="0"/>
      <charset val="1"/>
    </font>
    <font>
      <sz val="9"/>
      <name val="Arial"/>
      <family val="0"/>
      <charset val="1"/>
    </font>
    <font>
      <b val="true"/>
      <sz val="10"/>
      <color rgb="FF16213A"/>
      <name val="Arial"/>
      <family val="0"/>
      <charset val="1"/>
    </font>
    <font>
      <b val="true"/>
      <sz val="10"/>
      <name val="Arial"/>
      <family val="0"/>
      <charset val="1"/>
    </font>
    <font>
      <b val="true"/>
      <sz val="12"/>
      <name val="Arial"/>
      <family val="0"/>
      <charset val="1"/>
    </font>
    <font>
      <u val="single"/>
      <sz val="10"/>
      <color rgb="FF1D4ED8"/>
      <name val="Arial"/>
      <family val="0"/>
      <charset val="1"/>
    </font>
  </fonts>
  <fills count="9">
    <fill>
      <patternFill patternType="none"/>
    </fill>
    <fill>
      <patternFill patternType="gray125"/>
    </fill>
    <fill>
      <patternFill patternType="solid">
        <fgColor rgb="FFFDB54A"/>
        <bgColor rgb="FFFF9900"/>
      </patternFill>
    </fill>
    <fill>
      <patternFill patternType="solid">
        <fgColor rgb="FF16213A"/>
        <bgColor rgb="FF111827"/>
      </patternFill>
    </fill>
    <fill>
      <patternFill patternType="solid">
        <fgColor rgb="FFF3F4F6"/>
        <bgColor rgb="FFFFFFFF"/>
      </patternFill>
    </fill>
    <fill>
      <patternFill patternType="solid">
        <fgColor rgb="FFFFF4D6"/>
        <bgColor rgb="FFF3F4F6"/>
      </patternFill>
    </fill>
    <fill>
      <patternFill patternType="solid">
        <fgColor rgb="FFBBF7D0"/>
        <bgColor rgb="FFD1D5DB"/>
      </patternFill>
    </fill>
    <fill>
      <patternFill patternType="solid">
        <fgColor rgb="FFFDE68A"/>
        <bgColor rgb="FFFFF4D6"/>
      </patternFill>
    </fill>
    <fill>
      <patternFill patternType="solid">
        <fgColor rgb="FFF8B4B4"/>
        <bgColor rgb="FFFF99CC"/>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5" fontId="12" fillId="5" borderId="1" xfId="0" applyFont="true" applyBorder="true" applyAlignment="true" applyProtection="false">
      <alignment horizontal="general" vertical="top" textRotation="0" wrapText="true" indent="0" shrinkToFit="false"/>
      <protection locked="true" hidden="false"/>
    </xf>
    <xf numFmtId="165" fontId="12" fillId="4"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right" vertical="center" textRotation="0" wrapText="false" indent="0" shrinkToFit="false"/>
      <protection locked="true" hidden="false"/>
    </xf>
    <xf numFmtId="164" fontId="15" fillId="6" borderId="1" xfId="0" applyFont="true" applyBorder="true" applyAlignment="true" applyProtection="false">
      <alignment horizontal="center" vertical="center" textRotation="0" wrapText="false" indent="0" shrinkToFit="false"/>
      <protection locked="true" hidden="false"/>
    </xf>
    <xf numFmtId="164" fontId="15" fillId="7" borderId="1" xfId="0" applyFont="true" applyBorder="true" applyAlignment="true" applyProtection="false">
      <alignment horizontal="center" vertical="center" textRotation="0" wrapText="false" indent="0" shrinkToFit="false"/>
      <protection locked="true" hidden="false"/>
    </xf>
    <xf numFmtId="164" fontId="15" fillId="8"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bgColor rgb="FFF8B4B4"/>
        </patternFill>
      </fill>
    </dxf>
    <dxf>
      <fill>
        <patternFill patternType="solid">
          <fgColor rgb="FF16213A"/>
          <bgColor rgb="FF000000"/>
        </patternFill>
      </fill>
    </dxf>
    <dxf>
      <fill>
        <patternFill patternType="solid">
          <fgColor rgb="FFFFF4D6"/>
          <bgColor rgb="FF000000"/>
        </patternFill>
      </fill>
    </dxf>
    <dxf>
      <fill>
        <patternFill patternType="solid">
          <fgColor rgb="FF6B7280"/>
          <bgColor rgb="FF000000"/>
        </patternFill>
      </fill>
    </dxf>
    <dxf>
      <fill>
        <patternFill patternType="solid">
          <fgColor rgb="FFFFFFFF"/>
          <bgColor rgb="FF000000"/>
        </patternFill>
      </fill>
    </dxf>
    <dxf>
      <fill>
        <patternFill patternType="solid">
          <bgColor rgb="FF000000"/>
        </patternFill>
      </fill>
    </dxf>
    <dxf>
      <fill>
        <patternFill patternType="solid">
          <fgColor rgb="FFF3F4F6"/>
          <bgColor rgb="FF000000"/>
        </patternFill>
      </fill>
    </dxf>
    <dxf>
      <fill>
        <patternFill patternType="solid">
          <fgColor rgb="FFFDE2E1"/>
          <bgColor rgb="FF000000"/>
        </patternFill>
      </fill>
    </dxf>
    <dxf>
      <fill>
        <patternFill>
          <bgColor rgb="FFFDE2E1"/>
        </patternFill>
      </fill>
    </dxf>
    <dxf>
      <fill>
        <patternFill patternType="solid">
          <fgColor rgb="FFF8B4B4"/>
          <bgColor rgb="FF000000"/>
        </patternFill>
      </fill>
    </dxf>
    <dxf>
      <fill>
        <patternFill patternType="solid">
          <fgColor rgb="FFFDE68A"/>
          <bgColor rgb="FF000000"/>
        </patternFill>
      </fill>
    </dxf>
    <dxf>
      <fill>
        <patternFill>
          <bgColor rgb="FFFDE68A"/>
        </patternFill>
      </fill>
    </dxf>
    <dxf>
      <fill>
        <patternFill>
          <bgColor rgb="FFBBF7D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D6"/>
      <rgbColor rgb="FFF3F4F6"/>
      <rgbColor rgb="FF660066"/>
      <rgbColor rgb="FFFF8080"/>
      <rgbColor rgb="FF1D4ED8"/>
      <rgbColor rgb="FFD1D5DB"/>
      <rgbColor rgb="FF000080"/>
      <rgbColor rgb="FFFF00FF"/>
      <rgbColor rgb="FFFFFF00"/>
      <rgbColor rgb="FF00FFFF"/>
      <rgbColor rgb="FF800080"/>
      <rgbColor rgb="FF800000"/>
      <rgbColor rgb="FF008080"/>
      <rgbColor rgb="FF0000FF"/>
      <rgbColor rgb="FF00CCFF"/>
      <rgbColor rgb="FFFDE2E1"/>
      <rgbColor rgb="FFBBF7D0"/>
      <rgbColor rgb="FFFDE68A"/>
      <rgbColor rgb="FF99CCFF"/>
      <rgbColor rgb="FFFF99CC"/>
      <rgbColor rgb="FFCC99FF"/>
      <rgbColor rgb="FFF8B4B4"/>
      <rgbColor rgb="FF3366FF"/>
      <rgbColor rgb="FF33CCCC"/>
      <rgbColor rgb="FF99CC00"/>
      <rgbColor rgb="FFFDB54A"/>
      <rgbColor rgb="FFFF9900"/>
      <rgbColor rgb="FFFF6600"/>
      <rgbColor rgb="FF6B7280"/>
      <rgbColor rgb="FF969696"/>
      <rgbColor rgb="FF003366"/>
      <rgbColor rgb="FF339966"/>
      <rgbColor rgb="FF111827"/>
      <rgbColor rgb="FF333300"/>
      <rgbColor rgb="FF993300"/>
      <rgbColor rgb="FF993366"/>
      <rgbColor rgb="FF333399"/>
      <rgbColor rgb="FF1621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image" Target="../media/image1.png"/>
</Relationships>
</file>

<file path=xl/drawings/_rels/drawing8.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1"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2"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3"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4"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5"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6"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7"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8"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hyperlink" Target="https://eur-lex.europa.eu/eli/reg/2024/1689/oj" TargetMode="External"/><Relationship Id="rId2" Type="http://schemas.openxmlformats.org/officeDocument/2006/relationships/hyperlink" Target="https://digital-strategy.ec.europa.eu/en/policies/ai-act-standardisation" TargetMode="External"/><Relationship Id="rId3" Type="http://schemas.openxmlformats.org/officeDocument/2006/relationships/hyperlink" Target="https://www.iso.org/standard/81230.html" TargetMode="External"/><Relationship Id="rId4" Type="http://schemas.openxmlformats.org/officeDocument/2006/relationships/hyperlink" Target="https://www.nist.gov/itl/ai-risk-management-framework" TargetMode="External"/><Relationship Id="rId5" Type="http://schemas.openxmlformats.org/officeDocument/2006/relationships/hyperlink" Target="https://genai.owasp.org/llm-top-10/" TargetMode="External"/><Relationship Id="rId6" Type="http://schemas.openxmlformats.org/officeDocument/2006/relationships/hyperlink" Target="https://simonwillison.net/2025/Jun/16/the-lethal-trifecta/" TargetMode="External"/><Relationship Id="rId7"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10"/>
  </cols>
  <sheetData>
    <row r="1" customFormat="false" ht="48" hidden="false" customHeight="true" outlineLevel="0" collapsed="false">
      <c r="B1" s="1" t="s">
        <v>0</v>
      </c>
    </row>
    <row r="2" customFormat="false" ht="18" hidden="false" customHeight="true" outlineLevel="0" collapsed="false">
      <c r="B2" s="2" t="s">
        <v>1</v>
      </c>
    </row>
    <row r="3" customFormat="false" ht="3.75" hidden="false" customHeight="true" outlineLevel="0" collapsed="false">
      <c r="A3" s="3"/>
      <c r="B3" s="3"/>
      <c r="C3" s="3"/>
      <c r="D3" s="3"/>
      <c r="E3" s="3"/>
      <c r="F3" s="3"/>
      <c r="G3" s="3"/>
      <c r="H3" s="3"/>
    </row>
    <row r="5" customFormat="false" ht="21.75" hidden="false" customHeight="true" outlineLevel="0" collapsed="false">
      <c r="B5" s="4" t="s">
        <v>2</v>
      </c>
    </row>
    <row r="6" customFormat="false" ht="48.75" hidden="false" customHeight="true" outlineLevel="0" collapsed="false">
      <c r="B6" s="5" t="s">
        <v>3</v>
      </c>
    </row>
    <row r="7" customFormat="false" ht="21.75" hidden="false" customHeight="true" outlineLevel="0" collapsed="false">
      <c r="B7" s="4" t="s">
        <v>4</v>
      </c>
    </row>
    <row r="8" customFormat="false" ht="33.75" hidden="false" customHeight="true" outlineLevel="0" collapsed="false">
      <c r="B8" s="5" t="s">
        <v>5</v>
      </c>
    </row>
    <row r="9" customFormat="false" ht="18.75" hidden="false" customHeight="true" outlineLevel="0" collapsed="false">
      <c r="B9" s="5" t="s">
        <v>6</v>
      </c>
    </row>
    <row r="10" customFormat="false" ht="33.75" hidden="false" customHeight="true" outlineLevel="0" collapsed="false">
      <c r="B10" s="5" t="s">
        <v>7</v>
      </c>
    </row>
    <row r="11" customFormat="false" ht="33.75" hidden="false" customHeight="true" outlineLevel="0" collapsed="false">
      <c r="B11" s="5" t="s">
        <v>8</v>
      </c>
    </row>
    <row r="12" customFormat="false" ht="18.75" hidden="false" customHeight="true" outlineLevel="0" collapsed="false">
      <c r="B12" s="5" t="s">
        <v>9</v>
      </c>
    </row>
    <row r="13" customFormat="false" ht="33.75" hidden="false" customHeight="true" outlineLevel="0" collapsed="false">
      <c r="B13" s="5" t="s">
        <v>10</v>
      </c>
    </row>
    <row r="14" customFormat="false" ht="21.75" hidden="false" customHeight="true" outlineLevel="0" collapsed="false">
      <c r="B14" s="4" t="s">
        <v>11</v>
      </c>
    </row>
    <row r="15" customFormat="false" ht="33.75" hidden="false" customHeight="true" outlineLevel="0" collapsed="false">
      <c r="B15" s="5" t="s">
        <v>12</v>
      </c>
    </row>
    <row r="16" customFormat="false" ht="21.75" hidden="false" customHeight="true" outlineLevel="0" collapsed="false">
      <c r="B16" s="4" t="s">
        <v>13</v>
      </c>
    </row>
    <row r="17" customFormat="false" ht="63.75" hidden="false" customHeight="true" outlineLevel="0" collapsed="false">
      <c r="B17" s="5" t="s">
        <v>14</v>
      </c>
    </row>
    <row r="18" customFormat="false" ht="18.75" hidden="false" customHeight="true" outlineLevel="0" collapsed="false">
      <c r="B18" s="5" t="s">
        <v>15</v>
      </c>
    </row>
  </sheetData>
  <printOptions headings="false" gridLines="false" gridLinesSet="true" horizontalCentered="fals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58"/>
    <col collapsed="false" customWidth="true" hidden="false" outlineLevel="0" max="3" min="3" style="0" width="14"/>
  </cols>
  <sheetData>
    <row r="1" customFormat="false" ht="48" hidden="false" customHeight="true" outlineLevel="0" collapsed="false">
      <c r="B1" s="1" t="s">
        <v>16</v>
      </c>
    </row>
    <row r="2" customFormat="false" ht="18" hidden="false" customHeight="true" outlineLevel="0" collapsed="false">
      <c r="B2" s="2" t="s">
        <v>1</v>
      </c>
    </row>
    <row r="3" customFormat="false" ht="3.75" hidden="false" customHeight="true" outlineLevel="0" collapsed="false">
      <c r="A3" s="3"/>
      <c r="B3" s="3"/>
      <c r="C3" s="3"/>
      <c r="D3" s="3"/>
    </row>
    <row r="5" customFormat="false" ht="15" hidden="false" customHeight="false" outlineLevel="0" collapsed="false">
      <c r="A5" s="6"/>
      <c r="B5" s="7" t="s">
        <v>17</v>
      </c>
      <c r="C5" s="7" t="s">
        <v>18</v>
      </c>
    </row>
    <row r="6" customFormat="false" ht="15" hidden="false" customHeight="false" outlineLevel="0" collapsed="false">
      <c r="B6" s="8" t="s">
        <v>19</v>
      </c>
      <c r="C6" s="9" t="n">
        <f aca="false">COUNTA('AI Inventory'!$A$6:$A$155)</f>
        <v>1</v>
      </c>
    </row>
    <row r="7" customFormat="false" ht="15" hidden="false" customHeight="false" outlineLevel="0" collapsed="false">
      <c r="B7" s="8" t="s">
        <v>20</v>
      </c>
      <c r="C7" s="9" t="n">
        <f aca="false">COUNTIF('AI Inventory'!$J$6:$J$155,"Production")</f>
        <v>1</v>
      </c>
    </row>
    <row r="8" customFormat="false" ht="15" hidden="false" customHeight="false" outlineLevel="0" collapsed="false">
      <c r="B8" s="8" t="s">
        <v>21</v>
      </c>
      <c r="C8" s="9" t="n">
        <f aca="false">COUNTIF('AI Inventory'!$K$6:$K$155,"Yes")</f>
        <v>1</v>
      </c>
    </row>
    <row r="9" customFormat="false" ht="15" hidden="false" customHeight="false" outlineLevel="0" collapsed="false">
      <c r="B9" s="8" t="s">
        <v>22</v>
      </c>
      <c r="C9" s="9" t="n">
        <f aca="false">COUNTIF('AI Inventory'!$M$6:$M$155,"Decides automatically")</f>
        <v>0</v>
      </c>
    </row>
    <row r="10" customFormat="false" ht="15" hidden="false" customHeight="false" outlineLevel="0" collapsed="false">
      <c r="B10" s="8" t="s">
        <v>23</v>
      </c>
      <c r="C10" s="9" t="n">
        <f aca="false">COUNTIF('AI Inventory'!$R$6:$R$155,"Prohibited*")</f>
        <v>0</v>
      </c>
    </row>
    <row r="11" customFormat="false" ht="15" hidden="false" customHeight="false" outlineLevel="0" collapsed="false">
      <c r="B11" s="8" t="s">
        <v>24</v>
      </c>
      <c r="C11" s="9" t="n">
        <f aca="false">COUNTIF('AI Inventory'!$R$6:$R$155,"High-risk*")</f>
        <v>0</v>
      </c>
    </row>
    <row r="12" customFormat="false" ht="15" hidden="false" customHeight="false" outlineLevel="0" collapsed="false">
      <c r="B12" s="8" t="s">
        <v>25</v>
      </c>
      <c r="C12" s="9" t="n">
        <f aca="false">COUNTIF('AI Inventory'!$R$6:$R$155,"Transparency*")</f>
        <v>1</v>
      </c>
    </row>
    <row r="13" customFormat="false" ht="15" hidden="false" customHeight="false" outlineLevel="0" collapsed="false">
      <c r="B13" s="8" t="s">
        <v>26</v>
      </c>
      <c r="C13" s="9" t="n">
        <f aca="false">COUNTIFS('AI Inventory'!$A$6:$A$155,"&lt;&gt;",'AI Inventory'!$R$6:$R$155,"To assess")+COUNTIFS('AI Inventory'!$A$6:$A$155,"&lt;&gt;",'AI Inventory'!$R$6:$R$155,"")</f>
        <v>0</v>
      </c>
    </row>
    <row r="14" customFormat="false" ht="15" hidden="false" customHeight="false" outlineLevel="0" collapsed="false">
      <c r="B14" s="8" t="s">
        <v>27</v>
      </c>
      <c r="C14" s="9" t="n">
        <f aca="false">COUNTIFS('AI Inventory'!$A$6:$A$155,"&lt;&gt;",'AI Inventory'!$T$6:$T$155,"&lt;&gt;Yes")</f>
        <v>1</v>
      </c>
    </row>
    <row r="15" customFormat="false" ht="15" hidden="false" customHeight="false" outlineLevel="0" collapsed="false">
      <c r="B15" s="8" t="s">
        <v>28</v>
      </c>
      <c r="C15" s="9" t="n">
        <f aca="false">COUNTIFS('AI Inventory'!$K$6:$K$155,"Yes",'AI Inventory'!$O$6:$O$155,"Yes",'AI Inventory'!$P$6:$P$155,"Yes")</f>
        <v>1</v>
      </c>
    </row>
    <row r="16" customFormat="false" ht="15" hidden="false" customHeight="false" outlineLevel="0" collapsed="false">
      <c r="B16" s="8" t="s">
        <v>29</v>
      </c>
      <c r="C16" s="9" t="n">
        <f aca="false">COUNTIFS('AI Inventory'!$J$6:$J$155,"Production",'AI Inventory'!$V$6:$V$155,"&lt;&gt;Yes")</f>
        <v>0</v>
      </c>
    </row>
    <row r="17" customFormat="false" ht="15" hidden="false" customHeight="false" outlineLevel="0" collapsed="false">
      <c r="B17" s="8" t="s">
        <v>30</v>
      </c>
      <c r="C17" s="9" t="n">
        <f aca="true">COUNTIFS('AI Inventory'!$X$6:$X$155,"&lt;"&amp;TODAY())</f>
        <v>0</v>
      </c>
    </row>
    <row r="18" customFormat="false" ht="15" hidden="false" customHeight="false" outlineLevel="0" collapsed="false">
      <c r="B18" s="8" t="s">
        <v>31</v>
      </c>
      <c r="C18" s="9" t="n">
        <f aca="false">COUNTIFS('Risk Register'!$K:$K,"High",'Risk Register'!$V:$V,"&lt;&gt;Done")</f>
        <v>1</v>
      </c>
    </row>
    <row r="19" customFormat="false" ht="15" hidden="false" customHeight="false" outlineLevel="0" collapsed="false">
      <c r="B19" s="8" t="s">
        <v>32</v>
      </c>
      <c r="C19" s="9" t="n">
        <f aca="false">COUNTIFS('Risk Register'!$Q:$Q,"High",'Risk Register'!$V:$V,"&lt;&gt;Done")</f>
        <v>0</v>
      </c>
    </row>
    <row r="20" customFormat="false" ht="15" hidden="false" customHeight="false" outlineLevel="0" collapsed="false">
      <c r="B20" s="8" t="s">
        <v>33</v>
      </c>
      <c r="C20" s="9" t="n">
        <f aca="false">COUNTIF('Risk Register'!$X:$X,"OVERDUE")</f>
        <v>0</v>
      </c>
    </row>
    <row r="21" customFormat="false" ht="15" hidden="false" customHeight="false" outlineLevel="0" collapsed="false">
      <c r="B21" s="8" t="s">
        <v>34</v>
      </c>
      <c r="C21" s="9" t="n">
        <f aca="false">COUNTIF('Risk Register'!$R:$R,"Accept")</f>
        <v>0</v>
      </c>
    </row>
    <row r="23" customFormat="false" ht="15" hidden="false" customHeight="false" outlineLevel="0" collapsed="false">
      <c r="B23" s="10" t="s">
        <v>35</v>
      </c>
    </row>
  </sheetData>
  <conditionalFormatting sqref="C10">
    <cfRule type="cellIs" priority="2" operator="greaterThan" aboveAverage="0" equalAverage="0" bottom="0" percent="0" rank="0" text="" dxfId="0">
      <formula>0</formula>
    </cfRule>
  </conditionalFormatting>
  <conditionalFormatting sqref="C13">
    <cfRule type="cellIs" priority="3" operator="greaterThan" aboveAverage="0" equalAverage="0" bottom="0" percent="0" rank="0" text="" dxfId="0">
      <formula>0</formula>
    </cfRule>
  </conditionalFormatting>
  <conditionalFormatting sqref="C15">
    <cfRule type="cellIs" priority="4" operator="greaterThan" aboveAverage="0" equalAverage="0" bottom="0" percent="0" rank="0" text="" dxfId="0">
      <formula>0</formula>
    </cfRule>
  </conditionalFormatting>
  <conditionalFormatting sqref="C18">
    <cfRule type="cellIs" priority="5" operator="greaterThan" aboveAverage="0" equalAverage="0" bottom="0" percent="0" rank="0" text="" dxfId="0">
      <formula>0</formula>
    </cfRule>
  </conditionalFormatting>
  <conditionalFormatting sqref="C19">
    <cfRule type="cellIs" priority="6" operator="greaterThan" aboveAverage="0" equalAverage="0" bottom="0" percent="0" rank="0" text="" dxfId="0">
      <formula>0</formula>
    </cfRule>
  </conditionalFormatting>
  <conditionalFormatting sqref="C20">
    <cfRule type="cellIs" priority="7" operator="greater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4" min="3" style="0" width="18"/>
    <col collapsed="false" customWidth="true" hidden="false" outlineLevel="0" max="5" min="5" style="0" width="34"/>
    <col collapsed="false" customWidth="true" hidden="false" outlineLevel="0" max="6" min="6" style="0" width="26"/>
    <col collapsed="false" customWidth="true" hidden="false" outlineLevel="0" max="7" min="7" style="0" width="22"/>
    <col collapsed="false" customWidth="true" hidden="false" outlineLevel="0" max="8" min="8" style="0" width="24"/>
    <col collapsed="false" customWidth="true" hidden="false" outlineLevel="0" max="9" min="9" style="0" width="22"/>
    <col collapsed="false" customWidth="true" hidden="false" outlineLevel="0" max="12" min="10" style="0" width="12"/>
    <col collapsed="false" customWidth="true" hidden="false" outlineLevel="0" max="13" min="13" style="0" width="22"/>
    <col collapsed="false" customWidth="true" hidden="false" outlineLevel="0" max="14" min="14" style="0" width="26"/>
    <col collapsed="false" customWidth="true" hidden="false" outlineLevel="0" max="16" min="15" style="0" width="14"/>
    <col collapsed="false" customWidth="true" hidden="false" outlineLevel="0" max="17" min="17" style="0" width="18"/>
    <col collapsed="false" customWidth="true" hidden="false" outlineLevel="0" max="18" min="18" style="0" width="26"/>
    <col collapsed="false" customWidth="true" hidden="false" outlineLevel="0" max="19" min="19" style="0" width="30"/>
    <col collapsed="false" customWidth="true" hidden="false" outlineLevel="0" max="20" min="20" style="0" width="14"/>
    <col collapsed="false" customWidth="true" hidden="false" outlineLevel="0" max="22" min="21" style="0" width="12"/>
    <col collapsed="false" customWidth="true" hidden="false" outlineLevel="0" max="24" min="23" style="0" width="13"/>
    <col collapsed="false" customWidth="true" hidden="false" outlineLevel="0" max="25" min="25" style="0" width="12"/>
    <col collapsed="false" customWidth="true" hidden="false" outlineLevel="0" max="26" min="26" style="0" width="60"/>
  </cols>
  <sheetData>
    <row r="1" customFormat="false" ht="48" hidden="false" customHeight="true" outlineLevel="0" collapsed="false">
      <c r="B1" s="1" t="s">
        <v>36</v>
      </c>
    </row>
    <row r="2" customFormat="false" ht="18" hidden="false" customHeight="true" outlineLevel="0" collapsed="false">
      <c r="B2" s="2" t="s">
        <v>1</v>
      </c>
    </row>
    <row r="3" customFormat="false" ht="3.7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row>
    <row r="5" customFormat="false" ht="57.75" hidden="false" customHeight="true" outlineLevel="0" collapsed="false">
      <c r="A5" s="7" t="s">
        <v>37</v>
      </c>
      <c r="B5" s="7" t="s">
        <v>38</v>
      </c>
      <c r="C5" s="7" t="s">
        <v>39</v>
      </c>
      <c r="D5" s="7" t="s">
        <v>40</v>
      </c>
      <c r="E5" s="7" t="s">
        <v>41</v>
      </c>
      <c r="F5" s="7" t="s">
        <v>42</v>
      </c>
      <c r="G5" s="7" t="s">
        <v>43</v>
      </c>
      <c r="H5" s="7" t="s">
        <v>44</v>
      </c>
      <c r="I5" s="7" t="s">
        <v>45</v>
      </c>
      <c r="J5" s="7" t="s">
        <v>46</v>
      </c>
      <c r="K5" s="7" t="s">
        <v>47</v>
      </c>
      <c r="L5" s="7" t="s">
        <v>48</v>
      </c>
      <c r="M5" s="7" t="s">
        <v>49</v>
      </c>
      <c r="N5" s="7" t="s">
        <v>50</v>
      </c>
      <c r="O5" s="7" t="s">
        <v>51</v>
      </c>
      <c r="P5" s="7" t="s">
        <v>52</v>
      </c>
      <c r="Q5" s="7" t="s">
        <v>53</v>
      </c>
      <c r="R5" s="7" t="s">
        <v>54</v>
      </c>
      <c r="S5" s="7" t="s">
        <v>55</v>
      </c>
      <c r="T5" s="7" t="s">
        <v>56</v>
      </c>
      <c r="U5" s="7" t="s">
        <v>57</v>
      </c>
      <c r="V5" s="7" t="s">
        <v>58</v>
      </c>
      <c r="W5" s="7" t="s">
        <v>59</v>
      </c>
      <c r="X5" s="7" t="s">
        <v>60</v>
      </c>
      <c r="Y5" s="7" t="s">
        <v>61</v>
      </c>
      <c r="Z5" s="7" t="s">
        <v>62</v>
      </c>
    </row>
    <row r="6" customFormat="false" ht="22.35" hidden="false" customHeight="false" outlineLevel="0" collapsed="false">
      <c r="A6" s="11" t="s">
        <v>63</v>
      </c>
      <c r="B6" s="12" t="s">
        <v>64</v>
      </c>
      <c r="C6" s="12" t="s">
        <v>65</v>
      </c>
      <c r="D6" s="12" t="s">
        <v>66</v>
      </c>
      <c r="E6" s="12" t="s">
        <v>67</v>
      </c>
      <c r="F6" s="12" t="s">
        <v>68</v>
      </c>
      <c r="G6" s="12" t="s">
        <v>69</v>
      </c>
      <c r="H6" s="12" t="s">
        <v>70</v>
      </c>
      <c r="I6" s="12" t="s">
        <v>71</v>
      </c>
      <c r="J6" s="12" t="s">
        <v>72</v>
      </c>
      <c r="K6" s="12" t="s">
        <v>73</v>
      </c>
      <c r="L6" s="12" t="s">
        <v>74</v>
      </c>
      <c r="M6" s="12" t="s">
        <v>75</v>
      </c>
      <c r="N6" s="12" t="s">
        <v>76</v>
      </c>
      <c r="O6" s="12" t="s">
        <v>73</v>
      </c>
      <c r="P6" s="12" t="s">
        <v>73</v>
      </c>
      <c r="Q6" s="12" t="s">
        <v>77</v>
      </c>
      <c r="R6" s="12" t="s">
        <v>78</v>
      </c>
      <c r="S6" s="12" t="s">
        <v>79</v>
      </c>
      <c r="T6" s="12" t="s">
        <v>80</v>
      </c>
      <c r="U6" s="12" t="s">
        <v>81</v>
      </c>
      <c r="V6" s="12" t="s">
        <v>73</v>
      </c>
      <c r="W6" s="13" t="n">
        <v>46296</v>
      </c>
      <c r="X6" s="14" t="n">
        <f aca="false">IF(W6="","",W6+182)</f>
        <v>46478</v>
      </c>
      <c r="Y6" s="15" t="n">
        <f aca="false">IF(A6="","",IFERROR(_xlfn.MAXIFS('Risk Register'!$J:$J,'Risk Register'!$B:$B,A6,'Risk Register'!$V:$V,"&lt;&gt;Done"),0))</f>
        <v>15</v>
      </c>
      <c r="Z6" s="15" t="str">
        <f aca="true">IF(A6="","",IF(LEFT(R6,10)="Prohibite","STOP - prohibited practice under Art. 5. ","")&amp;IF(OR(Q6="To assess",R6="To assess",Q6="",R6=""),"Classify role and risk class. ","")&amp;IF(AND(K6="Yes",O6="Yes",P6="Yes"),"Lethal trifecta: private data + untrusted input + external action - remove one leg. ","")&amp;IF(AND(LEFT(R6,9)="High-risk",S6="Not applicable",MID(R6,13,9)="Annex III"),"Pick the Annex III area. ","")&amp;IF(AND(OR(K6="Yes",LEFT(R6,9)="High-risk"),T6&lt;&gt;"Yes"),"Impact assessment outstanding. ","")&amp;IF(AND(M6="Decides automatically",U6&lt;&gt;"Yes"),"Automated decision without defined human oversight. ","")&amp;IF(AND(J6="Production",V6&lt;&gt;"Yes"),"Production system without full logging. ","")&amp;IF(AND(X6&lt;&gt;"",X6&lt;TODAY()),"Review overdue. ","")&amp;IF(B6="","Name the system. ",""))</f>
        <v>Lethal trifecta: private data + untrusted input + external action - remove one leg. Impact assessment outstanding. </v>
      </c>
    </row>
    <row r="7" customFormat="false" ht="15" hidden="false" customHeight="false" outlineLevel="0" collapsed="false">
      <c r="A7" s="12"/>
      <c r="B7" s="12"/>
      <c r="C7" s="12"/>
      <c r="D7" s="12"/>
      <c r="E7" s="12"/>
      <c r="F7" s="12"/>
      <c r="G7" s="12"/>
      <c r="H7" s="12"/>
      <c r="I7" s="12"/>
      <c r="J7" s="12"/>
      <c r="K7" s="12"/>
      <c r="L7" s="12"/>
      <c r="M7" s="12"/>
      <c r="N7" s="12"/>
      <c r="O7" s="12"/>
      <c r="P7" s="12"/>
      <c r="Q7" s="12"/>
      <c r="R7" s="12"/>
      <c r="S7" s="12"/>
      <c r="T7" s="12"/>
      <c r="U7" s="12"/>
      <c r="V7" s="12"/>
      <c r="W7" s="13"/>
      <c r="X7" s="14" t="str">
        <f aca="false">IF(W7="","",W7+182)</f>
        <v/>
      </c>
      <c r="Y7" s="15" t="str">
        <f aca="false">IF(A7="","",IFERROR(_xlfn.MAXIFS('Risk Register'!$J:$J,'Risk Register'!$B:$B,A7,'Risk Register'!$V:$V,"&lt;&gt;Done"),0))</f>
        <v/>
      </c>
      <c r="Z7" s="15" t="str">
        <f aca="true">IF(A7="","",IF(LEFT(R7,10)="Prohibite","STOP - prohibited practice under Art. 5. ","")&amp;IF(OR(Q7="To assess",R7="To assess",Q7="",R7=""),"Classify role and risk class. ","")&amp;IF(AND(K7="Yes",O7="Yes",P7="Yes"),"Lethal trifecta: private data + untrusted input + external action - remove one leg. ","")&amp;IF(AND(LEFT(R7,9)="High-risk",S7="Not applicable",MID(R7,13,9)="Annex III"),"Pick the Annex III area. ","")&amp;IF(AND(OR(K7="Yes",LEFT(R7,9)="High-risk"),T7&lt;&gt;"Yes"),"Impact assessment outstanding. ","")&amp;IF(AND(M7="Decides automatically",U7&lt;&gt;"Yes"),"Automated decision without defined human oversight. ","")&amp;IF(AND(J7="Production",V7&lt;&gt;"Yes"),"Production system without full logging. ","")&amp;IF(AND(X7&lt;&gt;"",X7&lt;TODAY()),"Review overdue. ","")&amp;IF(B7="","Name the system. ",""))</f>
        <v/>
      </c>
    </row>
    <row r="8" customFormat="false" ht="15" hidden="false" customHeight="false" outlineLevel="0" collapsed="false">
      <c r="A8" s="12"/>
      <c r="B8" s="12"/>
      <c r="C8" s="12"/>
      <c r="D8" s="12"/>
      <c r="E8" s="12"/>
      <c r="F8" s="12"/>
      <c r="G8" s="12"/>
      <c r="H8" s="12"/>
      <c r="I8" s="12"/>
      <c r="J8" s="12"/>
      <c r="K8" s="12"/>
      <c r="L8" s="12"/>
      <c r="M8" s="12"/>
      <c r="N8" s="12"/>
      <c r="O8" s="12"/>
      <c r="P8" s="12"/>
      <c r="Q8" s="12"/>
      <c r="R8" s="12"/>
      <c r="S8" s="12"/>
      <c r="T8" s="12"/>
      <c r="U8" s="12"/>
      <c r="V8" s="12"/>
      <c r="W8" s="13"/>
      <c r="X8" s="14" t="str">
        <f aca="false">IF(W8="","",W8+182)</f>
        <v/>
      </c>
      <c r="Y8" s="15" t="str">
        <f aca="false">IF(A8="","",IFERROR(_xlfn.MAXIFS('Risk Register'!$J:$J,'Risk Register'!$B:$B,A8,'Risk Register'!$V:$V,"&lt;&gt;Done"),0))</f>
        <v/>
      </c>
      <c r="Z8" s="15" t="str">
        <f aca="true">IF(A8="","",IF(LEFT(R8,10)="Prohibite","STOP - prohibited practice under Art. 5. ","")&amp;IF(OR(Q8="To assess",R8="To assess",Q8="",R8=""),"Classify role and risk class. ","")&amp;IF(AND(K8="Yes",O8="Yes",P8="Yes"),"Lethal trifecta: private data + untrusted input + external action - remove one leg. ","")&amp;IF(AND(LEFT(R8,9)="High-risk",S8="Not applicable",MID(R8,13,9)="Annex III"),"Pick the Annex III area. ","")&amp;IF(AND(OR(K8="Yes",LEFT(R8,9)="High-risk"),T8&lt;&gt;"Yes"),"Impact assessment outstanding. ","")&amp;IF(AND(M8="Decides automatically",U8&lt;&gt;"Yes"),"Automated decision without defined human oversight. ","")&amp;IF(AND(J8="Production",V8&lt;&gt;"Yes"),"Production system without full logging. ","")&amp;IF(AND(X8&lt;&gt;"",X8&lt;TODAY()),"Review overdue. ","")&amp;IF(B8="","Name the system. ",""))</f>
        <v/>
      </c>
    </row>
    <row r="9" customFormat="false" ht="15" hidden="false" customHeight="false" outlineLevel="0" collapsed="false">
      <c r="A9" s="12"/>
      <c r="B9" s="12"/>
      <c r="C9" s="12"/>
      <c r="D9" s="12"/>
      <c r="E9" s="12"/>
      <c r="F9" s="12"/>
      <c r="G9" s="12"/>
      <c r="H9" s="12"/>
      <c r="I9" s="12"/>
      <c r="J9" s="12"/>
      <c r="K9" s="12"/>
      <c r="L9" s="12"/>
      <c r="M9" s="12"/>
      <c r="N9" s="12"/>
      <c r="O9" s="12"/>
      <c r="P9" s="12"/>
      <c r="Q9" s="12"/>
      <c r="R9" s="12"/>
      <c r="S9" s="12"/>
      <c r="T9" s="12"/>
      <c r="U9" s="12"/>
      <c r="V9" s="12"/>
      <c r="W9" s="13"/>
      <c r="X9" s="14" t="str">
        <f aca="false">IF(W9="","",W9+182)</f>
        <v/>
      </c>
      <c r="Y9" s="15" t="str">
        <f aca="false">IF(A9="","",IFERROR(_xlfn.MAXIFS('Risk Register'!$J:$J,'Risk Register'!$B:$B,A9,'Risk Register'!$V:$V,"&lt;&gt;Done"),0))</f>
        <v/>
      </c>
      <c r="Z9" s="15" t="str">
        <f aca="true">IF(A9="","",IF(LEFT(R9,10)="Prohibite","STOP - prohibited practice under Art. 5. ","")&amp;IF(OR(Q9="To assess",R9="To assess",Q9="",R9=""),"Classify role and risk class. ","")&amp;IF(AND(K9="Yes",O9="Yes",P9="Yes"),"Lethal trifecta: private data + untrusted input + external action - remove one leg. ","")&amp;IF(AND(LEFT(R9,9)="High-risk",S9="Not applicable",MID(R9,13,9)="Annex III"),"Pick the Annex III area. ","")&amp;IF(AND(OR(K9="Yes",LEFT(R9,9)="High-risk"),T9&lt;&gt;"Yes"),"Impact assessment outstanding. ","")&amp;IF(AND(M9="Decides automatically",U9&lt;&gt;"Yes"),"Automated decision without defined human oversight. ","")&amp;IF(AND(J9="Production",V9&lt;&gt;"Yes"),"Production system without full logging. ","")&amp;IF(AND(X9&lt;&gt;"",X9&lt;TODAY()),"Review overdue. ","")&amp;IF(B9="","Name the system. ",""))</f>
        <v/>
      </c>
    </row>
    <row r="10" customFormat="false" ht="15" hidden="false" customHeight="false" outlineLevel="0" collapsed="false">
      <c r="A10" s="12"/>
      <c r="B10" s="12"/>
      <c r="C10" s="12"/>
      <c r="D10" s="12"/>
      <c r="E10" s="12"/>
      <c r="F10" s="12"/>
      <c r="G10" s="12"/>
      <c r="H10" s="12"/>
      <c r="I10" s="12"/>
      <c r="J10" s="12"/>
      <c r="K10" s="12"/>
      <c r="L10" s="12"/>
      <c r="M10" s="12"/>
      <c r="N10" s="12"/>
      <c r="O10" s="12"/>
      <c r="P10" s="12"/>
      <c r="Q10" s="12"/>
      <c r="R10" s="12"/>
      <c r="S10" s="12"/>
      <c r="T10" s="12"/>
      <c r="U10" s="12"/>
      <c r="V10" s="12"/>
      <c r="W10" s="13"/>
      <c r="X10" s="14" t="str">
        <f aca="false">IF(W10="","",W10+182)</f>
        <v/>
      </c>
      <c r="Y10" s="15" t="str">
        <f aca="false">IF(A10="","",IFERROR(_xlfn.MAXIFS('Risk Register'!$J:$J,'Risk Register'!$B:$B,A10,'Risk Register'!$V:$V,"&lt;&gt;Done"),0))</f>
        <v/>
      </c>
      <c r="Z10" s="15" t="str">
        <f aca="true">IF(A10="","",IF(LEFT(R10,10)="Prohibite","STOP - prohibited practice under Art. 5. ","")&amp;IF(OR(Q10="To assess",R10="To assess",Q10="",R10=""),"Classify role and risk class. ","")&amp;IF(AND(K10="Yes",O10="Yes",P10="Yes"),"Lethal trifecta: private data + untrusted input + external action - remove one leg. ","")&amp;IF(AND(LEFT(R10,9)="High-risk",S10="Not applicable",MID(R10,13,9)="Annex III"),"Pick the Annex III area. ","")&amp;IF(AND(OR(K10="Yes",LEFT(R10,9)="High-risk"),T10&lt;&gt;"Yes"),"Impact assessment outstanding. ","")&amp;IF(AND(M10="Decides automatically",U10&lt;&gt;"Yes"),"Automated decision without defined human oversight. ","")&amp;IF(AND(J10="Production",V10&lt;&gt;"Yes"),"Production system without full logging. ","")&amp;IF(AND(X10&lt;&gt;"",X10&lt;TODAY()),"Review overdue. ","")&amp;IF(B10="","Name the system. ",""))</f>
        <v/>
      </c>
    </row>
    <row r="11" customFormat="false" ht="15" hidden="false" customHeight="false" outlineLevel="0" collapsed="false">
      <c r="A11" s="12"/>
      <c r="B11" s="12"/>
      <c r="C11" s="12"/>
      <c r="D11" s="12"/>
      <c r="E11" s="12"/>
      <c r="F11" s="12"/>
      <c r="G11" s="12"/>
      <c r="H11" s="12"/>
      <c r="I11" s="12"/>
      <c r="J11" s="12"/>
      <c r="K11" s="12"/>
      <c r="L11" s="12"/>
      <c r="M11" s="12"/>
      <c r="N11" s="12"/>
      <c r="O11" s="12"/>
      <c r="P11" s="12"/>
      <c r="Q11" s="12"/>
      <c r="R11" s="12"/>
      <c r="S11" s="12"/>
      <c r="T11" s="12"/>
      <c r="U11" s="12"/>
      <c r="V11" s="12"/>
      <c r="W11" s="13"/>
      <c r="X11" s="14" t="str">
        <f aca="false">IF(W11="","",W11+182)</f>
        <v/>
      </c>
      <c r="Y11" s="15" t="str">
        <f aca="false">IF(A11="","",IFERROR(_xlfn.MAXIFS('Risk Register'!$J:$J,'Risk Register'!$B:$B,A11,'Risk Register'!$V:$V,"&lt;&gt;Done"),0))</f>
        <v/>
      </c>
      <c r="Z11" s="15" t="str">
        <f aca="true">IF(A11="","",IF(LEFT(R11,10)="Prohibite","STOP - prohibited practice under Art. 5. ","")&amp;IF(OR(Q11="To assess",R11="To assess",Q11="",R11=""),"Classify role and risk class. ","")&amp;IF(AND(K11="Yes",O11="Yes",P11="Yes"),"Lethal trifecta: private data + untrusted input + external action - remove one leg. ","")&amp;IF(AND(LEFT(R11,9)="High-risk",S11="Not applicable",MID(R11,13,9)="Annex III"),"Pick the Annex III area. ","")&amp;IF(AND(OR(K11="Yes",LEFT(R11,9)="High-risk"),T11&lt;&gt;"Yes"),"Impact assessment outstanding. ","")&amp;IF(AND(M11="Decides automatically",U11&lt;&gt;"Yes"),"Automated decision without defined human oversight. ","")&amp;IF(AND(J11="Production",V11&lt;&gt;"Yes"),"Production system without full logging. ","")&amp;IF(AND(X11&lt;&gt;"",X11&lt;TODAY()),"Review overdue. ","")&amp;IF(B11="","Name the system. ",""))</f>
        <v/>
      </c>
    </row>
    <row r="12" customFormat="false" ht="15" hidden="false" customHeight="false" outlineLevel="0" collapsed="false">
      <c r="A12" s="12"/>
      <c r="B12" s="12"/>
      <c r="C12" s="12"/>
      <c r="D12" s="12"/>
      <c r="E12" s="12"/>
      <c r="F12" s="12"/>
      <c r="G12" s="12"/>
      <c r="H12" s="12"/>
      <c r="I12" s="12"/>
      <c r="J12" s="12"/>
      <c r="K12" s="12"/>
      <c r="L12" s="12"/>
      <c r="M12" s="12"/>
      <c r="N12" s="12"/>
      <c r="O12" s="12"/>
      <c r="P12" s="12"/>
      <c r="Q12" s="12"/>
      <c r="R12" s="12"/>
      <c r="S12" s="12"/>
      <c r="T12" s="12"/>
      <c r="U12" s="12"/>
      <c r="V12" s="12"/>
      <c r="W12" s="13"/>
      <c r="X12" s="14" t="str">
        <f aca="false">IF(W12="","",W12+182)</f>
        <v/>
      </c>
      <c r="Y12" s="15" t="str">
        <f aca="false">IF(A12="","",IFERROR(_xlfn.MAXIFS('Risk Register'!$J:$J,'Risk Register'!$B:$B,A12,'Risk Register'!$V:$V,"&lt;&gt;Done"),0))</f>
        <v/>
      </c>
      <c r="Z12" s="15" t="str">
        <f aca="true">IF(A12="","",IF(LEFT(R12,10)="Prohibite","STOP - prohibited practice under Art. 5. ","")&amp;IF(OR(Q12="To assess",R12="To assess",Q12="",R12=""),"Classify role and risk class. ","")&amp;IF(AND(K12="Yes",O12="Yes",P12="Yes"),"Lethal trifecta: private data + untrusted input + external action - remove one leg. ","")&amp;IF(AND(LEFT(R12,9)="High-risk",S12="Not applicable",MID(R12,13,9)="Annex III"),"Pick the Annex III area. ","")&amp;IF(AND(OR(K12="Yes",LEFT(R12,9)="High-risk"),T12&lt;&gt;"Yes"),"Impact assessment outstanding. ","")&amp;IF(AND(M12="Decides automatically",U12&lt;&gt;"Yes"),"Automated decision without defined human oversight. ","")&amp;IF(AND(J12="Production",V12&lt;&gt;"Yes"),"Production system without full logging. ","")&amp;IF(AND(X12&lt;&gt;"",X12&lt;TODAY()),"Review overdue. ","")&amp;IF(B12="","Name the system. ",""))</f>
        <v/>
      </c>
    </row>
    <row r="13" customFormat="false" ht="15" hidden="false" customHeight="false" outlineLevel="0" collapsed="false">
      <c r="A13" s="12"/>
      <c r="B13" s="12"/>
      <c r="C13" s="12"/>
      <c r="D13" s="12"/>
      <c r="E13" s="12"/>
      <c r="F13" s="12"/>
      <c r="G13" s="12"/>
      <c r="H13" s="12"/>
      <c r="I13" s="12"/>
      <c r="J13" s="12"/>
      <c r="K13" s="12"/>
      <c r="L13" s="12"/>
      <c r="M13" s="12"/>
      <c r="N13" s="12"/>
      <c r="O13" s="12"/>
      <c r="P13" s="12"/>
      <c r="Q13" s="12"/>
      <c r="R13" s="12"/>
      <c r="S13" s="12"/>
      <c r="T13" s="12"/>
      <c r="U13" s="12"/>
      <c r="V13" s="12"/>
      <c r="W13" s="13"/>
      <c r="X13" s="14" t="str">
        <f aca="false">IF(W13="","",W13+182)</f>
        <v/>
      </c>
      <c r="Y13" s="15" t="str">
        <f aca="false">IF(A13="","",IFERROR(_xlfn.MAXIFS('Risk Register'!$J:$J,'Risk Register'!$B:$B,A13,'Risk Register'!$V:$V,"&lt;&gt;Done"),0))</f>
        <v/>
      </c>
      <c r="Z13" s="15" t="str">
        <f aca="true">IF(A13="","",IF(LEFT(R13,10)="Prohibite","STOP - prohibited practice under Art. 5. ","")&amp;IF(OR(Q13="To assess",R13="To assess",Q13="",R13=""),"Classify role and risk class. ","")&amp;IF(AND(K13="Yes",O13="Yes",P13="Yes"),"Lethal trifecta: private data + untrusted input + external action - remove one leg. ","")&amp;IF(AND(LEFT(R13,9)="High-risk",S13="Not applicable",MID(R13,13,9)="Annex III"),"Pick the Annex III area. ","")&amp;IF(AND(OR(K13="Yes",LEFT(R13,9)="High-risk"),T13&lt;&gt;"Yes"),"Impact assessment outstanding. ","")&amp;IF(AND(M13="Decides automatically",U13&lt;&gt;"Yes"),"Automated decision without defined human oversight. ","")&amp;IF(AND(J13="Production",V13&lt;&gt;"Yes"),"Production system without full logging. ","")&amp;IF(AND(X13&lt;&gt;"",X13&lt;TODAY()),"Review overdue. ","")&amp;IF(B13="","Name the system. ",""))</f>
        <v/>
      </c>
    </row>
    <row r="14" customFormat="false" ht="15" hidden="false" customHeight="false" outlineLevel="0" collapsed="false">
      <c r="A14" s="12"/>
      <c r="B14" s="12"/>
      <c r="C14" s="12"/>
      <c r="D14" s="12"/>
      <c r="E14" s="12"/>
      <c r="F14" s="12"/>
      <c r="G14" s="12"/>
      <c r="H14" s="12"/>
      <c r="I14" s="12"/>
      <c r="J14" s="12"/>
      <c r="K14" s="12"/>
      <c r="L14" s="12"/>
      <c r="M14" s="12"/>
      <c r="N14" s="12"/>
      <c r="O14" s="12"/>
      <c r="P14" s="12"/>
      <c r="Q14" s="12"/>
      <c r="R14" s="12"/>
      <c r="S14" s="12"/>
      <c r="T14" s="12"/>
      <c r="U14" s="12"/>
      <c r="V14" s="12"/>
      <c r="W14" s="13"/>
      <c r="X14" s="14" t="str">
        <f aca="false">IF(W14="","",W14+182)</f>
        <v/>
      </c>
      <c r="Y14" s="15" t="str">
        <f aca="false">IF(A14="","",IFERROR(_xlfn.MAXIFS('Risk Register'!$J:$J,'Risk Register'!$B:$B,A14,'Risk Register'!$V:$V,"&lt;&gt;Done"),0))</f>
        <v/>
      </c>
      <c r="Z14" s="15" t="str">
        <f aca="true">IF(A14="","",IF(LEFT(R14,10)="Prohibite","STOP - prohibited practice under Art. 5. ","")&amp;IF(OR(Q14="To assess",R14="To assess",Q14="",R14=""),"Classify role and risk class. ","")&amp;IF(AND(K14="Yes",O14="Yes",P14="Yes"),"Lethal trifecta: private data + untrusted input + external action - remove one leg. ","")&amp;IF(AND(LEFT(R14,9)="High-risk",S14="Not applicable",MID(R14,13,9)="Annex III"),"Pick the Annex III area. ","")&amp;IF(AND(OR(K14="Yes",LEFT(R14,9)="High-risk"),T14&lt;&gt;"Yes"),"Impact assessment outstanding. ","")&amp;IF(AND(M14="Decides automatically",U14&lt;&gt;"Yes"),"Automated decision without defined human oversight. ","")&amp;IF(AND(J14="Production",V14&lt;&gt;"Yes"),"Production system without full logging. ","")&amp;IF(AND(X14&lt;&gt;"",X14&lt;TODAY()),"Review overdue. ","")&amp;IF(B14="","Name the system. ",""))</f>
        <v/>
      </c>
    </row>
    <row r="15" customFormat="false" ht="15" hidden="false" customHeight="false" outlineLevel="0" collapsed="false">
      <c r="A15" s="12"/>
      <c r="B15" s="12"/>
      <c r="C15" s="12"/>
      <c r="D15" s="12"/>
      <c r="E15" s="12"/>
      <c r="F15" s="12"/>
      <c r="G15" s="12"/>
      <c r="H15" s="12"/>
      <c r="I15" s="12"/>
      <c r="J15" s="12"/>
      <c r="K15" s="12"/>
      <c r="L15" s="12"/>
      <c r="M15" s="12"/>
      <c r="N15" s="12"/>
      <c r="O15" s="12"/>
      <c r="P15" s="12"/>
      <c r="Q15" s="12"/>
      <c r="R15" s="12"/>
      <c r="S15" s="12"/>
      <c r="T15" s="12"/>
      <c r="U15" s="12"/>
      <c r="V15" s="12"/>
      <c r="W15" s="13"/>
      <c r="X15" s="14" t="str">
        <f aca="false">IF(W15="","",W15+182)</f>
        <v/>
      </c>
      <c r="Y15" s="15" t="str">
        <f aca="false">IF(A15="","",IFERROR(_xlfn.MAXIFS('Risk Register'!$J:$J,'Risk Register'!$B:$B,A15,'Risk Register'!$V:$V,"&lt;&gt;Done"),0))</f>
        <v/>
      </c>
      <c r="Z15" s="15" t="str">
        <f aca="true">IF(A15="","",IF(LEFT(R15,10)="Prohibite","STOP - prohibited practice under Art. 5. ","")&amp;IF(OR(Q15="To assess",R15="To assess",Q15="",R15=""),"Classify role and risk class. ","")&amp;IF(AND(K15="Yes",O15="Yes",P15="Yes"),"Lethal trifecta: private data + untrusted input + external action - remove one leg. ","")&amp;IF(AND(LEFT(R15,9)="High-risk",S15="Not applicable",MID(R15,13,9)="Annex III"),"Pick the Annex III area. ","")&amp;IF(AND(OR(K15="Yes",LEFT(R15,9)="High-risk"),T15&lt;&gt;"Yes"),"Impact assessment outstanding. ","")&amp;IF(AND(M15="Decides automatically",U15&lt;&gt;"Yes"),"Automated decision without defined human oversight. ","")&amp;IF(AND(J15="Production",V15&lt;&gt;"Yes"),"Production system without full logging. ","")&amp;IF(AND(X15&lt;&gt;"",X15&lt;TODAY()),"Review overdue. ","")&amp;IF(B15="","Name the system. ",""))</f>
        <v/>
      </c>
    </row>
    <row r="16" customFormat="false" ht="15" hidden="false" customHeight="false" outlineLevel="0" collapsed="false">
      <c r="A16" s="12"/>
      <c r="B16" s="12"/>
      <c r="C16" s="12"/>
      <c r="D16" s="12"/>
      <c r="E16" s="12"/>
      <c r="F16" s="12"/>
      <c r="G16" s="12"/>
      <c r="H16" s="12"/>
      <c r="I16" s="12"/>
      <c r="J16" s="12"/>
      <c r="K16" s="12"/>
      <c r="L16" s="12"/>
      <c r="M16" s="12"/>
      <c r="N16" s="12"/>
      <c r="O16" s="12"/>
      <c r="P16" s="12"/>
      <c r="Q16" s="12"/>
      <c r="R16" s="12"/>
      <c r="S16" s="12"/>
      <c r="T16" s="12"/>
      <c r="U16" s="12"/>
      <c r="V16" s="12"/>
      <c r="W16" s="13"/>
      <c r="X16" s="14" t="str">
        <f aca="false">IF(W16="","",W16+182)</f>
        <v/>
      </c>
      <c r="Y16" s="15" t="str">
        <f aca="false">IF(A16="","",IFERROR(_xlfn.MAXIFS('Risk Register'!$J:$J,'Risk Register'!$B:$B,A16,'Risk Register'!$V:$V,"&lt;&gt;Done"),0))</f>
        <v/>
      </c>
      <c r="Z16" s="15" t="str">
        <f aca="true">IF(A16="","",IF(LEFT(R16,10)="Prohibite","STOP - prohibited practice under Art. 5. ","")&amp;IF(OR(Q16="To assess",R16="To assess",Q16="",R16=""),"Classify role and risk class. ","")&amp;IF(AND(K16="Yes",O16="Yes",P16="Yes"),"Lethal trifecta: private data + untrusted input + external action - remove one leg. ","")&amp;IF(AND(LEFT(R16,9)="High-risk",S16="Not applicable",MID(R16,13,9)="Annex III"),"Pick the Annex III area. ","")&amp;IF(AND(OR(K16="Yes",LEFT(R16,9)="High-risk"),T16&lt;&gt;"Yes"),"Impact assessment outstanding. ","")&amp;IF(AND(M16="Decides automatically",U16&lt;&gt;"Yes"),"Automated decision without defined human oversight. ","")&amp;IF(AND(J16="Production",V16&lt;&gt;"Yes"),"Production system without full logging. ","")&amp;IF(AND(X16&lt;&gt;"",X16&lt;TODAY()),"Review overdue. ","")&amp;IF(B16="","Name the system. ",""))</f>
        <v/>
      </c>
    </row>
    <row r="17" customFormat="false" ht="15" hidden="false" customHeight="false" outlineLevel="0" collapsed="false">
      <c r="A17" s="12"/>
      <c r="B17" s="12"/>
      <c r="C17" s="12"/>
      <c r="D17" s="12"/>
      <c r="E17" s="12"/>
      <c r="F17" s="12"/>
      <c r="G17" s="12"/>
      <c r="H17" s="12"/>
      <c r="I17" s="12"/>
      <c r="J17" s="12"/>
      <c r="K17" s="12"/>
      <c r="L17" s="12"/>
      <c r="M17" s="12"/>
      <c r="N17" s="12"/>
      <c r="O17" s="12"/>
      <c r="P17" s="12"/>
      <c r="Q17" s="12"/>
      <c r="R17" s="12"/>
      <c r="S17" s="12"/>
      <c r="T17" s="12"/>
      <c r="U17" s="12"/>
      <c r="V17" s="12"/>
      <c r="W17" s="13"/>
      <c r="X17" s="14" t="str">
        <f aca="false">IF(W17="","",W17+182)</f>
        <v/>
      </c>
      <c r="Y17" s="15" t="str">
        <f aca="false">IF(A17="","",IFERROR(_xlfn.MAXIFS('Risk Register'!$J:$J,'Risk Register'!$B:$B,A17,'Risk Register'!$V:$V,"&lt;&gt;Done"),0))</f>
        <v/>
      </c>
      <c r="Z17" s="15" t="str">
        <f aca="true">IF(A17="","",IF(LEFT(R17,10)="Prohibite","STOP - prohibited practice under Art. 5. ","")&amp;IF(OR(Q17="To assess",R17="To assess",Q17="",R17=""),"Classify role and risk class. ","")&amp;IF(AND(K17="Yes",O17="Yes",P17="Yes"),"Lethal trifecta: private data + untrusted input + external action - remove one leg. ","")&amp;IF(AND(LEFT(R17,9)="High-risk",S17="Not applicable",MID(R17,13,9)="Annex III"),"Pick the Annex III area. ","")&amp;IF(AND(OR(K17="Yes",LEFT(R17,9)="High-risk"),T17&lt;&gt;"Yes"),"Impact assessment outstanding. ","")&amp;IF(AND(M17="Decides automatically",U17&lt;&gt;"Yes"),"Automated decision without defined human oversight. ","")&amp;IF(AND(J17="Production",V17&lt;&gt;"Yes"),"Production system without full logging. ","")&amp;IF(AND(X17&lt;&gt;"",X17&lt;TODAY()),"Review overdue. ","")&amp;IF(B17="","Name the system. ",""))</f>
        <v/>
      </c>
    </row>
    <row r="18" customFormat="false" ht="15" hidden="false" customHeight="false" outlineLevel="0" collapsed="false">
      <c r="A18" s="12"/>
      <c r="B18" s="12"/>
      <c r="C18" s="12"/>
      <c r="D18" s="12"/>
      <c r="E18" s="12"/>
      <c r="F18" s="12"/>
      <c r="G18" s="12"/>
      <c r="H18" s="12"/>
      <c r="I18" s="12"/>
      <c r="J18" s="12"/>
      <c r="K18" s="12"/>
      <c r="L18" s="12"/>
      <c r="M18" s="12"/>
      <c r="N18" s="12"/>
      <c r="O18" s="12"/>
      <c r="P18" s="12"/>
      <c r="Q18" s="12"/>
      <c r="R18" s="12"/>
      <c r="S18" s="12"/>
      <c r="T18" s="12"/>
      <c r="U18" s="12"/>
      <c r="V18" s="12"/>
      <c r="W18" s="13"/>
      <c r="X18" s="14" t="str">
        <f aca="false">IF(W18="","",W18+182)</f>
        <v/>
      </c>
      <c r="Y18" s="15" t="str">
        <f aca="false">IF(A18="","",IFERROR(_xlfn.MAXIFS('Risk Register'!$J:$J,'Risk Register'!$B:$B,A18,'Risk Register'!$V:$V,"&lt;&gt;Done"),0))</f>
        <v/>
      </c>
      <c r="Z18" s="15" t="str">
        <f aca="true">IF(A18="","",IF(LEFT(R18,10)="Prohibite","STOP - prohibited practice under Art. 5. ","")&amp;IF(OR(Q18="To assess",R18="To assess",Q18="",R18=""),"Classify role and risk class. ","")&amp;IF(AND(K18="Yes",O18="Yes",P18="Yes"),"Lethal trifecta: private data + untrusted input + external action - remove one leg. ","")&amp;IF(AND(LEFT(R18,9)="High-risk",S18="Not applicable",MID(R18,13,9)="Annex III"),"Pick the Annex III area. ","")&amp;IF(AND(OR(K18="Yes",LEFT(R18,9)="High-risk"),T18&lt;&gt;"Yes"),"Impact assessment outstanding. ","")&amp;IF(AND(M18="Decides automatically",U18&lt;&gt;"Yes"),"Automated decision without defined human oversight. ","")&amp;IF(AND(J18="Production",V18&lt;&gt;"Yes"),"Production system without full logging. ","")&amp;IF(AND(X18&lt;&gt;"",X18&lt;TODAY()),"Review overdue. ","")&amp;IF(B18="","Name the system. ",""))</f>
        <v/>
      </c>
    </row>
    <row r="19" customFormat="false" ht="15" hidden="false" customHeight="false" outlineLevel="0" collapsed="false">
      <c r="A19" s="12"/>
      <c r="B19" s="12"/>
      <c r="C19" s="12"/>
      <c r="D19" s="12"/>
      <c r="E19" s="12"/>
      <c r="F19" s="12"/>
      <c r="G19" s="12"/>
      <c r="H19" s="12"/>
      <c r="I19" s="12"/>
      <c r="J19" s="12"/>
      <c r="K19" s="12"/>
      <c r="L19" s="12"/>
      <c r="M19" s="12"/>
      <c r="N19" s="12"/>
      <c r="O19" s="12"/>
      <c r="P19" s="12"/>
      <c r="Q19" s="12"/>
      <c r="R19" s="12"/>
      <c r="S19" s="12"/>
      <c r="T19" s="12"/>
      <c r="U19" s="12"/>
      <c r="V19" s="12"/>
      <c r="W19" s="13"/>
      <c r="X19" s="14" t="str">
        <f aca="false">IF(W19="","",W19+182)</f>
        <v/>
      </c>
      <c r="Y19" s="15" t="str">
        <f aca="false">IF(A19="","",IFERROR(_xlfn.MAXIFS('Risk Register'!$J:$J,'Risk Register'!$B:$B,A19,'Risk Register'!$V:$V,"&lt;&gt;Done"),0))</f>
        <v/>
      </c>
      <c r="Z19" s="15" t="str">
        <f aca="true">IF(A19="","",IF(LEFT(R19,10)="Prohibite","STOP - prohibited practice under Art. 5. ","")&amp;IF(OR(Q19="To assess",R19="To assess",Q19="",R19=""),"Classify role and risk class. ","")&amp;IF(AND(K19="Yes",O19="Yes",P19="Yes"),"Lethal trifecta: private data + untrusted input + external action - remove one leg. ","")&amp;IF(AND(LEFT(R19,9)="High-risk",S19="Not applicable",MID(R19,13,9)="Annex III"),"Pick the Annex III area. ","")&amp;IF(AND(OR(K19="Yes",LEFT(R19,9)="High-risk"),T19&lt;&gt;"Yes"),"Impact assessment outstanding. ","")&amp;IF(AND(M19="Decides automatically",U19&lt;&gt;"Yes"),"Automated decision without defined human oversight. ","")&amp;IF(AND(J19="Production",V19&lt;&gt;"Yes"),"Production system without full logging. ","")&amp;IF(AND(X19&lt;&gt;"",X19&lt;TODAY()),"Review overdue. ","")&amp;IF(B19="","Name the system. ",""))</f>
        <v/>
      </c>
    </row>
    <row r="20" customFormat="false" ht="15" hidden="false" customHeight="false" outlineLevel="0" collapsed="false">
      <c r="A20" s="12"/>
      <c r="B20" s="12"/>
      <c r="C20" s="12"/>
      <c r="D20" s="12"/>
      <c r="E20" s="12"/>
      <c r="F20" s="12"/>
      <c r="G20" s="12"/>
      <c r="H20" s="12"/>
      <c r="I20" s="12"/>
      <c r="J20" s="12"/>
      <c r="K20" s="12"/>
      <c r="L20" s="12"/>
      <c r="M20" s="12"/>
      <c r="N20" s="12"/>
      <c r="O20" s="12"/>
      <c r="P20" s="12"/>
      <c r="Q20" s="12"/>
      <c r="R20" s="12"/>
      <c r="S20" s="12"/>
      <c r="T20" s="12"/>
      <c r="U20" s="12"/>
      <c r="V20" s="12"/>
      <c r="W20" s="13"/>
      <c r="X20" s="14" t="str">
        <f aca="false">IF(W20="","",W20+182)</f>
        <v/>
      </c>
      <c r="Y20" s="15" t="str">
        <f aca="false">IF(A20="","",IFERROR(_xlfn.MAXIFS('Risk Register'!$J:$J,'Risk Register'!$B:$B,A20,'Risk Register'!$V:$V,"&lt;&gt;Done"),0))</f>
        <v/>
      </c>
      <c r="Z20" s="15" t="str">
        <f aca="true">IF(A20="","",IF(LEFT(R20,10)="Prohibite","STOP - prohibited practice under Art. 5. ","")&amp;IF(OR(Q20="To assess",R20="To assess",Q20="",R20=""),"Classify role and risk class. ","")&amp;IF(AND(K20="Yes",O20="Yes",P20="Yes"),"Lethal trifecta: private data + untrusted input + external action - remove one leg. ","")&amp;IF(AND(LEFT(R20,9)="High-risk",S20="Not applicable",MID(R20,13,9)="Annex III"),"Pick the Annex III area. ","")&amp;IF(AND(OR(K20="Yes",LEFT(R20,9)="High-risk"),T20&lt;&gt;"Yes"),"Impact assessment outstanding. ","")&amp;IF(AND(M20="Decides automatically",U20&lt;&gt;"Yes"),"Automated decision without defined human oversight. ","")&amp;IF(AND(J20="Production",V20&lt;&gt;"Yes"),"Production system without full logging. ","")&amp;IF(AND(X20&lt;&gt;"",X20&lt;TODAY()),"Review overdue. ","")&amp;IF(B20="","Name the system. ",""))</f>
        <v/>
      </c>
    </row>
    <row r="21" customFormat="false" ht="15" hidden="false" customHeight="false" outlineLevel="0" collapsed="false">
      <c r="A21" s="12"/>
      <c r="B21" s="12"/>
      <c r="C21" s="12"/>
      <c r="D21" s="12"/>
      <c r="E21" s="12"/>
      <c r="F21" s="12"/>
      <c r="G21" s="12"/>
      <c r="H21" s="12"/>
      <c r="I21" s="12"/>
      <c r="J21" s="12"/>
      <c r="K21" s="12"/>
      <c r="L21" s="12"/>
      <c r="M21" s="12"/>
      <c r="N21" s="12"/>
      <c r="O21" s="12"/>
      <c r="P21" s="12"/>
      <c r="Q21" s="12"/>
      <c r="R21" s="12"/>
      <c r="S21" s="12"/>
      <c r="T21" s="12"/>
      <c r="U21" s="12"/>
      <c r="V21" s="12"/>
      <c r="W21" s="13"/>
      <c r="X21" s="14" t="str">
        <f aca="false">IF(W21="","",W21+182)</f>
        <v/>
      </c>
      <c r="Y21" s="15" t="str">
        <f aca="false">IF(A21="","",IFERROR(_xlfn.MAXIFS('Risk Register'!$J:$J,'Risk Register'!$B:$B,A21,'Risk Register'!$V:$V,"&lt;&gt;Done"),0))</f>
        <v/>
      </c>
      <c r="Z21" s="15" t="str">
        <f aca="true">IF(A21="","",IF(LEFT(R21,10)="Prohibite","STOP - prohibited practice under Art. 5. ","")&amp;IF(OR(Q21="To assess",R21="To assess",Q21="",R21=""),"Classify role and risk class. ","")&amp;IF(AND(K21="Yes",O21="Yes",P21="Yes"),"Lethal trifecta: private data + untrusted input + external action - remove one leg. ","")&amp;IF(AND(LEFT(R21,9)="High-risk",S21="Not applicable",MID(R21,13,9)="Annex III"),"Pick the Annex III area. ","")&amp;IF(AND(OR(K21="Yes",LEFT(R21,9)="High-risk"),T21&lt;&gt;"Yes"),"Impact assessment outstanding. ","")&amp;IF(AND(M21="Decides automatically",U21&lt;&gt;"Yes"),"Automated decision without defined human oversight. ","")&amp;IF(AND(J21="Production",V21&lt;&gt;"Yes"),"Production system without full logging. ","")&amp;IF(AND(X21&lt;&gt;"",X21&lt;TODAY()),"Review overdue. ","")&amp;IF(B21="","Name the system. ",""))</f>
        <v/>
      </c>
    </row>
    <row r="22" customFormat="false" ht="15" hidden="false" customHeight="false" outlineLevel="0" collapsed="false">
      <c r="A22" s="12"/>
      <c r="B22" s="12"/>
      <c r="C22" s="12"/>
      <c r="D22" s="12"/>
      <c r="E22" s="12"/>
      <c r="F22" s="12"/>
      <c r="G22" s="12"/>
      <c r="H22" s="12"/>
      <c r="I22" s="12"/>
      <c r="J22" s="12"/>
      <c r="K22" s="12"/>
      <c r="L22" s="12"/>
      <c r="M22" s="12"/>
      <c r="N22" s="12"/>
      <c r="O22" s="12"/>
      <c r="P22" s="12"/>
      <c r="Q22" s="12"/>
      <c r="R22" s="12"/>
      <c r="S22" s="12"/>
      <c r="T22" s="12"/>
      <c r="U22" s="12"/>
      <c r="V22" s="12"/>
      <c r="W22" s="13"/>
      <c r="X22" s="14" t="str">
        <f aca="false">IF(W22="","",W22+182)</f>
        <v/>
      </c>
      <c r="Y22" s="15" t="str">
        <f aca="false">IF(A22="","",IFERROR(_xlfn.MAXIFS('Risk Register'!$J:$J,'Risk Register'!$B:$B,A22,'Risk Register'!$V:$V,"&lt;&gt;Done"),0))</f>
        <v/>
      </c>
      <c r="Z22" s="15" t="str">
        <f aca="true">IF(A22="","",IF(LEFT(R22,10)="Prohibite","STOP - prohibited practice under Art. 5. ","")&amp;IF(OR(Q22="To assess",R22="To assess",Q22="",R22=""),"Classify role and risk class. ","")&amp;IF(AND(K22="Yes",O22="Yes",P22="Yes"),"Lethal trifecta: private data + untrusted input + external action - remove one leg. ","")&amp;IF(AND(LEFT(R22,9)="High-risk",S22="Not applicable",MID(R22,13,9)="Annex III"),"Pick the Annex III area. ","")&amp;IF(AND(OR(K22="Yes",LEFT(R22,9)="High-risk"),T22&lt;&gt;"Yes"),"Impact assessment outstanding. ","")&amp;IF(AND(M22="Decides automatically",U22&lt;&gt;"Yes"),"Automated decision without defined human oversight. ","")&amp;IF(AND(J22="Production",V22&lt;&gt;"Yes"),"Production system without full logging. ","")&amp;IF(AND(X22&lt;&gt;"",X22&lt;TODAY()),"Review overdue. ","")&amp;IF(B22="","Name the system. ",""))</f>
        <v/>
      </c>
    </row>
    <row r="23" customFormat="false" ht="15" hidden="false" customHeight="false" outlineLevel="0" collapsed="false">
      <c r="A23" s="12"/>
      <c r="B23" s="12"/>
      <c r="C23" s="12"/>
      <c r="D23" s="12"/>
      <c r="E23" s="12"/>
      <c r="F23" s="12"/>
      <c r="G23" s="12"/>
      <c r="H23" s="12"/>
      <c r="I23" s="12"/>
      <c r="J23" s="12"/>
      <c r="K23" s="12"/>
      <c r="L23" s="12"/>
      <c r="M23" s="12"/>
      <c r="N23" s="12"/>
      <c r="O23" s="12"/>
      <c r="P23" s="12"/>
      <c r="Q23" s="12"/>
      <c r="R23" s="12"/>
      <c r="S23" s="12"/>
      <c r="T23" s="12"/>
      <c r="U23" s="12"/>
      <c r="V23" s="12"/>
      <c r="W23" s="13"/>
      <c r="X23" s="14" t="str">
        <f aca="false">IF(W23="","",W23+182)</f>
        <v/>
      </c>
      <c r="Y23" s="15" t="str">
        <f aca="false">IF(A23="","",IFERROR(_xlfn.MAXIFS('Risk Register'!$J:$J,'Risk Register'!$B:$B,A23,'Risk Register'!$V:$V,"&lt;&gt;Done"),0))</f>
        <v/>
      </c>
      <c r="Z23" s="15" t="str">
        <f aca="true">IF(A23="","",IF(LEFT(R23,10)="Prohibite","STOP - prohibited practice under Art. 5. ","")&amp;IF(OR(Q23="To assess",R23="To assess",Q23="",R23=""),"Classify role and risk class. ","")&amp;IF(AND(K23="Yes",O23="Yes",P23="Yes"),"Lethal trifecta: private data + untrusted input + external action - remove one leg. ","")&amp;IF(AND(LEFT(R23,9)="High-risk",S23="Not applicable",MID(R23,13,9)="Annex III"),"Pick the Annex III area. ","")&amp;IF(AND(OR(K23="Yes",LEFT(R23,9)="High-risk"),T23&lt;&gt;"Yes"),"Impact assessment outstanding. ","")&amp;IF(AND(M23="Decides automatically",U23&lt;&gt;"Yes"),"Automated decision without defined human oversight. ","")&amp;IF(AND(J23="Production",V23&lt;&gt;"Yes"),"Production system without full logging. ","")&amp;IF(AND(X23&lt;&gt;"",X23&lt;TODAY()),"Review overdue. ","")&amp;IF(B23="","Name the system. ",""))</f>
        <v/>
      </c>
    </row>
    <row r="24" customFormat="false" ht="15" hidden="false" customHeight="false" outlineLevel="0" collapsed="false">
      <c r="A24" s="12"/>
      <c r="B24" s="12"/>
      <c r="C24" s="12"/>
      <c r="D24" s="12"/>
      <c r="E24" s="12"/>
      <c r="F24" s="12"/>
      <c r="G24" s="12"/>
      <c r="H24" s="12"/>
      <c r="I24" s="12"/>
      <c r="J24" s="12"/>
      <c r="K24" s="12"/>
      <c r="L24" s="12"/>
      <c r="M24" s="12"/>
      <c r="N24" s="12"/>
      <c r="O24" s="12"/>
      <c r="P24" s="12"/>
      <c r="Q24" s="12"/>
      <c r="R24" s="12"/>
      <c r="S24" s="12"/>
      <c r="T24" s="12"/>
      <c r="U24" s="12"/>
      <c r="V24" s="12"/>
      <c r="W24" s="13"/>
      <c r="X24" s="14" t="str">
        <f aca="false">IF(W24="","",W24+182)</f>
        <v/>
      </c>
      <c r="Y24" s="15" t="str">
        <f aca="false">IF(A24="","",IFERROR(_xlfn.MAXIFS('Risk Register'!$J:$J,'Risk Register'!$B:$B,A24,'Risk Register'!$V:$V,"&lt;&gt;Done"),0))</f>
        <v/>
      </c>
      <c r="Z24" s="15" t="str">
        <f aca="true">IF(A24="","",IF(LEFT(R24,10)="Prohibite","STOP - prohibited practice under Art. 5. ","")&amp;IF(OR(Q24="To assess",R24="To assess",Q24="",R24=""),"Classify role and risk class. ","")&amp;IF(AND(K24="Yes",O24="Yes",P24="Yes"),"Lethal trifecta: private data + untrusted input + external action - remove one leg. ","")&amp;IF(AND(LEFT(R24,9)="High-risk",S24="Not applicable",MID(R24,13,9)="Annex III"),"Pick the Annex III area. ","")&amp;IF(AND(OR(K24="Yes",LEFT(R24,9)="High-risk"),T24&lt;&gt;"Yes"),"Impact assessment outstanding. ","")&amp;IF(AND(M24="Decides automatically",U24&lt;&gt;"Yes"),"Automated decision without defined human oversight. ","")&amp;IF(AND(J24="Production",V24&lt;&gt;"Yes"),"Production system without full logging. ","")&amp;IF(AND(X24&lt;&gt;"",X24&lt;TODAY()),"Review overdue. ","")&amp;IF(B24="","Name the system. ",""))</f>
        <v/>
      </c>
    </row>
    <row r="25" customFormat="false" ht="15" hidden="false" customHeight="false" outlineLevel="0" collapsed="false">
      <c r="A25" s="12"/>
      <c r="B25" s="12"/>
      <c r="C25" s="12"/>
      <c r="D25" s="12"/>
      <c r="E25" s="12"/>
      <c r="F25" s="12"/>
      <c r="G25" s="12"/>
      <c r="H25" s="12"/>
      <c r="I25" s="12"/>
      <c r="J25" s="12"/>
      <c r="K25" s="12"/>
      <c r="L25" s="12"/>
      <c r="M25" s="12"/>
      <c r="N25" s="12"/>
      <c r="O25" s="12"/>
      <c r="P25" s="12"/>
      <c r="Q25" s="12"/>
      <c r="R25" s="12"/>
      <c r="S25" s="12"/>
      <c r="T25" s="12"/>
      <c r="U25" s="12"/>
      <c r="V25" s="12"/>
      <c r="W25" s="13"/>
      <c r="X25" s="14" t="str">
        <f aca="false">IF(W25="","",W25+182)</f>
        <v/>
      </c>
      <c r="Y25" s="15" t="str">
        <f aca="false">IF(A25="","",IFERROR(_xlfn.MAXIFS('Risk Register'!$J:$J,'Risk Register'!$B:$B,A25,'Risk Register'!$V:$V,"&lt;&gt;Done"),0))</f>
        <v/>
      </c>
      <c r="Z25" s="15" t="str">
        <f aca="true">IF(A25="","",IF(LEFT(R25,10)="Prohibite","STOP - prohibited practice under Art. 5. ","")&amp;IF(OR(Q25="To assess",R25="To assess",Q25="",R25=""),"Classify role and risk class. ","")&amp;IF(AND(K25="Yes",O25="Yes",P25="Yes"),"Lethal trifecta: private data + untrusted input + external action - remove one leg. ","")&amp;IF(AND(LEFT(R25,9)="High-risk",S25="Not applicable",MID(R25,13,9)="Annex III"),"Pick the Annex III area. ","")&amp;IF(AND(OR(K25="Yes",LEFT(R25,9)="High-risk"),T25&lt;&gt;"Yes"),"Impact assessment outstanding. ","")&amp;IF(AND(M25="Decides automatically",U25&lt;&gt;"Yes"),"Automated decision without defined human oversight. ","")&amp;IF(AND(J25="Production",V25&lt;&gt;"Yes"),"Production system without full logging. ","")&amp;IF(AND(X25&lt;&gt;"",X25&lt;TODAY()),"Review overdue. ","")&amp;IF(B25="","Name the system. ",""))</f>
        <v/>
      </c>
    </row>
    <row r="26" customFormat="false" ht="15" hidden="false" customHeight="false" outlineLevel="0" collapsed="false">
      <c r="A26" s="12"/>
      <c r="B26" s="12"/>
      <c r="C26" s="12"/>
      <c r="D26" s="12"/>
      <c r="E26" s="12"/>
      <c r="F26" s="12"/>
      <c r="G26" s="12"/>
      <c r="H26" s="12"/>
      <c r="I26" s="12"/>
      <c r="J26" s="12"/>
      <c r="K26" s="12"/>
      <c r="L26" s="12"/>
      <c r="M26" s="12"/>
      <c r="N26" s="12"/>
      <c r="O26" s="12"/>
      <c r="P26" s="12"/>
      <c r="Q26" s="12"/>
      <c r="R26" s="12"/>
      <c r="S26" s="12"/>
      <c r="T26" s="12"/>
      <c r="U26" s="12"/>
      <c r="V26" s="12"/>
      <c r="W26" s="13"/>
      <c r="X26" s="14" t="str">
        <f aca="false">IF(W26="","",W26+182)</f>
        <v/>
      </c>
      <c r="Y26" s="15" t="str">
        <f aca="false">IF(A26="","",IFERROR(_xlfn.MAXIFS('Risk Register'!$J:$J,'Risk Register'!$B:$B,A26,'Risk Register'!$V:$V,"&lt;&gt;Done"),0))</f>
        <v/>
      </c>
      <c r="Z26" s="15" t="str">
        <f aca="true">IF(A26="","",IF(LEFT(R26,10)="Prohibite","STOP - prohibited practice under Art. 5. ","")&amp;IF(OR(Q26="To assess",R26="To assess",Q26="",R26=""),"Classify role and risk class. ","")&amp;IF(AND(K26="Yes",O26="Yes",P26="Yes"),"Lethal trifecta: private data + untrusted input + external action - remove one leg. ","")&amp;IF(AND(LEFT(R26,9)="High-risk",S26="Not applicable",MID(R26,13,9)="Annex III"),"Pick the Annex III area. ","")&amp;IF(AND(OR(K26="Yes",LEFT(R26,9)="High-risk"),T26&lt;&gt;"Yes"),"Impact assessment outstanding. ","")&amp;IF(AND(M26="Decides automatically",U26&lt;&gt;"Yes"),"Automated decision without defined human oversight. ","")&amp;IF(AND(J26="Production",V26&lt;&gt;"Yes"),"Production system without full logging. ","")&amp;IF(AND(X26&lt;&gt;"",X26&lt;TODAY()),"Review overdue. ","")&amp;IF(B26="","Name the system. ",""))</f>
        <v/>
      </c>
    </row>
    <row r="27" customFormat="false" ht="15" hidden="false" customHeight="false" outlineLevel="0" collapsed="false">
      <c r="A27" s="12"/>
      <c r="B27" s="12"/>
      <c r="C27" s="12"/>
      <c r="D27" s="12"/>
      <c r="E27" s="12"/>
      <c r="F27" s="12"/>
      <c r="G27" s="12"/>
      <c r="H27" s="12"/>
      <c r="I27" s="12"/>
      <c r="J27" s="12"/>
      <c r="K27" s="12"/>
      <c r="L27" s="12"/>
      <c r="M27" s="12"/>
      <c r="N27" s="12"/>
      <c r="O27" s="12"/>
      <c r="P27" s="12"/>
      <c r="Q27" s="12"/>
      <c r="R27" s="12"/>
      <c r="S27" s="12"/>
      <c r="T27" s="12"/>
      <c r="U27" s="12"/>
      <c r="V27" s="12"/>
      <c r="W27" s="13"/>
      <c r="X27" s="14" t="str">
        <f aca="false">IF(W27="","",W27+182)</f>
        <v/>
      </c>
      <c r="Y27" s="15" t="str">
        <f aca="false">IF(A27="","",IFERROR(_xlfn.MAXIFS('Risk Register'!$J:$J,'Risk Register'!$B:$B,A27,'Risk Register'!$V:$V,"&lt;&gt;Done"),0))</f>
        <v/>
      </c>
      <c r="Z27" s="15" t="str">
        <f aca="true">IF(A27="","",IF(LEFT(R27,10)="Prohibite","STOP - prohibited practice under Art. 5. ","")&amp;IF(OR(Q27="To assess",R27="To assess",Q27="",R27=""),"Classify role and risk class. ","")&amp;IF(AND(K27="Yes",O27="Yes",P27="Yes"),"Lethal trifecta: private data + untrusted input + external action - remove one leg. ","")&amp;IF(AND(LEFT(R27,9)="High-risk",S27="Not applicable",MID(R27,13,9)="Annex III"),"Pick the Annex III area. ","")&amp;IF(AND(OR(K27="Yes",LEFT(R27,9)="High-risk"),T27&lt;&gt;"Yes"),"Impact assessment outstanding. ","")&amp;IF(AND(M27="Decides automatically",U27&lt;&gt;"Yes"),"Automated decision without defined human oversight. ","")&amp;IF(AND(J27="Production",V27&lt;&gt;"Yes"),"Production system without full logging. ","")&amp;IF(AND(X27&lt;&gt;"",X27&lt;TODAY()),"Review overdue. ","")&amp;IF(B27="","Name the system. ",""))</f>
        <v/>
      </c>
    </row>
    <row r="28" customFormat="false" ht="15" hidden="false" customHeight="false" outlineLevel="0" collapsed="false">
      <c r="A28" s="12"/>
      <c r="B28" s="12"/>
      <c r="C28" s="12"/>
      <c r="D28" s="12"/>
      <c r="E28" s="12"/>
      <c r="F28" s="12"/>
      <c r="G28" s="12"/>
      <c r="H28" s="12"/>
      <c r="I28" s="12"/>
      <c r="J28" s="12"/>
      <c r="K28" s="12"/>
      <c r="L28" s="12"/>
      <c r="M28" s="12"/>
      <c r="N28" s="12"/>
      <c r="O28" s="12"/>
      <c r="P28" s="12"/>
      <c r="Q28" s="12"/>
      <c r="R28" s="12"/>
      <c r="S28" s="12"/>
      <c r="T28" s="12"/>
      <c r="U28" s="12"/>
      <c r="V28" s="12"/>
      <c r="W28" s="13"/>
      <c r="X28" s="14" t="str">
        <f aca="false">IF(W28="","",W28+182)</f>
        <v/>
      </c>
      <c r="Y28" s="15" t="str">
        <f aca="false">IF(A28="","",IFERROR(_xlfn.MAXIFS('Risk Register'!$J:$J,'Risk Register'!$B:$B,A28,'Risk Register'!$V:$V,"&lt;&gt;Done"),0))</f>
        <v/>
      </c>
      <c r="Z28" s="15" t="str">
        <f aca="true">IF(A28="","",IF(LEFT(R28,10)="Prohibite","STOP - prohibited practice under Art. 5. ","")&amp;IF(OR(Q28="To assess",R28="To assess",Q28="",R28=""),"Classify role and risk class. ","")&amp;IF(AND(K28="Yes",O28="Yes",P28="Yes"),"Lethal trifecta: private data + untrusted input + external action - remove one leg. ","")&amp;IF(AND(LEFT(R28,9)="High-risk",S28="Not applicable",MID(R28,13,9)="Annex III"),"Pick the Annex III area. ","")&amp;IF(AND(OR(K28="Yes",LEFT(R28,9)="High-risk"),T28&lt;&gt;"Yes"),"Impact assessment outstanding. ","")&amp;IF(AND(M28="Decides automatically",U28&lt;&gt;"Yes"),"Automated decision without defined human oversight. ","")&amp;IF(AND(J28="Production",V28&lt;&gt;"Yes"),"Production system without full logging. ","")&amp;IF(AND(X28&lt;&gt;"",X28&lt;TODAY()),"Review overdue. ","")&amp;IF(B28="","Name the system. ",""))</f>
        <v/>
      </c>
    </row>
    <row r="29" customFormat="false" ht="15" hidden="false" customHeight="false" outlineLevel="0" collapsed="false">
      <c r="A29" s="12"/>
      <c r="B29" s="12"/>
      <c r="C29" s="12"/>
      <c r="D29" s="12"/>
      <c r="E29" s="12"/>
      <c r="F29" s="12"/>
      <c r="G29" s="12"/>
      <c r="H29" s="12"/>
      <c r="I29" s="12"/>
      <c r="J29" s="12"/>
      <c r="K29" s="12"/>
      <c r="L29" s="12"/>
      <c r="M29" s="12"/>
      <c r="N29" s="12"/>
      <c r="O29" s="12"/>
      <c r="P29" s="12"/>
      <c r="Q29" s="12"/>
      <c r="R29" s="12"/>
      <c r="S29" s="12"/>
      <c r="T29" s="12"/>
      <c r="U29" s="12"/>
      <c r="V29" s="12"/>
      <c r="W29" s="13"/>
      <c r="X29" s="14" t="str">
        <f aca="false">IF(W29="","",W29+182)</f>
        <v/>
      </c>
      <c r="Y29" s="15" t="str">
        <f aca="false">IF(A29="","",IFERROR(_xlfn.MAXIFS('Risk Register'!$J:$J,'Risk Register'!$B:$B,A29,'Risk Register'!$V:$V,"&lt;&gt;Done"),0))</f>
        <v/>
      </c>
      <c r="Z29" s="15" t="str">
        <f aca="true">IF(A29="","",IF(LEFT(R29,10)="Prohibite","STOP - prohibited practice under Art. 5. ","")&amp;IF(OR(Q29="To assess",R29="To assess",Q29="",R29=""),"Classify role and risk class. ","")&amp;IF(AND(K29="Yes",O29="Yes",P29="Yes"),"Lethal trifecta: private data + untrusted input + external action - remove one leg. ","")&amp;IF(AND(LEFT(R29,9)="High-risk",S29="Not applicable",MID(R29,13,9)="Annex III"),"Pick the Annex III area. ","")&amp;IF(AND(OR(K29="Yes",LEFT(R29,9)="High-risk"),T29&lt;&gt;"Yes"),"Impact assessment outstanding. ","")&amp;IF(AND(M29="Decides automatically",U29&lt;&gt;"Yes"),"Automated decision without defined human oversight. ","")&amp;IF(AND(J29="Production",V29&lt;&gt;"Yes"),"Production system without full logging. ","")&amp;IF(AND(X29&lt;&gt;"",X29&lt;TODAY()),"Review overdue. ","")&amp;IF(B29="","Name the system. ",""))</f>
        <v/>
      </c>
    </row>
    <row r="30" customFormat="false" ht="15" hidden="false" customHeight="false" outlineLevel="0" collapsed="false">
      <c r="A30" s="12"/>
      <c r="B30" s="12"/>
      <c r="C30" s="12"/>
      <c r="D30" s="12"/>
      <c r="E30" s="12"/>
      <c r="F30" s="12"/>
      <c r="G30" s="12"/>
      <c r="H30" s="12"/>
      <c r="I30" s="12"/>
      <c r="J30" s="12"/>
      <c r="K30" s="12"/>
      <c r="L30" s="12"/>
      <c r="M30" s="12"/>
      <c r="N30" s="12"/>
      <c r="O30" s="12"/>
      <c r="P30" s="12"/>
      <c r="Q30" s="12"/>
      <c r="R30" s="12"/>
      <c r="S30" s="12"/>
      <c r="T30" s="12"/>
      <c r="U30" s="12"/>
      <c r="V30" s="12"/>
      <c r="W30" s="13"/>
      <c r="X30" s="14" t="str">
        <f aca="false">IF(W30="","",W30+182)</f>
        <v/>
      </c>
      <c r="Y30" s="15" t="str">
        <f aca="false">IF(A30="","",IFERROR(_xlfn.MAXIFS('Risk Register'!$J:$J,'Risk Register'!$B:$B,A30,'Risk Register'!$V:$V,"&lt;&gt;Done"),0))</f>
        <v/>
      </c>
      <c r="Z30" s="15" t="str">
        <f aca="true">IF(A30="","",IF(LEFT(R30,10)="Prohibite","STOP - prohibited practice under Art. 5. ","")&amp;IF(OR(Q30="To assess",R30="To assess",Q30="",R30=""),"Classify role and risk class. ","")&amp;IF(AND(K30="Yes",O30="Yes",P30="Yes"),"Lethal trifecta: private data + untrusted input + external action - remove one leg. ","")&amp;IF(AND(LEFT(R30,9)="High-risk",S30="Not applicable",MID(R30,13,9)="Annex III"),"Pick the Annex III area. ","")&amp;IF(AND(OR(K30="Yes",LEFT(R30,9)="High-risk"),T30&lt;&gt;"Yes"),"Impact assessment outstanding. ","")&amp;IF(AND(M30="Decides automatically",U30&lt;&gt;"Yes"),"Automated decision without defined human oversight. ","")&amp;IF(AND(J30="Production",V30&lt;&gt;"Yes"),"Production system without full logging. ","")&amp;IF(AND(X30&lt;&gt;"",X30&lt;TODAY()),"Review overdue. ","")&amp;IF(B30="","Name the system. ",""))</f>
        <v/>
      </c>
    </row>
    <row r="31" customFormat="false" ht="15" hidden="false" customHeight="false" outlineLevel="0" collapsed="false">
      <c r="A31" s="12"/>
      <c r="B31" s="12"/>
      <c r="C31" s="12"/>
      <c r="D31" s="12"/>
      <c r="E31" s="12"/>
      <c r="F31" s="12"/>
      <c r="G31" s="12"/>
      <c r="H31" s="12"/>
      <c r="I31" s="12"/>
      <c r="J31" s="12"/>
      <c r="K31" s="12"/>
      <c r="L31" s="12"/>
      <c r="M31" s="12"/>
      <c r="N31" s="12"/>
      <c r="O31" s="12"/>
      <c r="P31" s="12"/>
      <c r="Q31" s="12"/>
      <c r="R31" s="12"/>
      <c r="S31" s="12"/>
      <c r="T31" s="12"/>
      <c r="U31" s="12"/>
      <c r="V31" s="12"/>
      <c r="W31" s="13"/>
      <c r="X31" s="14" t="str">
        <f aca="false">IF(W31="","",W31+182)</f>
        <v/>
      </c>
      <c r="Y31" s="15" t="str">
        <f aca="false">IF(A31="","",IFERROR(_xlfn.MAXIFS('Risk Register'!$J:$J,'Risk Register'!$B:$B,A31,'Risk Register'!$V:$V,"&lt;&gt;Done"),0))</f>
        <v/>
      </c>
      <c r="Z31" s="15" t="str">
        <f aca="true">IF(A31="","",IF(LEFT(R31,10)="Prohibite","STOP - prohibited practice under Art. 5. ","")&amp;IF(OR(Q31="To assess",R31="To assess",Q31="",R31=""),"Classify role and risk class. ","")&amp;IF(AND(K31="Yes",O31="Yes",P31="Yes"),"Lethal trifecta: private data + untrusted input + external action - remove one leg. ","")&amp;IF(AND(LEFT(R31,9)="High-risk",S31="Not applicable",MID(R31,13,9)="Annex III"),"Pick the Annex III area. ","")&amp;IF(AND(OR(K31="Yes",LEFT(R31,9)="High-risk"),T31&lt;&gt;"Yes"),"Impact assessment outstanding. ","")&amp;IF(AND(M31="Decides automatically",U31&lt;&gt;"Yes"),"Automated decision without defined human oversight. ","")&amp;IF(AND(J31="Production",V31&lt;&gt;"Yes"),"Production system without full logging. ","")&amp;IF(AND(X31&lt;&gt;"",X31&lt;TODAY()),"Review overdue. ","")&amp;IF(B31="","Name the system. ",""))</f>
        <v/>
      </c>
    </row>
    <row r="32" customFormat="false" ht="15" hidden="false" customHeight="false" outlineLevel="0" collapsed="false">
      <c r="A32" s="12"/>
      <c r="B32" s="12"/>
      <c r="C32" s="12"/>
      <c r="D32" s="12"/>
      <c r="E32" s="12"/>
      <c r="F32" s="12"/>
      <c r="G32" s="12"/>
      <c r="H32" s="12"/>
      <c r="I32" s="12"/>
      <c r="J32" s="12"/>
      <c r="K32" s="12"/>
      <c r="L32" s="12"/>
      <c r="M32" s="12"/>
      <c r="N32" s="12"/>
      <c r="O32" s="12"/>
      <c r="P32" s="12"/>
      <c r="Q32" s="12"/>
      <c r="R32" s="12"/>
      <c r="S32" s="12"/>
      <c r="T32" s="12"/>
      <c r="U32" s="12"/>
      <c r="V32" s="12"/>
      <c r="W32" s="13"/>
      <c r="X32" s="14" t="str">
        <f aca="false">IF(W32="","",W32+182)</f>
        <v/>
      </c>
      <c r="Y32" s="15" t="str">
        <f aca="false">IF(A32="","",IFERROR(_xlfn.MAXIFS('Risk Register'!$J:$J,'Risk Register'!$B:$B,A32,'Risk Register'!$V:$V,"&lt;&gt;Done"),0))</f>
        <v/>
      </c>
      <c r="Z32" s="15" t="str">
        <f aca="true">IF(A32="","",IF(LEFT(R32,10)="Prohibite","STOP - prohibited practice under Art. 5. ","")&amp;IF(OR(Q32="To assess",R32="To assess",Q32="",R32=""),"Classify role and risk class. ","")&amp;IF(AND(K32="Yes",O32="Yes",P32="Yes"),"Lethal trifecta: private data + untrusted input + external action - remove one leg. ","")&amp;IF(AND(LEFT(R32,9)="High-risk",S32="Not applicable",MID(R32,13,9)="Annex III"),"Pick the Annex III area. ","")&amp;IF(AND(OR(K32="Yes",LEFT(R32,9)="High-risk"),T32&lt;&gt;"Yes"),"Impact assessment outstanding. ","")&amp;IF(AND(M32="Decides automatically",U32&lt;&gt;"Yes"),"Automated decision without defined human oversight. ","")&amp;IF(AND(J32="Production",V32&lt;&gt;"Yes"),"Production system without full logging. ","")&amp;IF(AND(X32&lt;&gt;"",X32&lt;TODAY()),"Review overdue. ","")&amp;IF(B32="","Name the system. ",""))</f>
        <v/>
      </c>
    </row>
    <row r="33" customFormat="false" ht="15" hidden="false" customHeight="false" outlineLevel="0" collapsed="false">
      <c r="A33" s="12"/>
      <c r="B33" s="12"/>
      <c r="C33" s="12"/>
      <c r="D33" s="12"/>
      <c r="E33" s="12"/>
      <c r="F33" s="12"/>
      <c r="G33" s="12"/>
      <c r="H33" s="12"/>
      <c r="I33" s="12"/>
      <c r="J33" s="12"/>
      <c r="K33" s="12"/>
      <c r="L33" s="12"/>
      <c r="M33" s="12"/>
      <c r="N33" s="12"/>
      <c r="O33" s="12"/>
      <c r="P33" s="12"/>
      <c r="Q33" s="12"/>
      <c r="R33" s="12"/>
      <c r="S33" s="12"/>
      <c r="T33" s="12"/>
      <c r="U33" s="12"/>
      <c r="V33" s="12"/>
      <c r="W33" s="13"/>
      <c r="X33" s="14" t="str">
        <f aca="false">IF(W33="","",W33+182)</f>
        <v/>
      </c>
      <c r="Y33" s="15" t="str">
        <f aca="false">IF(A33="","",IFERROR(_xlfn.MAXIFS('Risk Register'!$J:$J,'Risk Register'!$B:$B,A33,'Risk Register'!$V:$V,"&lt;&gt;Done"),0))</f>
        <v/>
      </c>
      <c r="Z33" s="15" t="str">
        <f aca="true">IF(A33="","",IF(LEFT(R33,10)="Prohibite","STOP - prohibited practice under Art. 5. ","")&amp;IF(OR(Q33="To assess",R33="To assess",Q33="",R33=""),"Classify role and risk class. ","")&amp;IF(AND(K33="Yes",O33="Yes",P33="Yes"),"Lethal trifecta: private data + untrusted input + external action - remove one leg. ","")&amp;IF(AND(LEFT(R33,9)="High-risk",S33="Not applicable",MID(R33,13,9)="Annex III"),"Pick the Annex III area. ","")&amp;IF(AND(OR(K33="Yes",LEFT(R33,9)="High-risk"),T33&lt;&gt;"Yes"),"Impact assessment outstanding. ","")&amp;IF(AND(M33="Decides automatically",U33&lt;&gt;"Yes"),"Automated decision without defined human oversight. ","")&amp;IF(AND(J33="Production",V33&lt;&gt;"Yes"),"Production system without full logging. ","")&amp;IF(AND(X33&lt;&gt;"",X33&lt;TODAY()),"Review overdue. ","")&amp;IF(B33="","Name the system. ",""))</f>
        <v/>
      </c>
    </row>
    <row r="34" customFormat="false" ht="15" hidden="false" customHeight="false" outlineLevel="0" collapsed="false">
      <c r="A34" s="12"/>
      <c r="B34" s="12"/>
      <c r="C34" s="12"/>
      <c r="D34" s="12"/>
      <c r="E34" s="12"/>
      <c r="F34" s="12"/>
      <c r="G34" s="12"/>
      <c r="H34" s="12"/>
      <c r="I34" s="12"/>
      <c r="J34" s="12"/>
      <c r="K34" s="12"/>
      <c r="L34" s="12"/>
      <c r="M34" s="12"/>
      <c r="N34" s="12"/>
      <c r="O34" s="12"/>
      <c r="P34" s="12"/>
      <c r="Q34" s="12"/>
      <c r="R34" s="12"/>
      <c r="S34" s="12"/>
      <c r="T34" s="12"/>
      <c r="U34" s="12"/>
      <c r="V34" s="12"/>
      <c r="W34" s="13"/>
      <c r="X34" s="14" t="str">
        <f aca="false">IF(W34="","",W34+182)</f>
        <v/>
      </c>
      <c r="Y34" s="15" t="str">
        <f aca="false">IF(A34="","",IFERROR(_xlfn.MAXIFS('Risk Register'!$J:$J,'Risk Register'!$B:$B,A34,'Risk Register'!$V:$V,"&lt;&gt;Done"),0))</f>
        <v/>
      </c>
      <c r="Z34" s="15" t="str">
        <f aca="true">IF(A34="","",IF(LEFT(R34,10)="Prohibite","STOP - prohibited practice under Art. 5. ","")&amp;IF(OR(Q34="To assess",R34="To assess",Q34="",R34=""),"Classify role and risk class. ","")&amp;IF(AND(K34="Yes",O34="Yes",P34="Yes"),"Lethal trifecta: private data + untrusted input + external action - remove one leg. ","")&amp;IF(AND(LEFT(R34,9)="High-risk",S34="Not applicable",MID(R34,13,9)="Annex III"),"Pick the Annex III area. ","")&amp;IF(AND(OR(K34="Yes",LEFT(R34,9)="High-risk"),T34&lt;&gt;"Yes"),"Impact assessment outstanding. ","")&amp;IF(AND(M34="Decides automatically",U34&lt;&gt;"Yes"),"Automated decision without defined human oversight. ","")&amp;IF(AND(J34="Production",V34&lt;&gt;"Yes"),"Production system without full logging. ","")&amp;IF(AND(X34&lt;&gt;"",X34&lt;TODAY()),"Review overdue. ","")&amp;IF(B34="","Name the system. ",""))</f>
        <v/>
      </c>
    </row>
    <row r="35" customFormat="false" ht="15" hidden="false" customHeight="false" outlineLevel="0" collapsed="false">
      <c r="A35" s="12"/>
      <c r="B35" s="12"/>
      <c r="C35" s="12"/>
      <c r="D35" s="12"/>
      <c r="E35" s="12"/>
      <c r="F35" s="12"/>
      <c r="G35" s="12"/>
      <c r="H35" s="12"/>
      <c r="I35" s="12"/>
      <c r="J35" s="12"/>
      <c r="K35" s="12"/>
      <c r="L35" s="12"/>
      <c r="M35" s="12"/>
      <c r="N35" s="12"/>
      <c r="O35" s="12"/>
      <c r="P35" s="12"/>
      <c r="Q35" s="12"/>
      <c r="R35" s="12"/>
      <c r="S35" s="12"/>
      <c r="T35" s="12"/>
      <c r="U35" s="12"/>
      <c r="V35" s="12"/>
      <c r="W35" s="13"/>
      <c r="X35" s="14" t="str">
        <f aca="false">IF(W35="","",W35+182)</f>
        <v/>
      </c>
      <c r="Y35" s="15" t="str">
        <f aca="false">IF(A35="","",IFERROR(_xlfn.MAXIFS('Risk Register'!$J:$J,'Risk Register'!$B:$B,A35,'Risk Register'!$V:$V,"&lt;&gt;Done"),0))</f>
        <v/>
      </c>
      <c r="Z35" s="15" t="str">
        <f aca="true">IF(A35="","",IF(LEFT(R35,10)="Prohibite","STOP - prohibited practice under Art. 5. ","")&amp;IF(OR(Q35="To assess",R35="To assess",Q35="",R35=""),"Classify role and risk class. ","")&amp;IF(AND(K35="Yes",O35="Yes",P35="Yes"),"Lethal trifecta: private data + untrusted input + external action - remove one leg. ","")&amp;IF(AND(LEFT(R35,9)="High-risk",S35="Not applicable",MID(R35,13,9)="Annex III"),"Pick the Annex III area. ","")&amp;IF(AND(OR(K35="Yes",LEFT(R35,9)="High-risk"),T35&lt;&gt;"Yes"),"Impact assessment outstanding. ","")&amp;IF(AND(M35="Decides automatically",U35&lt;&gt;"Yes"),"Automated decision without defined human oversight. ","")&amp;IF(AND(J35="Production",V35&lt;&gt;"Yes"),"Production system without full logging. ","")&amp;IF(AND(X35&lt;&gt;"",X35&lt;TODAY()),"Review overdue. ","")&amp;IF(B35="","Name the system. ",""))</f>
        <v/>
      </c>
    </row>
    <row r="36" customFormat="false" ht="15" hidden="false" customHeight="false" outlineLevel="0" collapsed="false">
      <c r="A36" s="12"/>
      <c r="B36" s="12"/>
      <c r="C36" s="12"/>
      <c r="D36" s="12"/>
      <c r="E36" s="12"/>
      <c r="F36" s="12"/>
      <c r="G36" s="12"/>
      <c r="H36" s="12"/>
      <c r="I36" s="12"/>
      <c r="J36" s="12"/>
      <c r="K36" s="12"/>
      <c r="L36" s="12"/>
      <c r="M36" s="12"/>
      <c r="N36" s="12"/>
      <c r="O36" s="12"/>
      <c r="P36" s="12"/>
      <c r="Q36" s="12"/>
      <c r="R36" s="12"/>
      <c r="S36" s="12"/>
      <c r="T36" s="12"/>
      <c r="U36" s="12"/>
      <c r="V36" s="12"/>
      <c r="W36" s="13"/>
      <c r="X36" s="14" t="str">
        <f aca="false">IF(W36="","",W36+182)</f>
        <v/>
      </c>
      <c r="Y36" s="15" t="str">
        <f aca="false">IF(A36="","",IFERROR(_xlfn.MAXIFS('Risk Register'!$J:$J,'Risk Register'!$B:$B,A36,'Risk Register'!$V:$V,"&lt;&gt;Done"),0))</f>
        <v/>
      </c>
      <c r="Z36" s="15" t="str">
        <f aca="true">IF(A36="","",IF(LEFT(R36,10)="Prohibite","STOP - prohibited practice under Art. 5. ","")&amp;IF(OR(Q36="To assess",R36="To assess",Q36="",R36=""),"Classify role and risk class. ","")&amp;IF(AND(K36="Yes",O36="Yes",P36="Yes"),"Lethal trifecta: private data + untrusted input + external action - remove one leg. ","")&amp;IF(AND(LEFT(R36,9)="High-risk",S36="Not applicable",MID(R36,13,9)="Annex III"),"Pick the Annex III area. ","")&amp;IF(AND(OR(K36="Yes",LEFT(R36,9)="High-risk"),T36&lt;&gt;"Yes"),"Impact assessment outstanding. ","")&amp;IF(AND(M36="Decides automatically",U36&lt;&gt;"Yes"),"Automated decision without defined human oversight. ","")&amp;IF(AND(J36="Production",V36&lt;&gt;"Yes"),"Production system without full logging. ","")&amp;IF(AND(X36&lt;&gt;"",X36&lt;TODAY()),"Review overdue. ","")&amp;IF(B36="","Name the system. ",""))</f>
        <v/>
      </c>
    </row>
    <row r="37" customFormat="false" ht="15" hidden="false" customHeight="false" outlineLevel="0" collapsed="false">
      <c r="A37" s="12"/>
      <c r="B37" s="12"/>
      <c r="C37" s="12"/>
      <c r="D37" s="12"/>
      <c r="E37" s="12"/>
      <c r="F37" s="12"/>
      <c r="G37" s="12"/>
      <c r="H37" s="12"/>
      <c r="I37" s="12"/>
      <c r="J37" s="12"/>
      <c r="K37" s="12"/>
      <c r="L37" s="12"/>
      <c r="M37" s="12"/>
      <c r="N37" s="12"/>
      <c r="O37" s="12"/>
      <c r="P37" s="12"/>
      <c r="Q37" s="12"/>
      <c r="R37" s="12"/>
      <c r="S37" s="12"/>
      <c r="T37" s="12"/>
      <c r="U37" s="12"/>
      <c r="V37" s="12"/>
      <c r="W37" s="13"/>
      <c r="X37" s="14" t="str">
        <f aca="false">IF(W37="","",W37+182)</f>
        <v/>
      </c>
      <c r="Y37" s="15" t="str">
        <f aca="false">IF(A37="","",IFERROR(_xlfn.MAXIFS('Risk Register'!$J:$J,'Risk Register'!$B:$B,A37,'Risk Register'!$V:$V,"&lt;&gt;Done"),0))</f>
        <v/>
      </c>
      <c r="Z37" s="15" t="str">
        <f aca="true">IF(A37="","",IF(LEFT(R37,10)="Prohibite","STOP - prohibited practice under Art. 5. ","")&amp;IF(OR(Q37="To assess",R37="To assess",Q37="",R37=""),"Classify role and risk class. ","")&amp;IF(AND(K37="Yes",O37="Yes",P37="Yes"),"Lethal trifecta: private data + untrusted input + external action - remove one leg. ","")&amp;IF(AND(LEFT(R37,9)="High-risk",S37="Not applicable",MID(R37,13,9)="Annex III"),"Pick the Annex III area. ","")&amp;IF(AND(OR(K37="Yes",LEFT(R37,9)="High-risk"),T37&lt;&gt;"Yes"),"Impact assessment outstanding. ","")&amp;IF(AND(M37="Decides automatically",U37&lt;&gt;"Yes"),"Automated decision without defined human oversight. ","")&amp;IF(AND(J37="Production",V37&lt;&gt;"Yes"),"Production system without full logging. ","")&amp;IF(AND(X37&lt;&gt;"",X37&lt;TODAY()),"Review overdue. ","")&amp;IF(B37="","Name the system. ",""))</f>
        <v/>
      </c>
    </row>
    <row r="38" customFormat="false" ht="15" hidden="false" customHeight="false" outlineLevel="0" collapsed="false">
      <c r="A38" s="12"/>
      <c r="B38" s="12"/>
      <c r="C38" s="12"/>
      <c r="D38" s="12"/>
      <c r="E38" s="12"/>
      <c r="F38" s="12"/>
      <c r="G38" s="12"/>
      <c r="H38" s="12"/>
      <c r="I38" s="12"/>
      <c r="J38" s="12"/>
      <c r="K38" s="12"/>
      <c r="L38" s="12"/>
      <c r="M38" s="12"/>
      <c r="N38" s="12"/>
      <c r="O38" s="12"/>
      <c r="P38" s="12"/>
      <c r="Q38" s="12"/>
      <c r="R38" s="12"/>
      <c r="S38" s="12"/>
      <c r="T38" s="12"/>
      <c r="U38" s="12"/>
      <c r="V38" s="12"/>
      <c r="W38" s="13"/>
      <c r="X38" s="14" t="str">
        <f aca="false">IF(W38="","",W38+182)</f>
        <v/>
      </c>
      <c r="Y38" s="15" t="str">
        <f aca="false">IF(A38="","",IFERROR(_xlfn.MAXIFS('Risk Register'!$J:$J,'Risk Register'!$B:$B,A38,'Risk Register'!$V:$V,"&lt;&gt;Done"),0))</f>
        <v/>
      </c>
      <c r="Z38" s="15" t="str">
        <f aca="true">IF(A38="","",IF(LEFT(R38,10)="Prohibite","STOP - prohibited practice under Art. 5. ","")&amp;IF(OR(Q38="To assess",R38="To assess",Q38="",R38=""),"Classify role and risk class. ","")&amp;IF(AND(K38="Yes",O38="Yes",P38="Yes"),"Lethal trifecta: private data + untrusted input + external action - remove one leg. ","")&amp;IF(AND(LEFT(R38,9)="High-risk",S38="Not applicable",MID(R38,13,9)="Annex III"),"Pick the Annex III area. ","")&amp;IF(AND(OR(K38="Yes",LEFT(R38,9)="High-risk"),T38&lt;&gt;"Yes"),"Impact assessment outstanding. ","")&amp;IF(AND(M38="Decides automatically",U38&lt;&gt;"Yes"),"Automated decision without defined human oversight. ","")&amp;IF(AND(J38="Production",V38&lt;&gt;"Yes"),"Production system without full logging. ","")&amp;IF(AND(X38&lt;&gt;"",X38&lt;TODAY()),"Review overdue. ","")&amp;IF(B38="","Name the system. ",""))</f>
        <v/>
      </c>
    </row>
    <row r="39" customFormat="false" ht="15" hidden="false" customHeight="false" outlineLevel="0" collapsed="false">
      <c r="A39" s="12"/>
      <c r="B39" s="12"/>
      <c r="C39" s="12"/>
      <c r="D39" s="12"/>
      <c r="E39" s="12"/>
      <c r="F39" s="12"/>
      <c r="G39" s="12"/>
      <c r="H39" s="12"/>
      <c r="I39" s="12"/>
      <c r="J39" s="12"/>
      <c r="K39" s="12"/>
      <c r="L39" s="12"/>
      <c r="M39" s="12"/>
      <c r="N39" s="12"/>
      <c r="O39" s="12"/>
      <c r="P39" s="12"/>
      <c r="Q39" s="12"/>
      <c r="R39" s="12"/>
      <c r="S39" s="12"/>
      <c r="T39" s="12"/>
      <c r="U39" s="12"/>
      <c r="V39" s="12"/>
      <c r="W39" s="13"/>
      <c r="X39" s="14" t="str">
        <f aca="false">IF(W39="","",W39+182)</f>
        <v/>
      </c>
      <c r="Y39" s="15" t="str">
        <f aca="false">IF(A39="","",IFERROR(_xlfn.MAXIFS('Risk Register'!$J:$J,'Risk Register'!$B:$B,A39,'Risk Register'!$V:$V,"&lt;&gt;Done"),0))</f>
        <v/>
      </c>
      <c r="Z39" s="15" t="str">
        <f aca="true">IF(A39="","",IF(LEFT(R39,10)="Prohibite","STOP - prohibited practice under Art. 5. ","")&amp;IF(OR(Q39="To assess",R39="To assess",Q39="",R39=""),"Classify role and risk class. ","")&amp;IF(AND(K39="Yes",O39="Yes",P39="Yes"),"Lethal trifecta: private data + untrusted input + external action - remove one leg. ","")&amp;IF(AND(LEFT(R39,9)="High-risk",S39="Not applicable",MID(R39,13,9)="Annex III"),"Pick the Annex III area. ","")&amp;IF(AND(OR(K39="Yes",LEFT(R39,9)="High-risk"),T39&lt;&gt;"Yes"),"Impact assessment outstanding. ","")&amp;IF(AND(M39="Decides automatically",U39&lt;&gt;"Yes"),"Automated decision without defined human oversight. ","")&amp;IF(AND(J39="Production",V39&lt;&gt;"Yes"),"Production system without full logging. ","")&amp;IF(AND(X39&lt;&gt;"",X39&lt;TODAY()),"Review overdue. ","")&amp;IF(B39="","Name the system. ",""))</f>
        <v/>
      </c>
    </row>
    <row r="40" customFormat="false" ht="15" hidden="false" customHeight="false" outlineLevel="0" collapsed="false">
      <c r="A40" s="12"/>
      <c r="B40" s="12"/>
      <c r="C40" s="12"/>
      <c r="D40" s="12"/>
      <c r="E40" s="12"/>
      <c r="F40" s="12"/>
      <c r="G40" s="12"/>
      <c r="H40" s="12"/>
      <c r="I40" s="12"/>
      <c r="J40" s="12"/>
      <c r="K40" s="12"/>
      <c r="L40" s="12"/>
      <c r="M40" s="12"/>
      <c r="N40" s="12"/>
      <c r="O40" s="12"/>
      <c r="P40" s="12"/>
      <c r="Q40" s="12"/>
      <c r="R40" s="12"/>
      <c r="S40" s="12"/>
      <c r="T40" s="12"/>
      <c r="U40" s="12"/>
      <c r="V40" s="12"/>
      <c r="W40" s="13"/>
      <c r="X40" s="14" t="str">
        <f aca="false">IF(W40="","",W40+182)</f>
        <v/>
      </c>
      <c r="Y40" s="15" t="str">
        <f aca="false">IF(A40="","",IFERROR(_xlfn.MAXIFS('Risk Register'!$J:$J,'Risk Register'!$B:$B,A40,'Risk Register'!$V:$V,"&lt;&gt;Done"),0))</f>
        <v/>
      </c>
      <c r="Z40" s="15" t="str">
        <f aca="true">IF(A40="","",IF(LEFT(R40,10)="Prohibite","STOP - prohibited practice under Art. 5. ","")&amp;IF(OR(Q40="To assess",R40="To assess",Q40="",R40=""),"Classify role and risk class. ","")&amp;IF(AND(K40="Yes",O40="Yes",P40="Yes"),"Lethal trifecta: private data + untrusted input + external action - remove one leg. ","")&amp;IF(AND(LEFT(R40,9)="High-risk",S40="Not applicable",MID(R40,13,9)="Annex III"),"Pick the Annex III area. ","")&amp;IF(AND(OR(K40="Yes",LEFT(R40,9)="High-risk"),T40&lt;&gt;"Yes"),"Impact assessment outstanding. ","")&amp;IF(AND(M40="Decides automatically",U40&lt;&gt;"Yes"),"Automated decision without defined human oversight. ","")&amp;IF(AND(J40="Production",V40&lt;&gt;"Yes"),"Production system without full logging. ","")&amp;IF(AND(X40&lt;&gt;"",X40&lt;TODAY()),"Review overdue. ","")&amp;IF(B40="","Name the system. ",""))</f>
        <v/>
      </c>
    </row>
    <row r="41" customFormat="false" ht="15" hidden="false" customHeight="false" outlineLevel="0" collapsed="false">
      <c r="A41" s="12"/>
      <c r="B41" s="12"/>
      <c r="C41" s="12"/>
      <c r="D41" s="12"/>
      <c r="E41" s="12"/>
      <c r="F41" s="12"/>
      <c r="G41" s="12"/>
      <c r="H41" s="12"/>
      <c r="I41" s="12"/>
      <c r="J41" s="12"/>
      <c r="K41" s="12"/>
      <c r="L41" s="12"/>
      <c r="M41" s="12"/>
      <c r="N41" s="12"/>
      <c r="O41" s="12"/>
      <c r="P41" s="12"/>
      <c r="Q41" s="12"/>
      <c r="R41" s="12"/>
      <c r="S41" s="12"/>
      <c r="T41" s="12"/>
      <c r="U41" s="12"/>
      <c r="V41" s="12"/>
      <c r="W41" s="13"/>
      <c r="X41" s="14" t="str">
        <f aca="false">IF(W41="","",W41+182)</f>
        <v/>
      </c>
      <c r="Y41" s="15" t="str">
        <f aca="false">IF(A41="","",IFERROR(_xlfn.MAXIFS('Risk Register'!$J:$J,'Risk Register'!$B:$B,A41,'Risk Register'!$V:$V,"&lt;&gt;Done"),0))</f>
        <v/>
      </c>
      <c r="Z41" s="15" t="str">
        <f aca="true">IF(A41="","",IF(LEFT(R41,10)="Prohibite","STOP - prohibited practice under Art. 5. ","")&amp;IF(OR(Q41="To assess",R41="To assess",Q41="",R41=""),"Classify role and risk class. ","")&amp;IF(AND(K41="Yes",O41="Yes",P41="Yes"),"Lethal trifecta: private data + untrusted input + external action - remove one leg. ","")&amp;IF(AND(LEFT(R41,9)="High-risk",S41="Not applicable",MID(R41,13,9)="Annex III"),"Pick the Annex III area. ","")&amp;IF(AND(OR(K41="Yes",LEFT(R41,9)="High-risk"),T41&lt;&gt;"Yes"),"Impact assessment outstanding. ","")&amp;IF(AND(M41="Decides automatically",U41&lt;&gt;"Yes"),"Automated decision without defined human oversight. ","")&amp;IF(AND(J41="Production",V41&lt;&gt;"Yes"),"Production system without full logging. ","")&amp;IF(AND(X41&lt;&gt;"",X41&lt;TODAY()),"Review overdue. ","")&amp;IF(B41="","Name the system. ",""))</f>
        <v/>
      </c>
    </row>
    <row r="42" customFormat="false" ht="15" hidden="false" customHeight="false" outlineLevel="0" collapsed="false">
      <c r="A42" s="12"/>
      <c r="B42" s="12"/>
      <c r="C42" s="12"/>
      <c r="D42" s="12"/>
      <c r="E42" s="12"/>
      <c r="F42" s="12"/>
      <c r="G42" s="12"/>
      <c r="H42" s="12"/>
      <c r="I42" s="12"/>
      <c r="J42" s="12"/>
      <c r="K42" s="12"/>
      <c r="L42" s="12"/>
      <c r="M42" s="12"/>
      <c r="N42" s="12"/>
      <c r="O42" s="12"/>
      <c r="P42" s="12"/>
      <c r="Q42" s="12"/>
      <c r="R42" s="12"/>
      <c r="S42" s="12"/>
      <c r="T42" s="12"/>
      <c r="U42" s="12"/>
      <c r="V42" s="12"/>
      <c r="W42" s="13"/>
      <c r="X42" s="14" t="str">
        <f aca="false">IF(W42="","",W42+182)</f>
        <v/>
      </c>
      <c r="Y42" s="15" t="str">
        <f aca="false">IF(A42="","",IFERROR(_xlfn.MAXIFS('Risk Register'!$J:$J,'Risk Register'!$B:$B,A42,'Risk Register'!$V:$V,"&lt;&gt;Done"),0))</f>
        <v/>
      </c>
      <c r="Z42" s="15" t="str">
        <f aca="true">IF(A42="","",IF(LEFT(R42,10)="Prohibite","STOP - prohibited practice under Art. 5. ","")&amp;IF(OR(Q42="To assess",R42="To assess",Q42="",R42=""),"Classify role and risk class. ","")&amp;IF(AND(K42="Yes",O42="Yes",P42="Yes"),"Lethal trifecta: private data + untrusted input + external action - remove one leg. ","")&amp;IF(AND(LEFT(R42,9)="High-risk",S42="Not applicable",MID(R42,13,9)="Annex III"),"Pick the Annex III area. ","")&amp;IF(AND(OR(K42="Yes",LEFT(R42,9)="High-risk"),T42&lt;&gt;"Yes"),"Impact assessment outstanding. ","")&amp;IF(AND(M42="Decides automatically",U42&lt;&gt;"Yes"),"Automated decision without defined human oversight. ","")&amp;IF(AND(J42="Production",V42&lt;&gt;"Yes"),"Production system without full logging. ","")&amp;IF(AND(X42&lt;&gt;"",X42&lt;TODAY()),"Review overdue. ","")&amp;IF(B42="","Name the system. ",""))</f>
        <v/>
      </c>
    </row>
    <row r="43" customFormat="false" ht="15" hidden="false" customHeight="false" outlineLevel="0" collapsed="false">
      <c r="A43" s="12"/>
      <c r="B43" s="12"/>
      <c r="C43" s="12"/>
      <c r="D43" s="12"/>
      <c r="E43" s="12"/>
      <c r="F43" s="12"/>
      <c r="G43" s="12"/>
      <c r="H43" s="12"/>
      <c r="I43" s="12"/>
      <c r="J43" s="12"/>
      <c r="K43" s="12"/>
      <c r="L43" s="12"/>
      <c r="M43" s="12"/>
      <c r="N43" s="12"/>
      <c r="O43" s="12"/>
      <c r="P43" s="12"/>
      <c r="Q43" s="12"/>
      <c r="R43" s="12"/>
      <c r="S43" s="12"/>
      <c r="T43" s="12"/>
      <c r="U43" s="12"/>
      <c r="V43" s="12"/>
      <c r="W43" s="13"/>
      <c r="X43" s="14" t="str">
        <f aca="false">IF(W43="","",W43+182)</f>
        <v/>
      </c>
      <c r="Y43" s="15" t="str">
        <f aca="false">IF(A43="","",IFERROR(_xlfn.MAXIFS('Risk Register'!$J:$J,'Risk Register'!$B:$B,A43,'Risk Register'!$V:$V,"&lt;&gt;Done"),0))</f>
        <v/>
      </c>
      <c r="Z43" s="15" t="str">
        <f aca="true">IF(A43="","",IF(LEFT(R43,10)="Prohibite","STOP - prohibited practice under Art. 5. ","")&amp;IF(OR(Q43="To assess",R43="To assess",Q43="",R43=""),"Classify role and risk class. ","")&amp;IF(AND(K43="Yes",O43="Yes",P43="Yes"),"Lethal trifecta: private data + untrusted input + external action - remove one leg. ","")&amp;IF(AND(LEFT(R43,9)="High-risk",S43="Not applicable",MID(R43,13,9)="Annex III"),"Pick the Annex III area. ","")&amp;IF(AND(OR(K43="Yes",LEFT(R43,9)="High-risk"),T43&lt;&gt;"Yes"),"Impact assessment outstanding. ","")&amp;IF(AND(M43="Decides automatically",U43&lt;&gt;"Yes"),"Automated decision without defined human oversight. ","")&amp;IF(AND(J43="Production",V43&lt;&gt;"Yes"),"Production system without full logging. ","")&amp;IF(AND(X43&lt;&gt;"",X43&lt;TODAY()),"Review overdue. ","")&amp;IF(B43="","Name the system. ",""))</f>
        <v/>
      </c>
    </row>
    <row r="44" customFormat="false" ht="15" hidden="false" customHeight="false" outlineLevel="0" collapsed="false">
      <c r="A44" s="12"/>
      <c r="B44" s="12"/>
      <c r="C44" s="12"/>
      <c r="D44" s="12"/>
      <c r="E44" s="12"/>
      <c r="F44" s="12"/>
      <c r="G44" s="12"/>
      <c r="H44" s="12"/>
      <c r="I44" s="12"/>
      <c r="J44" s="12"/>
      <c r="K44" s="12"/>
      <c r="L44" s="12"/>
      <c r="M44" s="12"/>
      <c r="N44" s="12"/>
      <c r="O44" s="12"/>
      <c r="P44" s="12"/>
      <c r="Q44" s="12"/>
      <c r="R44" s="12"/>
      <c r="S44" s="12"/>
      <c r="T44" s="12"/>
      <c r="U44" s="12"/>
      <c r="V44" s="12"/>
      <c r="W44" s="13"/>
      <c r="X44" s="14" t="str">
        <f aca="false">IF(W44="","",W44+182)</f>
        <v/>
      </c>
      <c r="Y44" s="15" t="str">
        <f aca="false">IF(A44="","",IFERROR(_xlfn.MAXIFS('Risk Register'!$J:$J,'Risk Register'!$B:$B,A44,'Risk Register'!$V:$V,"&lt;&gt;Done"),0))</f>
        <v/>
      </c>
      <c r="Z44" s="15" t="str">
        <f aca="true">IF(A44="","",IF(LEFT(R44,10)="Prohibite","STOP - prohibited practice under Art. 5. ","")&amp;IF(OR(Q44="To assess",R44="To assess",Q44="",R44=""),"Classify role and risk class. ","")&amp;IF(AND(K44="Yes",O44="Yes",P44="Yes"),"Lethal trifecta: private data + untrusted input + external action - remove one leg. ","")&amp;IF(AND(LEFT(R44,9)="High-risk",S44="Not applicable",MID(R44,13,9)="Annex III"),"Pick the Annex III area. ","")&amp;IF(AND(OR(K44="Yes",LEFT(R44,9)="High-risk"),T44&lt;&gt;"Yes"),"Impact assessment outstanding. ","")&amp;IF(AND(M44="Decides automatically",U44&lt;&gt;"Yes"),"Automated decision without defined human oversight. ","")&amp;IF(AND(J44="Production",V44&lt;&gt;"Yes"),"Production system without full logging. ","")&amp;IF(AND(X44&lt;&gt;"",X44&lt;TODAY()),"Review overdue. ","")&amp;IF(B44="","Name the system. ",""))</f>
        <v/>
      </c>
    </row>
    <row r="45" customFormat="false" ht="15" hidden="false" customHeight="false" outlineLevel="0" collapsed="false">
      <c r="A45" s="12"/>
      <c r="B45" s="12"/>
      <c r="C45" s="12"/>
      <c r="D45" s="12"/>
      <c r="E45" s="12"/>
      <c r="F45" s="12"/>
      <c r="G45" s="12"/>
      <c r="H45" s="12"/>
      <c r="I45" s="12"/>
      <c r="J45" s="12"/>
      <c r="K45" s="12"/>
      <c r="L45" s="12"/>
      <c r="M45" s="12"/>
      <c r="N45" s="12"/>
      <c r="O45" s="12"/>
      <c r="P45" s="12"/>
      <c r="Q45" s="12"/>
      <c r="R45" s="12"/>
      <c r="S45" s="12"/>
      <c r="T45" s="12"/>
      <c r="U45" s="12"/>
      <c r="V45" s="12"/>
      <c r="W45" s="13"/>
      <c r="X45" s="14" t="str">
        <f aca="false">IF(W45="","",W45+182)</f>
        <v/>
      </c>
      <c r="Y45" s="15" t="str">
        <f aca="false">IF(A45="","",IFERROR(_xlfn.MAXIFS('Risk Register'!$J:$J,'Risk Register'!$B:$B,A45,'Risk Register'!$V:$V,"&lt;&gt;Done"),0))</f>
        <v/>
      </c>
      <c r="Z45" s="15" t="str">
        <f aca="true">IF(A45="","",IF(LEFT(R45,10)="Prohibite","STOP - prohibited practice under Art. 5. ","")&amp;IF(OR(Q45="To assess",R45="To assess",Q45="",R45=""),"Classify role and risk class. ","")&amp;IF(AND(K45="Yes",O45="Yes",P45="Yes"),"Lethal trifecta: private data + untrusted input + external action - remove one leg. ","")&amp;IF(AND(LEFT(R45,9)="High-risk",S45="Not applicable",MID(R45,13,9)="Annex III"),"Pick the Annex III area. ","")&amp;IF(AND(OR(K45="Yes",LEFT(R45,9)="High-risk"),T45&lt;&gt;"Yes"),"Impact assessment outstanding. ","")&amp;IF(AND(M45="Decides automatically",U45&lt;&gt;"Yes"),"Automated decision without defined human oversight. ","")&amp;IF(AND(J45="Production",V45&lt;&gt;"Yes"),"Production system without full logging. ","")&amp;IF(AND(X45&lt;&gt;"",X45&lt;TODAY()),"Review overdue. ","")&amp;IF(B45="","Name the system. ",""))</f>
        <v/>
      </c>
    </row>
    <row r="46" customFormat="false" ht="15" hidden="false" customHeight="false" outlineLevel="0" collapsed="false">
      <c r="A46" s="12"/>
      <c r="B46" s="12"/>
      <c r="C46" s="12"/>
      <c r="D46" s="12"/>
      <c r="E46" s="12"/>
      <c r="F46" s="12"/>
      <c r="G46" s="12"/>
      <c r="H46" s="12"/>
      <c r="I46" s="12"/>
      <c r="J46" s="12"/>
      <c r="K46" s="12"/>
      <c r="L46" s="12"/>
      <c r="M46" s="12"/>
      <c r="N46" s="12"/>
      <c r="O46" s="12"/>
      <c r="P46" s="12"/>
      <c r="Q46" s="12"/>
      <c r="R46" s="12"/>
      <c r="S46" s="12"/>
      <c r="T46" s="12"/>
      <c r="U46" s="12"/>
      <c r="V46" s="12"/>
      <c r="W46" s="13"/>
      <c r="X46" s="14" t="str">
        <f aca="false">IF(W46="","",W46+182)</f>
        <v/>
      </c>
      <c r="Y46" s="15" t="str">
        <f aca="false">IF(A46="","",IFERROR(_xlfn.MAXIFS('Risk Register'!$J:$J,'Risk Register'!$B:$B,A46,'Risk Register'!$V:$V,"&lt;&gt;Done"),0))</f>
        <v/>
      </c>
      <c r="Z46" s="15" t="str">
        <f aca="true">IF(A46="","",IF(LEFT(R46,10)="Prohibite","STOP - prohibited practice under Art. 5. ","")&amp;IF(OR(Q46="To assess",R46="To assess",Q46="",R46=""),"Classify role and risk class. ","")&amp;IF(AND(K46="Yes",O46="Yes",P46="Yes"),"Lethal trifecta: private data + untrusted input + external action - remove one leg. ","")&amp;IF(AND(LEFT(R46,9)="High-risk",S46="Not applicable",MID(R46,13,9)="Annex III"),"Pick the Annex III area. ","")&amp;IF(AND(OR(K46="Yes",LEFT(R46,9)="High-risk"),T46&lt;&gt;"Yes"),"Impact assessment outstanding. ","")&amp;IF(AND(M46="Decides automatically",U46&lt;&gt;"Yes"),"Automated decision without defined human oversight. ","")&amp;IF(AND(J46="Production",V46&lt;&gt;"Yes"),"Production system without full logging. ","")&amp;IF(AND(X46&lt;&gt;"",X46&lt;TODAY()),"Review overdue. ","")&amp;IF(B46="","Name the system. ",""))</f>
        <v/>
      </c>
    </row>
    <row r="47" customFormat="false" ht="15" hidden="false" customHeight="false" outlineLevel="0" collapsed="false">
      <c r="A47" s="12"/>
      <c r="B47" s="12"/>
      <c r="C47" s="12"/>
      <c r="D47" s="12"/>
      <c r="E47" s="12"/>
      <c r="F47" s="12"/>
      <c r="G47" s="12"/>
      <c r="H47" s="12"/>
      <c r="I47" s="12"/>
      <c r="J47" s="12"/>
      <c r="K47" s="12"/>
      <c r="L47" s="12"/>
      <c r="M47" s="12"/>
      <c r="N47" s="12"/>
      <c r="O47" s="12"/>
      <c r="P47" s="12"/>
      <c r="Q47" s="12"/>
      <c r="R47" s="12"/>
      <c r="S47" s="12"/>
      <c r="T47" s="12"/>
      <c r="U47" s="12"/>
      <c r="V47" s="12"/>
      <c r="W47" s="13"/>
      <c r="X47" s="14" t="str">
        <f aca="false">IF(W47="","",W47+182)</f>
        <v/>
      </c>
      <c r="Y47" s="15" t="str">
        <f aca="false">IF(A47="","",IFERROR(_xlfn.MAXIFS('Risk Register'!$J:$J,'Risk Register'!$B:$B,A47,'Risk Register'!$V:$V,"&lt;&gt;Done"),0))</f>
        <v/>
      </c>
      <c r="Z47" s="15" t="str">
        <f aca="true">IF(A47="","",IF(LEFT(R47,10)="Prohibite","STOP - prohibited practice under Art. 5. ","")&amp;IF(OR(Q47="To assess",R47="To assess",Q47="",R47=""),"Classify role and risk class. ","")&amp;IF(AND(K47="Yes",O47="Yes",P47="Yes"),"Lethal trifecta: private data + untrusted input + external action - remove one leg. ","")&amp;IF(AND(LEFT(R47,9)="High-risk",S47="Not applicable",MID(R47,13,9)="Annex III"),"Pick the Annex III area. ","")&amp;IF(AND(OR(K47="Yes",LEFT(R47,9)="High-risk"),T47&lt;&gt;"Yes"),"Impact assessment outstanding. ","")&amp;IF(AND(M47="Decides automatically",U47&lt;&gt;"Yes"),"Automated decision without defined human oversight. ","")&amp;IF(AND(J47="Production",V47&lt;&gt;"Yes"),"Production system without full logging. ","")&amp;IF(AND(X47&lt;&gt;"",X47&lt;TODAY()),"Review overdue. ","")&amp;IF(B47="","Name the system. ",""))</f>
        <v/>
      </c>
    </row>
    <row r="48" customFormat="false" ht="15" hidden="false" customHeight="false" outlineLevel="0" collapsed="false">
      <c r="A48" s="12"/>
      <c r="B48" s="12"/>
      <c r="C48" s="12"/>
      <c r="D48" s="12"/>
      <c r="E48" s="12"/>
      <c r="F48" s="12"/>
      <c r="G48" s="12"/>
      <c r="H48" s="12"/>
      <c r="I48" s="12"/>
      <c r="J48" s="12"/>
      <c r="K48" s="12"/>
      <c r="L48" s="12"/>
      <c r="M48" s="12"/>
      <c r="N48" s="12"/>
      <c r="O48" s="12"/>
      <c r="P48" s="12"/>
      <c r="Q48" s="12"/>
      <c r="R48" s="12"/>
      <c r="S48" s="12"/>
      <c r="T48" s="12"/>
      <c r="U48" s="12"/>
      <c r="V48" s="12"/>
      <c r="W48" s="13"/>
      <c r="X48" s="14" t="str">
        <f aca="false">IF(W48="","",W48+182)</f>
        <v/>
      </c>
      <c r="Y48" s="15" t="str">
        <f aca="false">IF(A48="","",IFERROR(_xlfn.MAXIFS('Risk Register'!$J:$J,'Risk Register'!$B:$B,A48,'Risk Register'!$V:$V,"&lt;&gt;Done"),0))</f>
        <v/>
      </c>
      <c r="Z48" s="15" t="str">
        <f aca="true">IF(A48="","",IF(LEFT(R48,10)="Prohibite","STOP - prohibited practice under Art. 5. ","")&amp;IF(OR(Q48="To assess",R48="To assess",Q48="",R48=""),"Classify role and risk class. ","")&amp;IF(AND(K48="Yes",O48="Yes",P48="Yes"),"Lethal trifecta: private data + untrusted input + external action - remove one leg. ","")&amp;IF(AND(LEFT(R48,9)="High-risk",S48="Not applicable",MID(R48,13,9)="Annex III"),"Pick the Annex III area. ","")&amp;IF(AND(OR(K48="Yes",LEFT(R48,9)="High-risk"),T48&lt;&gt;"Yes"),"Impact assessment outstanding. ","")&amp;IF(AND(M48="Decides automatically",U48&lt;&gt;"Yes"),"Automated decision without defined human oversight. ","")&amp;IF(AND(J48="Production",V48&lt;&gt;"Yes"),"Production system without full logging. ","")&amp;IF(AND(X48&lt;&gt;"",X48&lt;TODAY()),"Review overdue. ","")&amp;IF(B48="","Name the system. ",""))</f>
        <v/>
      </c>
    </row>
    <row r="49" customFormat="false" ht="15" hidden="false" customHeight="false" outlineLevel="0" collapsed="false">
      <c r="A49" s="12"/>
      <c r="B49" s="12"/>
      <c r="C49" s="12"/>
      <c r="D49" s="12"/>
      <c r="E49" s="12"/>
      <c r="F49" s="12"/>
      <c r="G49" s="12"/>
      <c r="H49" s="12"/>
      <c r="I49" s="12"/>
      <c r="J49" s="12"/>
      <c r="K49" s="12"/>
      <c r="L49" s="12"/>
      <c r="M49" s="12"/>
      <c r="N49" s="12"/>
      <c r="O49" s="12"/>
      <c r="P49" s="12"/>
      <c r="Q49" s="12"/>
      <c r="R49" s="12"/>
      <c r="S49" s="12"/>
      <c r="T49" s="12"/>
      <c r="U49" s="12"/>
      <c r="V49" s="12"/>
      <c r="W49" s="13"/>
      <c r="X49" s="14" t="str">
        <f aca="false">IF(W49="","",W49+182)</f>
        <v/>
      </c>
      <c r="Y49" s="15" t="str">
        <f aca="false">IF(A49="","",IFERROR(_xlfn.MAXIFS('Risk Register'!$J:$J,'Risk Register'!$B:$B,A49,'Risk Register'!$V:$V,"&lt;&gt;Done"),0))</f>
        <v/>
      </c>
      <c r="Z49" s="15" t="str">
        <f aca="true">IF(A49="","",IF(LEFT(R49,10)="Prohibite","STOP - prohibited practice under Art. 5. ","")&amp;IF(OR(Q49="To assess",R49="To assess",Q49="",R49=""),"Classify role and risk class. ","")&amp;IF(AND(K49="Yes",O49="Yes",P49="Yes"),"Lethal trifecta: private data + untrusted input + external action - remove one leg. ","")&amp;IF(AND(LEFT(R49,9)="High-risk",S49="Not applicable",MID(R49,13,9)="Annex III"),"Pick the Annex III area. ","")&amp;IF(AND(OR(K49="Yes",LEFT(R49,9)="High-risk"),T49&lt;&gt;"Yes"),"Impact assessment outstanding. ","")&amp;IF(AND(M49="Decides automatically",U49&lt;&gt;"Yes"),"Automated decision without defined human oversight. ","")&amp;IF(AND(J49="Production",V49&lt;&gt;"Yes"),"Production system without full logging. ","")&amp;IF(AND(X49&lt;&gt;"",X49&lt;TODAY()),"Review overdue. ","")&amp;IF(B49="","Name the system. ",""))</f>
        <v/>
      </c>
    </row>
    <row r="50" customFormat="false" ht="15" hidden="false" customHeight="false" outlineLevel="0" collapsed="false">
      <c r="A50" s="12"/>
      <c r="B50" s="12"/>
      <c r="C50" s="12"/>
      <c r="D50" s="12"/>
      <c r="E50" s="12"/>
      <c r="F50" s="12"/>
      <c r="G50" s="12"/>
      <c r="H50" s="12"/>
      <c r="I50" s="12"/>
      <c r="J50" s="12"/>
      <c r="K50" s="12"/>
      <c r="L50" s="12"/>
      <c r="M50" s="12"/>
      <c r="N50" s="12"/>
      <c r="O50" s="12"/>
      <c r="P50" s="12"/>
      <c r="Q50" s="12"/>
      <c r="R50" s="12"/>
      <c r="S50" s="12"/>
      <c r="T50" s="12"/>
      <c r="U50" s="12"/>
      <c r="V50" s="12"/>
      <c r="W50" s="13"/>
      <c r="X50" s="14" t="str">
        <f aca="false">IF(W50="","",W50+182)</f>
        <v/>
      </c>
      <c r="Y50" s="15" t="str">
        <f aca="false">IF(A50="","",IFERROR(_xlfn.MAXIFS('Risk Register'!$J:$J,'Risk Register'!$B:$B,A50,'Risk Register'!$V:$V,"&lt;&gt;Done"),0))</f>
        <v/>
      </c>
      <c r="Z50" s="15" t="str">
        <f aca="true">IF(A50="","",IF(LEFT(R50,10)="Prohibite","STOP - prohibited practice under Art. 5. ","")&amp;IF(OR(Q50="To assess",R50="To assess",Q50="",R50=""),"Classify role and risk class. ","")&amp;IF(AND(K50="Yes",O50="Yes",P50="Yes"),"Lethal trifecta: private data + untrusted input + external action - remove one leg. ","")&amp;IF(AND(LEFT(R50,9)="High-risk",S50="Not applicable",MID(R50,13,9)="Annex III"),"Pick the Annex III area. ","")&amp;IF(AND(OR(K50="Yes",LEFT(R50,9)="High-risk"),T50&lt;&gt;"Yes"),"Impact assessment outstanding. ","")&amp;IF(AND(M50="Decides automatically",U50&lt;&gt;"Yes"),"Automated decision without defined human oversight. ","")&amp;IF(AND(J50="Production",V50&lt;&gt;"Yes"),"Production system without full logging. ","")&amp;IF(AND(X50&lt;&gt;"",X50&lt;TODAY()),"Review overdue. ","")&amp;IF(B50="","Name the system. ",""))</f>
        <v/>
      </c>
    </row>
    <row r="51" customFormat="false" ht="15" hidden="false" customHeight="false" outlineLevel="0" collapsed="false">
      <c r="A51" s="12"/>
      <c r="B51" s="12"/>
      <c r="C51" s="12"/>
      <c r="D51" s="12"/>
      <c r="E51" s="12"/>
      <c r="F51" s="12"/>
      <c r="G51" s="12"/>
      <c r="H51" s="12"/>
      <c r="I51" s="12"/>
      <c r="J51" s="12"/>
      <c r="K51" s="12"/>
      <c r="L51" s="12"/>
      <c r="M51" s="12"/>
      <c r="N51" s="12"/>
      <c r="O51" s="12"/>
      <c r="P51" s="12"/>
      <c r="Q51" s="12"/>
      <c r="R51" s="12"/>
      <c r="S51" s="12"/>
      <c r="T51" s="12"/>
      <c r="U51" s="12"/>
      <c r="V51" s="12"/>
      <c r="W51" s="13"/>
      <c r="X51" s="14" t="str">
        <f aca="false">IF(W51="","",W51+182)</f>
        <v/>
      </c>
      <c r="Y51" s="15" t="str">
        <f aca="false">IF(A51="","",IFERROR(_xlfn.MAXIFS('Risk Register'!$J:$J,'Risk Register'!$B:$B,A51,'Risk Register'!$V:$V,"&lt;&gt;Done"),0))</f>
        <v/>
      </c>
      <c r="Z51" s="15" t="str">
        <f aca="true">IF(A51="","",IF(LEFT(R51,10)="Prohibite","STOP - prohibited practice under Art. 5. ","")&amp;IF(OR(Q51="To assess",R51="To assess",Q51="",R51=""),"Classify role and risk class. ","")&amp;IF(AND(K51="Yes",O51="Yes",P51="Yes"),"Lethal trifecta: private data + untrusted input + external action - remove one leg. ","")&amp;IF(AND(LEFT(R51,9)="High-risk",S51="Not applicable",MID(R51,13,9)="Annex III"),"Pick the Annex III area. ","")&amp;IF(AND(OR(K51="Yes",LEFT(R51,9)="High-risk"),T51&lt;&gt;"Yes"),"Impact assessment outstanding. ","")&amp;IF(AND(M51="Decides automatically",U51&lt;&gt;"Yes"),"Automated decision without defined human oversight. ","")&amp;IF(AND(J51="Production",V51&lt;&gt;"Yes"),"Production system without full logging. ","")&amp;IF(AND(X51&lt;&gt;"",X51&lt;TODAY()),"Review overdue. ","")&amp;IF(B51="","Name the system. ",""))</f>
        <v/>
      </c>
    </row>
    <row r="52" customFormat="false" ht="15" hidden="false" customHeight="false" outlineLevel="0" collapsed="false">
      <c r="A52" s="12"/>
      <c r="B52" s="12"/>
      <c r="C52" s="12"/>
      <c r="D52" s="12"/>
      <c r="E52" s="12"/>
      <c r="F52" s="12"/>
      <c r="G52" s="12"/>
      <c r="H52" s="12"/>
      <c r="I52" s="12"/>
      <c r="J52" s="12"/>
      <c r="K52" s="12"/>
      <c r="L52" s="12"/>
      <c r="M52" s="12"/>
      <c r="N52" s="12"/>
      <c r="O52" s="12"/>
      <c r="P52" s="12"/>
      <c r="Q52" s="12"/>
      <c r="R52" s="12"/>
      <c r="S52" s="12"/>
      <c r="T52" s="12"/>
      <c r="U52" s="12"/>
      <c r="V52" s="12"/>
      <c r="W52" s="13"/>
      <c r="X52" s="14" t="str">
        <f aca="false">IF(W52="","",W52+182)</f>
        <v/>
      </c>
      <c r="Y52" s="15" t="str">
        <f aca="false">IF(A52="","",IFERROR(_xlfn.MAXIFS('Risk Register'!$J:$J,'Risk Register'!$B:$B,A52,'Risk Register'!$V:$V,"&lt;&gt;Done"),0))</f>
        <v/>
      </c>
      <c r="Z52" s="15" t="str">
        <f aca="true">IF(A52="","",IF(LEFT(R52,10)="Prohibite","STOP - prohibited practice under Art. 5. ","")&amp;IF(OR(Q52="To assess",R52="To assess",Q52="",R52=""),"Classify role and risk class. ","")&amp;IF(AND(K52="Yes",O52="Yes",P52="Yes"),"Lethal trifecta: private data + untrusted input + external action - remove one leg. ","")&amp;IF(AND(LEFT(R52,9)="High-risk",S52="Not applicable",MID(R52,13,9)="Annex III"),"Pick the Annex III area. ","")&amp;IF(AND(OR(K52="Yes",LEFT(R52,9)="High-risk"),T52&lt;&gt;"Yes"),"Impact assessment outstanding. ","")&amp;IF(AND(M52="Decides automatically",U52&lt;&gt;"Yes"),"Automated decision without defined human oversight. ","")&amp;IF(AND(J52="Production",V52&lt;&gt;"Yes"),"Production system without full logging. ","")&amp;IF(AND(X52&lt;&gt;"",X52&lt;TODAY()),"Review overdue. ","")&amp;IF(B52="","Name the system. ",""))</f>
        <v/>
      </c>
    </row>
    <row r="53" customFormat="false" ht="15" hidden="false" customHeight="false" outlineLevel="0" collapsed="false">
      <c r="A53" s="12"/>
      <c r="B53" s="12"/>
      <c r="C53" s="12"/>
      <c r="D53" s="12"/>
      <c r="E53" s="12"/>
      <c r="F53" s="12"/>
      <c r="G53" s="12"/>
      <c r="H53" s="12"/>
      <c r="I53" s="12"/>
      <c r="J53" s="12"/>
      <c r="K53" s="12"/>
      <c r="L53" s="12"/>
      <c r="M53" s="12"/>
      <c r="N53" s="12"/>
      <c r="O53" s="12"/>
      <c r="P53" s="12"/>
      <c r="Q53" s="12"/>
      <c r="R53" s="12"/>
      <c r="S53" s="12"/>
      <c r="T53" s="12"/>
      <c r="U53" s="12"/>
      <c r="V53" s="12"/>
      <c r="W53" s="13"/>
      <c r="X53" s="14" t="str">
        <f aca="false">IF(W53="","",W53+182)</f>
        <v/>
      </c>
      <c r="Y53" s="15" t="str">
        <f aca="false">IF(A53="","",IFERROR(_xlfn.MAXIFS('Risk Register'!$J:$J,'Risk Register'!$B:$B,A53,'Risk Register'!$V:$V,"&lt;&gt;Done"),0))</f>
        <v/>
      </c>
      <c r="Z53" s="15" t="str">
        <f aca="true">IF(A53="","",IF(LEFT(R53,10)="Prohibite","STOP - prohibited practice under Art. 5. ","")&amp;IF(OR(Q53="To assess",R53="To assess",Q53="",R53=""),"Classify role and risk class. ","")&amp;IF(AND(K53="Yes",O53="Yes",P53="Yes"),"Lethal trifecta: private data + untrusted input + external action - remove one leg. ","")&amp;IF(AND(LEFT(R53,9)="High-risk",S53="Not applicable",MID(R53,13,9)="Annex III"),"Pick the Annex III area. ","")&amp;IF(AND(OR(K53="Yes",LEFT(R53,9)="High-risk"),T53&lt;&gt;"Yes"),"Impact assessment outstanding. ","")&amp;IF(AND(M53="Decides automatically",U53&lt;&gt;"Yes"),"Automated decision without defined human oversight. ","")&amp;IF(AND(J53="Production",V53&lt;&gt;"Yes"),"Production system without full logging. ","")&amp;IF(AND(X53&lt;&gt;"",X53&lt;TODAY()),"Review overdue. ","")&amp;IF(B53="","Name the system. ",""))</f>
        <v/>
      </c>
    </row>
    <row r="54" customFormat="false" ht="15" hidden="false" customHeight="false" outlineLevel="0" collapsed="false">
      <c r="A54" s="12"/>
      <c r="B54" s="12"/>
      <c r="C54" s="12"/>
      <c r="D54" s="12"/>
      <c r="E54" s="12"/>
      <c r="F54" s="12"/>
      <c r="G54" s="12"/>
      <c r="H54" s="12"/>
      <c r="I54" s="12"/>
      <c r="J54" s="12"/>
      <c r="K54" s="12"/>
      <c r="L54" s="12"/>
      <c r="M54" s="12"/>
      <c r="N54" s="12"/>
      <c r="O54" s="12"/>
      <c r="P54" s="12"/>
      <c r="Q54" s="12"/>
      <c r="R54" s="12"/>
      <c r="S54" s="12"/>
      <c r="T54" s="12"/>
      <c r="U54" s="12"/>
      <c r="V54" s="12"/>
      <c r="W54" s="13"/>
      <c r="X54" s="14" t="str">
        <f aca="false">IF(W54="","",W54+182)</f>
        <v/>
      </c>
      <c r="Y54" s="15" t="str">
        <f aca="false">IF(A54="","",IFERROR(_xlfn.MAXIFS('Risk Register'!$J:$J,'Risk Register'!$B:$B,A54,'Risk Register'!$V:$V,"&lt;&gt;Done"),0))</f>
        <v/>
      </c>
      <c r="Z54" s="15" t="str">
        <f aca="true">IF(A54="","",IF(LEFT(R54,10)="Prohibite","STOP - prohibited practice under Art. 5. ","")&amp;IF(OR(Q54="To assess",R54="To assess",Q54="",R54=""),"Classify role and risk class. ","")&amp;IF(AND(K54="Yes",O54="Yes",P54="Yes"),"Lethal trifecta: private data + untrusted input + external action - remove one leg. ","")&amp;IF(AND(LEFT(R54,9)="High-risk",S54="Not applicable",MID(R54,13,9)="Annex III"),"Pick the Annex III area. ","")&amp;IF(AND(OR(K54="Yes",LEFT(R54,9)="High-risk"),T54&lt;&gt;"Yes"),"Impact assessment outstanding. ","")&amp;IF(AND(M54="Decides automatically",U54&lt;&gt;"Yes"),"Automated decision without defined human oversight. ","")&amp;IF(AND(J54="Production",V54&lt;&gt;"Yes"),"Production system without full logging. ","")&amp;IF(AND(X54&lt;&gt;"",X54&lt;TODAY()),"Review overdue. ","")&amp;IF(B54="","Name the system. ",""))</f>
        <v/>
      </c>
    </row>
    <row r="55" customFormat="false" ht="15" hidden="false" customHeight="false" outlineLevel="0" collapsed="false">
      <c r="A55" s="12"/>
      <c r="B55" s="12"/>
      <c r="C55" s="12"/>
      <c r="D55" s="12"/>
      <c r="E55" s="12"/>
      <c r="F55" s="12"/>
      <c r="G55" s="12"/>
      <c r="H55" s="12"/>
      <c r="I55" s="12"/>
      <c r="J55" s="12"/>
      <c r="K55" s="12"/>
      <c r="L55" s="12"/>
      <c r="M55" s="12"/>
      <c r="N55" s="12"/>
      <c r="O55" s="12"/>
      <c r="P55" s="12"/>
      <c r="Q55" s="12"/>
      <c r="R55" s="12"/>
      <c r="S55" s="12"/>
      <c r="T55" s="12"/>
      <c r="U55" s="12"/>
      <c r="V55" s="12"/>
      <c r="W55" s="13"/>
      <c r="X55" s="14" t="str">
        <f aca="false">IF(W55="","",W55+182)</f>
        <v/>
      </c>
      <c r="Y55" s="15" t="str">
        <f aca="false">IF(A55="","",IFERROR(_xlfn.MAXIFS('Risk Register'!$J:$J,'Risk Register'!$B:$B,A55,'Risk Register'!$V:$V,"&lt;&gt;Done"),0))</f>
        <v/>
      </c>
      <c r="Z55" s="15" t="str">
        <f aca="true">IF(A55="","",IF(LEFT(R55,10)="Prohibite","STOP - prohibited practice under Art. 5. ","")&amp;IF(OR(Q55="To assess",R55="To assess",Q55="",R55=""),"Classify role and risk class. ","")&amp;IF(AND(K55="Yes",O55="Yes",P55="Yes"),"Lethal trifecta: private data + untrusted input + external action - remove one leg. ","")&amp;IF(AND(LEFT(R55,9)="High-risk",S55="Not applicable",MID(R55,13,9)="Annex III"),"Pick the Annex III area. ","")&amp;IF(AND(OR(K55="Yes",LEFT(R55,9)="High-risk"),T55&lt;&gt;"Yes"),"Impact assessment outstanding. ","")&amp;IF(AND(M55="Decides automatically",U55&lt;&gt;"Yes"),"Automated decision without defined human oversight. ","")&amp;IF(AND(J55="Production",V55&lt;&gt;"Yes"),"Production system without full logging. ","")&amp;IF(AND(X55&lt;&gt;"",X55&lt;TODAY()),"Review overdue. ","")&amp;IF(B55="","Name the system. ",""))</f>
        <v/>
      </c>
    </row>
    <row r="56" customFormat="false" ht="15" hidden="false" customHeight="false" outlineLevel="0" collapsed="false">
      <c r="A56" s="12"/>
      <c r="B56" s="12"/>
      <c r="C56" s="12"/>
      <c r="D56" s="12"/>
      <c r="E56" s="12"/>
      <c r="F56" s="12"/>
      <c r="G56" s="12"/>
      <c r="H56" s="12"/>
      <c r="I56" s="12"/>
      <c r="J56" s="12"/>
      <c r="K56" s="12"/>
      <c r="L56" s="12"/>
      <c r="M56" s="12"/>
      <c r="N56" s="12"/>
      <c r="O56" s="12"/>
      <c r="P56" s="12"/>
      <c r="Q56" s="12"/>
      <c r="R56" s="12"/>
      <c r="S56" s="12"/>
      <c r="T56" s="12"/>
      <c r="U56" s="12"/>
      <c r="V56" s="12"/>
      <c r="W56" s="13"/>
      <c r="X56" s="14" t="str">
        <f aca="false">IF(W56="","",W56+182)</f>
        <v/>
      </c>
      <c r="Y56" s="15" t="str">
        <f aca="false">IF(A56="","",IFERROR(_xlfn.MAXIFS('Risk Register'!$J:$J,'Risk Register'!$B:$B,A56,'Risk Register'!$V:$V,"&lt;&gt;Done"),0))</f>
        <v/>
      </c>
      <c r="Z56" s="15" t="str">
        <f aca="true">IF(A56="","",IF(LEFT(R56,10)="Prohibite","STOP - prohibited practice under Art. 5. ","")&amp;IF(OR(Q56="To assess",R56="To assess",Q56="",R56=""),"Classify role and risk class. ","")&amp;IF(AND(K56="Yes",O56="Yes",P56="Yes"),"Lethal trifecta: private data + untrusted input + external action - remove one leg. ","")&amp;IF(AND(LEFT(R56,9)="High-risk",S56="Not applicable",MID(R56,13,9)="Annex III"),"Pick the Annex III area. ","")&amp;IF(AND(OR(K56="Yes",LEFT(R56,9)="High-risk"),T56&lt;&gt;"Yes"),"Impact assessment outstanding. ","")&amp;IF(AND(M56="Decides automatically",U56&lt;&gt;"Yes"),"Automated decision without defined human oversight. ","")&amp;IF(AND(J56="Production",V56&lt;&gt;"Yes"),"Production system without full logging. ","")&amp;IF(AND(X56&lt;&gt;"",X56&lt;TODAY()),"Review overdue. ","")&amp;IF(B56="","Name the system. ",""))</f>
        <v/>
      </c>
    </row>
    <row r="57" customFormat="false" ht="15" hidden="false" customHeight="false" outlineLevel="0" collapsed="false">
      <c r="A57" s="12"/>
      <c r="B57" s="12"/>
      <c r="C57" s="12"/>
      <c r="D57" s="12"/>
      <c r="E57" s="12"/>
      <c r="F57" s="12"/>
      <c r="G57" s="12"/>
      <c r="H57" s="12"/>
      <c r="I57" s="12"/>
      <c r="J57" s="12"/>
      <c r="K57" s="12"/>
      <c r="L57" s="12"/>
      <c r="M57" s="12"/>
      <c r="N57" s="12"/>
      <c r="O57" s="12"/>
      <c r="P57" s="12"/>
      <c r="Q57" s="12"/>
      <c r="R57" s="12"/>
      <c r="S57" s="12"/>
      <c r="T57" s="12"/>
      <c r="U57" s="12"/>
      <c r="V57" s="12"/>
      <c r="W57" s="13"/>
      <c r="X57" s="14" t="str">
        <f aca="false">IF(W57="","",W57+182)</f>
        <v/>
      </c>
      <c r="Y57" s="15" t="str">
        <f aca="false">IF(A57="","",IFERROR(_xlfn.MAXIFS('Risk Register'!$J:$J,'Risk Register'!$B:$B,A57,'Risk Register'!$V:$V,"&lt;&gt;Done"),0))</f>
        <v/>
      </c>
      <c r="Z57" s="15" t="str">
        <f aca="true">IF(A57="","",IF(LEFT(R57,10)="Prohibite","STOP - prohibited practice under Art. 5. ","")&amp;IF(OR(Q57="To assess",R57="To assess",Q57="",R57=""),"Classify role and risk class. ","")&amp;IF(AND(K57="Yes",O57="Yes",P57="Yes"),"Lethal trifecta: private data + untrusted input + external action - remove one leg. ","")&amp;IF(AND(LEFT(R57,9)="High-risk",S57="Not applicable",MID(R57,13,9)="Annex III"),"Pick the Annex III area. ","")&amp;IF(AND(OR(K57="Yes",LEFT(R57,9)="High-risk"),T57&lt;&gt;"Yes"),"Impact assessment outstanding. ","")&amp;IF(AND(M57="Decides automatically",U57&lt;&gt;"Yes"),"Automated decision without defined human oversight. ","")&amp;IF(AND(J57="Production",V57&lt;&gt;"Yes"),"Production system without full logging. ","")&amp;IF(AND(X57&lt;&gt;"",X57&lt;TODAY()),"Review overdue. ","")&amp;IF(B57="","Name the system. ",""))</f>
        <v/>
      </c>
    </row>
    <row r="58" customFormat="false" ht="15" hidden="false" customHeight="false" outlineLevel="0" collapsed="false">
      <c r="A58" s="12"/>
      <c r="B58" s="12"/>
      <c r="C58" s="12"/>
      <c r="D58" s="12"/>
      <c r="E58" s="12"/>
      <c r="F58" s="12"/>
      <c r="G58" s="12"/>
      <c r="H58" s="12"/>
      <c r="I58" s="12"/>
      <c r="J58" s="12"/>
      <c r="K58" s="12"/>
      <c r="L58" s="12"/>
      <c r="M58" s="12"/>
      <c r="N58" s="12"/>
      <c r="O58" s="12"/>
      <c r="P58" s="12"/>
      <c r="Q58" s="12"/>
      <c r="R58" s="12"/>
      <c r="S58" s="12"/>
      <c r="T58" s="12"/>
      <c r="U58" s="12"/>
      <c r="V58" s="12"/>
      <c r="W58" s="13"/>
      <c r="X58" s="14" t="str">
        <f aca="false">IF(W58="","",W58+182)</f>
        <v/>
      </c>
      <c r="Y58" s="15" t="str">
        <f aca="false">IF(A58="","",IFERROR(_xlfn.MAXIFS('Risk Register'!$J:$J,'Risk Register'!$B:$B,A58,'Risk Register'!$V:$V,"&lt;&gt;Done"),0))</f>
        <v/>
      </c>
      <c r="Z58" s="15" t="str">
        <f aca="true">IF(A58="","",IF(LEFT(R58,10)="Prohibite","STOP - prohibited practice under Art. 5. ","")&amp;IF(OR(Q58="To assess",R58="To assess",Q58="",R58=""),"Classify role and risk class. ","")&amp;IF(AND(K58="Yes",O58="Yes",P58="Yes"),"Lethal trifecta: private data + untrusted input + external action - remove one leg. ","")&amp;IF(AND(LEFT(R58,9)="High-risk",S58="Not applicable",MID(R58,13,9)="Annex III"),"Pick the Annex III area. ","")&amp;IF(AND(OR(K58="Yes",LEFT(R58,9)="High-risk"),T58&lt;&gt;"Yes"),"Impact assessment outstanding. ","")&amp;IF(AND(M58="Decides automatically",U58&lt;&gt;"Yes"),"Automated decision without defined human oversight. ","")&amp;IF(AND(J58="Production",V58&lt;&gt;"Yes"),"Production system without full logging. ","")&amp;IF(AND(X58&lt;&gt;"",X58&lt;TODAY()),"Review overdue. ","")&amp;IF(B58="","Name the system. ",""))</f>
        <v/>
      </c>
    </row>
    <row r="59" customFormat="false" ht="15" hidden="false" customHeight="false" outlineLevel="0" collapsed="false">
      <c r="A59" s="12"/>
      <c r="B59" s="12"/>
      <c r="C59" s="12"/>
      <c r="D59" s="12"/>
      <c r="E59" s="12"/>
      <c r="F59" s="12"/>
      <c r="G59" s="12"/>
      <c r="H59" s="12"/>
      <c r="I59" s="12"/>
      <c r="J59" s="12"/>
      <c r="K59" s="12"/>
      <c r="L59" s="12"/>
      <c r="M59" s="12"/>
      <c r="N59" s="12"/>
      <c r="O59" s="12"/>
      <c r="P59" s="12"/>
      <c r="Q59" s="12"/>
      <c r="R59" s="12"/>
      <c r="S59" s="12"/>
      <c r="T59" s="12"/>
      <c r="U59" s="12"/>
      <c r="V59" s="12"/>
      <c r="W59" s="13"/>
      <c r="X59" s="14" t="str">
        <f aca="false">IF(W59="","",W59+182)</f>
        <v/>
      </c>
      <c r="Y59" s="15" t="str">
        <f aca="false">IF(A59="","",IFERROR(_xlfn.MAXIFS('Risk Register'!$J:$J,'Risk Register'!$B:$B,A59,'Risk Register'!$V:$V,"&lt;&gt;Done"),0))</f>
        <v/>
      </c>
      <c r="Z59" s="15" t="str">
        <f aca="true">IF(A59="","",IF(LEFT(R59,10)="Prohibite","STOP - prohibited practice under Art. 5. ","")&amp;IF(OR(Q59="To assess",R59="To assess",Q59="",R59=""),"Classify role and risk class. ","")&amp;IF(AND(K59="Yes",O59="Yes",P59="Yes"),"Lethal trifecta: private data + untrusted input + external action - remove one leg. ","")&amp;IF(AND(LEFT(R59,9)="High-risk",S59="Not applicable",MID(R59,13,9)="Annex III"),"Pick the Annex III area. ","")&amp;IF(AND(OR(K59="Yes",LEFT(R59,9)="High-risk"),T59&lt;&gt;"Yes"),"Impact assessment outstanding. ","")&amp;IF(AND(M59="Decides automatically",U59&lt;&gt;"Yes"),"Automated decision without defined human oversight. ","")&amp;IF(AND(J59="Production",V59&lt;&gt;"Yes"),"Production system without full logging. ","")&amp;IF(AND(X59&lt;&gt;"",X59&lt;TODAY()),"Review overdue. ","")&amp;IF(B59="","Name the system. ",""))</f>
        <v/>
      </c>
    </row>
    <row r="60" customFormat="false" ht="15" hidden="false" customHeight="false" outlineLevel="0" collapsed="false">
      <c r="A60" s="12"/>
      <c r="B60" s="12"/>
      <c r="C60" s="12"/>
      <c r="D60" s="12"/>
      <c r="E60" s="12"/>
      <c r="F60" s="12"/>
      <c r="G60" s="12"/>
      <c r="H60" s="12"/>
      <c r="I60" s="12"/>
      <c r="J60" s="12"/>
      <c r="K60" s="12"/>
      <c r="L60" s="12"/>
      <c r="M60" s="12"/>
      <c r="N60" s="12"/>
      <c r="O60" s="12"/>
      <c r="P60" s="12"/>
      <c r="Q60" s="12"/>
      <c r="R60" s="12"/>
      <c r="S60" s="12"/>
      <c r="T60" s="12"/>
      <c r="U60" s="12"/>
      <c r="V60" s="12"/>
      <c r="W60" s="13"/>
      <c r="X60" s="14" t="str">
        <f aca="false">IF(W60="","",W60+182)</f>
        <v/>
      </c>
      <c r="Y60" s="15" t="str">
        <f aca="false">IF(A60="","",IFERROR(_xlfn.MAXIFS('Risk Register'!$J:$J,'Risk Register'!$B:$B,A60,'Risk Register'!$V:$V,"&lt;&gt;Done"),0))</f>
        <v/>
      </c>
      <c r="Z60" s="15" t="str">
        <f aca="true">IF(A60="","",IF(LEFT(R60,10)="Prohibite","STOP - prohibited practice under Art. 5. ","")&amp;IF(OR(Q60="To assess",R60="To assess",Q60="",R60=""),"Classify role and risk class. ","")&amp;IF(AND(K60="Yes",O60="Yes",P60="Yes"),"Lethal trifecta: private data + untrusted input + external action - remove one leg. ","")&amp;IF(AND(LEFT(R60,9)="High-risk",S60="Not applicable",MID(R60,13,9)="Annex III"),"Pick the Annex III area. ","")&amp;IF(AND(OR(K60="Yes",LEFT(R60,9)="High-risk"),T60&lt;&gt;"Yes"),"Impact assessment outstanding. ","")&amp;IF(AND(M60="Decides automatically",U60&lt;&gt;"Yes"),"Automated decision without defined human oversight. ","")&amp;IF(AND(J60="Production",V60&lt;&gt;"Yes"),"Production system without full logging. ","")&amp;IF(AND(X60&lt;&gt;"",X60&lt;TODAY()),"Review overdue. ","")&amp;IF(B60="","Name the system. ",""))</f>
        <v/>
      </c>
    </row>
    <row r="61" customFormat="false" ht="15" hidden="false" customHeight="false" outlineLevel="0" collapsed="false">
      <c r="A61" s="12"/>
      <c r="B61" s="12"/>
      <c r="C61" s="12"/>
      <c r="D61" s="12"/>
      <c r="E61" s="12"/>
      <c r="F61" s="12"/>
      <c r="G61" s="12"/>
      <c r="H61" s="12"/>
      <c r="I61" s="12"/>
      <c r="J61" s="12"/>
      <c r="K61" s="12"/>
      <c r="L61" s="12"/>
      <c r="M61" s="12"/>
      <c r="N61" s="12"/>
      <c r="O61" s="12"/>
      <c r="P61" s="12"/>
      <c r="Q61" s="12"/>
      <c r="R61" s="12"/>
      <c r="S61" s="12"/>
      <c r="T61" s="12"/>
      <c r="U61" s="12"/>
      <c r="V61" s="12"/>
      <c r="W61" s="13"/>
      <c r="X61" s="14" t="str">
        <f aca="false">IF(W61="","",W61+182)</f>
        <v/>
      </c>
      <c r="Y61" s="15" t="str">
        <f aca="false">IF(A61="","",IFERROR(_xlfn.MAXIFS('Risk Register'!$J:$J,'Risk Register'!$B:$B,A61,'Risk Register'!$V:$V,"&lt;&gt;Done"),0))</f>
        <v/>
      </c>
      <c r="Z61" s="15" t="str">
        <f aca="true">IF(A61="","",IF(LEFT(R61,10)="Prohibite","STOP - prohibited practice under Art. 5. ","")&amp;IF(OR(Q61="To assess",R61="To assess",Q61="",R61=""),"Classify role and risk class. ","")&amp;IF(AND(K61="Yes",O61="Yes",P61="Yes"),"Lethal trifecta: private data + untrusted input + external action - remove one leg. ","")&amp;IF(AND(LEFT(R61,9)="High-risk",S61="Not applicable",MID(R61,13,9)="Annex III"),"Pick the Annex III area. ","")&amp;IF(AND(OR(K61="Yes",LEFT(R61,9)="High-risk"),T61&lt;&gt;"Yes"),"Impact assessment outstanding. ","")&amp;IF(AND(M61="Decides automatically",U61&lt;&gt;"Yes"),"Automated decision without defined human oversight. ","")&amp;IF(AND(J61="Production",V61&lt;&gt;"Yes"),"Production system without full logging. ","")&amp;IF(AND(X61&lt;&gt;"",X61&lt;TODAY()),"Review overdue. ","")&amp;IF(B61="","Name the system. ",""))</f>
        <v/>
      </c>
    </row>
    <row r="62" customFormat="false" ht="15" hidden="false" customHeight="false" outlineLevel="0" collapsed="false">
      <c r="A62" s="12"/>
      <c r="B62" s="12"/>
      <c r="C62" s="12"/>
      <c r="D62" s="12"/>
      <c r="E62" s="12"/>
      <c r="F62" s="12"/>
      <c r="G62" s="12"/>
      <c r="H62" s="12"/>
      <c r="I62" s="12"/>
      <c r="J62" s="12"/>
      <c r="K62" s="12"/>
      <c r="L62" s="12"/>
      <c r="M62" s="12"/>
      <c r="N62" s="12"/>
      <c r="O62" s="12"/>
      <c r="P62" s="12"/>
      <c r="Q62" s="12"/>
      <c r="R62" s="12"/>
      <c r="S62" s="12"/>
      <c r="T62" s="12"/>
      <c r="U62" s="12"/>
      <c r="V62" s="12"/>
      <c r="W62" s="13"/>
      <c r="X62" s="14" t="str">
        <f aca="false">IF(W62="","",W62+182)</f>
        <v/>
      </c>
      <c r="Y62" s="15" t="str">
        <f aca="false">IF(A62="","",IFERROR(_xlfn.MAXIFS('Risk Register'!$J:$J,'Risk Register'!$B:$B,A62,'Risk Register'!$V:$V,"&lt;&gt;Done"),0))</f>
        <v/>
      </c>
      <c r="Z62" s="15" t="str">
        <f aca="true">IF(A62="","",IF(LEFT(R62,10)="Prohibite","STOP - prohibited practice under Art. 5. ","")&amp;IF(OR(Q62="To assess",R62="To assess",Q62="",R62=""),"Classify role and risk class. ","")&amp;IF(AND(K62="Yes",O62="Yes",P62="Yes"),"Lethal trifecta: private data + untrusted input + external action - remove one leg. ","")&amp;IF(AND(LEFT(R62,9)="High-risk",S62="Not applicable",MID(R62,13,9)="Annex III"),"Pick the Annex III area. ","")&amp;IF(AND(OR(K62="Yes",LEFT(R62,9)="High-risk"),T62&lt;&gt;"Yes"),"Impact assessment outstanding. ","")&amp;IF(AND(M62="Decides automatically",U62&lt;&gt;"Yes"),"Automated decision without defined human oversight. ","")&amp;IF(AND(J62="Production",V62&lt;&gt;"Yes"),"Production system without full logging. ","")&amp;IF(AND(X62&lt;&gt;"",X62&lt;TODAY()),"Review overdue. ","")&amp;IF(B62="","Name the system. ",""))</f>
        <v/>
      </c>
    </row>
    <row r="63" customFormat="false" ht="15" hidden="false" customHeight="false" outlineLevel="0" collapsed="false">
      <c r="A63" s="12"/>
      <c r="B63" s="12"/>
      <c r="C63" s="12"/>
      <c r="D63" s="12"/>
      <c r="E63" s="12"/>
      <c r="F63" s="12"/>
      <c r="G63" s="12"/>
      <c r="H63" s="12"/>
      <c r="I63" s="12"/>
      <c r="J63" s="12"/>
      <c r="K63" s="12"/>
      <c r="L63" s="12"/>
      <c r="M63" s="12"/>
      <c r="N63" s="12"/>
      <c r="O63" s="12"/>
      <c r="P63" s="12"/>
      <c r="Q63" s="12"/>
      <c r="R63" s="12"/>
      <c r="S63" s="12"/>
      <c r="T63" s="12"/>
      <c r="U63" s="12"/>
      <c r="V63" s="12"/>
      <c r="W63" s="13"/>
      <c r="X63" s="14" t="str">
        <f aca="false">IF(W63="","",W63+182)</f>
        <v/>
      </c>
      <c r="Y63" s="15" t="str">
        <f aca="false">IF(A63="","",IFERROR(_xlfn.MAXIFS('Risk Register'!$J:$J,'Risk Register'!$B:$B,A63,'Risk Register'!$V:$V,"&lt;&gt;Done"),0))</f>
        <v/>
      </c>
      <c r="Z63" s="15" t="str">
        <f aca="true">IF(A63="","",IF(LEFT(R63,10)="Prohibite","STOP - prohibited practice under Art. 5. ","")&amp;IF(OR(Q63="To assess",R63="To assess",Q63="",R63=""),"Classify role and risk class. ","")&amp;IF(AND(K63="Yes",O63="Yes",P63="Yes"),"Lethal trifecta: private data + untrusted input + external action - remove one leg. ","")&amp;IF(AND(LEFT(R63,9)="High-risk",S63="Not applicable",MID(R63,13,9)="Annex III"),"Pick the Annex III area. ","")&amp;IF(AND(OR(K63="Yes",LEFT(R63,9)="High-risk"),T63&lt;&gt;"Yes"),"Impact assessment outstanding. ","")&amp;IF(AND(M63="Decides automatically",U63&lt;&gt;"Yes"),"Automated decision without defined human oversight. ","")&amp;IF(AND(J63="Production",V63&lt;&gt;"Yes"),"Production system without full logging. ","")&amp;IF(AND(X63&lt;&gt;"",X63&lt;TODAY()),"Review overdue. ","")&amp;IF(B63="","Name the system. ",""))</f>
        <v/>
      </c>
    </row>
    <row r="64" customFormat="false" ht="15" hidden="false" customHeight="false" outlineLevel="0" collapsed="false">
      <c r="A64" s="12"/>
      <c r="B64" s="12"/>
      <c r="C64" s="12"/>
      <c r="D64" s="12"/>
      <c r="E64" s="12"/>
      <c r="F64" s="12"/>
      <c r="G64" s="12"/>
      <c r="H64" s="12"/>
      <c r="I64" s="12"/>
      <c r="J64" s="12"/>
      <c r="K64" s="12"/>
      <c r="L64" s="12"/>
      <c r="M64" s="12"/>
      <c r="N64" s="12"/>
      <c r="O64" s="12"/>
      <c r="P64" s="12"/>
      <c r="Q64" s="12"/>
      <c r="R64" s="12"/>
      <c r="S64" s="12"/>
      <c r="T64" s="12"/>
      <c r="U64" s="12"/>
      <c r="V64" s="12"/>
      <c r="W64" s="13"/>
      <c r="X64" s="14" t="str">
        <f aca="false">IF(W64="","",W64+182)</f>
        <v/>
      </c>
      <c r="Y64" s="15" t="str">
        <f aca="false">IF(A64="","",IFERROR(_xlfn.MAXIFS('Risk Register'!$J:$J,'Risk Register'!$B:$B,A64,'Risk Register'!$V:$V,"&lt;&gt;Done"),0))</f>
        <v/>
      </c>
      <c r="Z64" s="15" t="str">
        <f aca="true">IF(A64="","",IF(LEFT(R64,10)="Prohibite","STOP - prohibited practice under Art. 5. ","")&amp;IF(OR(Q64="To assess",R64="To assess",Q64="",R64=""),"Classify role and risk class. ","")&amp;IF(AND(K64="Yes",O64="Yes",P64="Yes"),"Lethal trifecta: private data + untrusted input + external action - remove one leg. ","")&amp;IF(AND(LEFT(R64,9)="High-risk",S64="Not applicable",MID(R64,13,9)="Annex III"),"Pick the Annex III area. ","")&amp;IF(AND(OR(K64="Yes",LEFT(R64,9)="High-risk"),T64&lt;&gt;"Yes"),"Impact assessment outstanding. ","")&amp;IF(AND(M64="Decides automatically",U64&lt;&gt;"Yes"),"Automated decision without defined human oversight. ","")&amp;IF(AND(J64="Production",V64&lt;&gt;"Yes"),"Production system without full logging. ","")&amp;IF(AND(X64&lt;&gt;"",X64&lt;TODAY()),"Review overdue. ","")&amp;IF(B64="","Name the system. ",""))</f>
        <v/>
      </c>
    </row>
    <row r="65" customFormat="false" ht="15" hidden="false" customHeight="false" outlineLevel="0" collapsed="false">
      <c r="A65" s="12"/>
      <c r="B65" s="12"/>
      <c r="C65" s="12"/>
      <c r="D65" s="12"/>
      <c r="E65" s="12"/>
      <c r="F65" s="12"/>
      <c r="G65" s="12"/>
      <c r="H65" s="12"/>
      <c r="I65" s="12"/>
      <c r="J65" s="12"/>
      <c r="K65" s="12"/>
      <c r="L65" s="12"/>
      <c r="M65" s="12"/>
      <c r="N65" s="12"/>
      <c r="O65" s="12"/>
      <c r="P65" s="12"/>
      <c r="Q65" s="12"/>
      <c r="R65" s="12"/>
      <c r="S65" s="12"/>
      <c r="T65" s="12"/>
      <c r="U65" s="12"/>
      <c r="V65" s="12"/>
      <c r="W65" s="13"/>
      <c r="X65" s="14" t="str">
        <f aca="false">IF(W65="","",W65+182)</f>
        <v/>
      </c>
      <c r="Y65" s="15" t="str">
        <f aca="false">IF(A65="","",IFERROR(_xlfn.MAXIFS('Risk Register'!$J:$J,'Risk Register'!$B:$B,A65,'Risk Register'!$V:$V,"&lt;&gt;Done"),0))</f>
        <v/>
      </c>
      <c r="Z65" s="15" t="str">
        <f aca="true">IF(A65="","",IF(LEFT(R65,10)="Prohibite","STOP - prohibited practice under Art. 5. ","")&amp;IF(OR(Q65="To assess",R65="To assess",Q65="",R65=""),"Classify role and risk class. ","")&amp;IF(AND(K65="Yes",O65="Yes",P65="Yes"),"Lethal trifecta: private data + untrusted input + external action - remove one leg. ","")&amp;IF(AND(LEFT(R65,9)="High-risk",S65="Not applicable",MID(R65,13,9)="Annex III"),"Pick the Annex III area. ","")&amp;IF(AND(OR(K65="Yes",LEFT(R65,9)="High-risk"),T65&lt;&gt;"Yes"),"Impact assessment outstanding. ","")&amp;IF(AND(M65="Decides automatically",U65&lt;&gt;"Yes"),"Automated decision without defined human oversight. ","")&amp;IF(AND(J65="Production",V65&lt;&gt;"Yes"),"Production system without full logging. ","")&amp;IF(AND(X65&lt;&gt;"",X65&lt;TODAY()),"Review overdue. ","")&amp;IF(B65="","Name the system. ",""))</f>
        <v/>
      </c>
    </row>
    <row r="66" customFormat="false" ht="15" hidden="false" customHeight="false" outlineLevel="0" collapsed="false">
      <c r="A66" s="12"/>
      <c r="B66" s="12"/>
      <c r="C66" s="12"/>
      <c r="D66" s="12"/>
      <c r="E66" s="12"/>
      <c r="F66" s="12"/>
      <c r="G66" s="12"/>
      <c r="H66" s="12"/>
      <c r="I66" s="12"/>
      <c r="J66" s="12"/>
      <c r="K66" s="12"/>
      <c r="L66" s="12"/>
      <c r="M66" s="12"/>
      <c r="N66" s="12"/>
      <c r="O66" s="12"/>
      <c r="P66" s="12"/>
      <c r="Q66" s="12"/>
      <c r="R66" s="12"/>
      <c r="S66" s="12"/>
      <c r="T66" s="12"/>
      <c r="U66" s="12"/>
      <c r="V66" s="12"/>
      <c r="W66" s="13"/>
      <c r="X66" s="14" t="str">
        <f aca="false">IF(W66="","",W66+182)</f>
        <v/>
      </c>
      <c r="Y66" s="15" t="str">
        <f aca="false">IF(A66="","",IFERROR(_xlfn.MAXIFS('Risk Register'!$J:$J,'Risk Register'!$B:$B,A66,'Risk Register'!$V:$V,"&lt;&gt;Done"),0))</f>
        <v/>
      </c>
      <c r="Z66" s="15" t="str">
        <f aca="true">IF(A66="","",IF(LEFT(R66,10)="Prohibite","STOP - prohibited practice under Art. 5. ","")&amp;IF(OR(Q66="To assess",R66="To assess",Q66="",R66=""),"Classify role and risk class. ","")&amp;IF(AND(K66="Yes",O66="Yes",P66="Yes"),"Lethal trifecta: private data + untrusted input + external action - remove one leg. ","")&amp;IF(AND(LEFT(R66,9)="High-risk",S66="Not applicable",MID(R66,13,9)="Annex III"),"Pick the Annex III area. ","")&amp;IF(AND(OR(K66="Yes",LEFT(R66,9)="High-risk"),T66&lt;&gt;"Yes"),"Impact assessment outstanding. ","")&amp;IF(AND(M66="Decides automatically",U66&lt;&gt;"Yes"),"Automated decision without defined human oversight. ","")&amp;IF(AND(J66="Production",V66&lt;&gt;"Yes"),"Production system without full logging. ","")&amp;IF(AND(X66&lt;&gt;"",X66&lt;TODAY()),"Review overdue. ","")&amp;IF(B66="","Name the system. ",""))</f>
        <v/>
      </c>
    </row>
    <row r="67" customFormat="false" ht="15" hidden="false" customHeight="false" outlineLevel="0" collapsed="false">
      <c r="A67" s="12"/>
      <c r="B67" s="12"/>
      <c r="C67" s="12"/>
      <c r="D67" s="12"/>
      <c r="E67" s="12"/>
      <c r="F67" s="12"/>
      <c r="G67" s="12"/>
      <c r="H67" s="12"/>
      <c r="I67" s="12"/>
      <c r="J67" s="12"/>
      <c r="K67" s="12"/>
      <c r="L67" s="12"/>
      <c r="M67" s="12"/>
      <c r="N67" s="12"/>
      <c r="O67" s="12"/>
      <c r="P67" s="12"/>
      <c r="Q67" s="12"/>
      <c r="R67" s="12"/>
      <c r="S67" s="12"/>
      <c r="T67" s="12"/>
      <c r="U67" s="12"/>
      <c r="V67" s="12"/>
      <c r="W67" s="13"/>
      <c r="X67" s="14" t="str">
        <f aca="false">IF(W67="","",W67+182)</f>
        <v/>
      </c>
      <c r="Y67" s="15" t="str">
        <f aca="false">IF(A67="","",IFERROR(_xlfn.MAXIFS('Risk Register'!$J:$J,'Risk Register'!$B:$B,A67,'Risk Register'!$V:$V,"&lt;&gt;Done"),0))</f>
        <v/>
      </c>
      <c r="Z67" s="15" t="str">
        <f aca="true">IF(A67="","",IF(LEFT(R67,10)="Prohibite","STOP - prohibited practice under Art. 5. ","")&amp;IF(OR(Q67="To assess",R67="To assess",Q67="",R67=""),"Classify role and risk class. ","")&amp;IF(AND(K67="Yes",O67="Yes",P67="Yes"),"Lethal trifecta: private data + untrusted input + external action - remove one leg. ","")&amp;IF(AND(LEFT(R67,9)="High-risk",S67="Not applicable",MID(R67,13,9)="Annex III"),"Pick the Annex III area. ","")&amp;IF(AND(OR(K67="Yes",LEFT(R67,9)="High-risk"),T67&lt;&gt;"Yes"),"Impact assessment outstanding. ","")&amp;IF(AND(M67="Decides automatically",U67&lt;&gt;"Yes"),"Automated decision without defined human oversight. ","")&amp;IF(AND(J67="Production",V67&lt;&gt;"Yes"),"Production system without full logging. ","")&amp;IF(AND(X67&lt;&gt;"",X67&lt;TODAY()),"Review overdue. ","")&amp;IF(B67="","Name the system. ",""))</f>
        <v/>
      </c>
    </row>
    <row r="68" customFormat="false" ht="15" hidden="false" customHeight="false" outlineLevel="0" collapsed="false">
      <c r="A68" s="12"/>
      <c r="B68" s="12"/>
      <c r="C68" s="12"/>
      <c r="D68" s="12"/>
      <c r="E68" s="12"/>
      <c r="F68" s="12"/>
      <c r="G68" s="12"/>
      <c r="H68" s="12"/>
      <c r="I68" s="12"/>
      <c r="J68" s="12"/>
      <c r="K68" s="12"/>
      <c r="L68" s="12"/>
      <c r="M68" s="12"/>
      <c r="N68" s="12"/>
      <c r="O68" s="12"/>
      <c r="P68" s="12"/>
      <c r="Q68" s="12"/>
      <c r="R68" s="12"/>
      <c r="S68" s="12"/>
      <c r="T68" s="12"/>
      <c r="U68" s="12"/>
      <c r="V68" s="12"/>
      <c r="W68" s="13"/>
      <c r="X68" s="14" t="str">
        <f aca="false">IF(W68="","",W68+182)</f>
        <v/>
      </c>
      <c r="Y68" s="15" t="str">
        <f aca="false">IF(A68="","",IFERROR(_xlfn.MAXIFS('Risk Register'!$J:$J,'Risk Register'!$B:$B,A68,'Risk Register'!$V:$V,"&lt;&gt;Done"),0))</f>
        <v/>
      </c>
      <c r="Z68" s="15" t="str">
        <f aca="true">IF(A68="","",IF(LEFT(R68,10)="Prohibite","STOP - prohibited practice under Art. 5. ","")&amp;IF(OR(Q68="To assess",R68="To assess",Q68="",R68=""),"Classify role and risk class. ","")&amp;IF(AND(K68="Yes",O68="Yes",P68="Yes"),"Lethal trifecta: private data + untrusted input + external action - remove one leg. ","")&amp;IF(AND(LEFT(R68,9)="High-risk",S68="Not applicable",MID(R68,13,9)="Annex III"),"Pick the Annex III area. ","")&amp;IF(AND(OR(K68="Yes",LEFT(R68,9)="High-risk"),T68&lt;&gt;"Yes"),"Impact assessment outstanding. ","")&amp;IF(AND(M68="Decides automatically",U68&lt;&gt;"Yes"),"Automated decision without defined human oversight. ","")&amp;IF(AND(J68="Production",V68&lt;&gt;"Yes"),"Production system without full logging. ","")&amp;IF(AND(X68&lt;&gt;"",X68&lt;TODAY()),"Review overdue. ","")&amp;IF(B68="","Name the system. ",""))</f>
        <v/>
      </c>
    </row>
    <row r="69" customFormat="false" ht="15" hidden="false" customHeight="false" outlineLevel="0" collapsed="false">
      <c r="A69" s="12"/>
      <c r="B69" s="12"/>
      <c r="C69" s="12"/>
      <c r="D69" s="12"/>
      <c r="E69" s="12"/>
      <c r="F69" s="12"/>
      <c r="G69" s="12"/>
      <c r="H69" s="12"/>
      <c r="I69" s="12"/>
      <c r="J69" s="12"/>
      <c r="K69" s="12"/>
      <c r="L69" s="12"/>
      <c r="M69" s="12"/>
      <c r="N69" s="12"/>
      <c r="O69" s="12"/>
      <c r="P69" s="12"/>
      <c r="Q69" s="12"/>
      <c r="R69" s="12"/>
      <c r="S69" s="12"/>
      <c r="T69" s="12"/>
      <c r="U69" s="12"/>
      <c r="V69" s="12"/>
      <c r="W69" s="13"/>
      <c r="X69" s="14" t="str">
        <f aca="false">IF(W69="","",W69+182)</f>
        <v/>
      </c>
      <c r="Y69" s="15" t="str">
        <f aca="false">IF(A69="","",IFERROR(_xlfn.MAXIFS('Risk Register'!$J:$J,'Risk Register'!$B:$B,A69,'Risk Register'!$V:$V,"&lt;&gt;Done"),0))</f>
        <v/>
      </c>
      <c r="Z69" s="15" t="str">
        <f aca="true">IF(A69="","",IF(LEFT(R69,10)="Prohibite","STOP - prohibited practice under Art. 5. ","")&amp;IF(OR(Q69="To assess",R69="To assess",Q69="",R69=""),"Classify role and risk class. ","")&amp;IF(AND(K69="Yes",O69="Yes",P69="Yes"),"Lethal trifecta: private data + untrusted input + external action - remove one leg. ","")&amp;IF(AND(LEFT(R69,9)="High-risk",S69="Not applicable",MID(R69,13,9)="Annex III"),"Pick the Annex III area. ","")&amp;IF(AND(OR(K69="Yes",LEFT(R69,9)="High-risk"),T69&lt;&gt;"Yes"),"Impact assessment outstanding. ","")&amp;IF(AND(M69="Decides automatically",U69&lt;&gt;"Yes"),"Automated decision without defined human oversight. ","")&amp;IF(AND(J69="Production",V69&lt;&gt;"Yes"),"Production system without full logging. ","")&amp;IF(AND(X69&lt;&gt;"",X69&lt;TODAY()),"Review overdue. ","")&amp;IF(B69="","Name the system. ",""))</f>
        <v/>
      </c>
    </row>
    <row r="70" customFormat="false" ht="15" hidden="false" customHeight="false" outlineLevel="0" collapsed="false">
      <c r="A70" s="12"/>
      <c r="B70" s="12"/>
      <c r="C70" s="12"/>
      <c r="D70" s="12"/>
      <c r="E70" s="12"/>
      <c r="F70" s="12"/>
      <c r="G70" s="12"/>
      <c r="H70" s="12"/>
      <c r="I70" s="12"/>
      <c r="J70" s="12"/>
      <c r="K70" s="12"/>
      <c r="L70" s="12"/>
      <c r="M70" s="12"/>
      <c r="N70" s="12"/>
      <c r="O70" s="12"/>
      <c r="P70" s="12"/>
      <c r="Q70" s="12"/>
      <c r="R70" s="12"/>
      <c r="S70" s="12"/>
      <c r="T70" s="12"/>
      <c r="U70" s="12"/>
      <c r="V70" s="12"/>
      <c r="W70" s="13"/>
      <c r="X70" s="14" t="str">
        <f aca="false">IF(W70="","",W70+182)</f>
        <v/>
      </c>
      <c r="Y70" s="15" t="str">
        <f aca="false">IF(A70="","",IFERROR(_xlfn.MAXIFS('Risk Register'!$J:$J,'Risk Register'!$B:$B,A70,'Risk Register'!$V:$V,"&lt;&gt;Done"),0))</f>
        <v/>
      </c>
      <c r="Z70" s="15" t="str">
        <f aca="true">IF(A70="","",IF(LEFT(R70,10)="Prohibite","STOP - prohibited practice under Art. 5. ","")&amp;IF(OR(Q70="To assess",R70="To assess",Q70="",R70=""),"Classify role and risk class. ","")&amp;IF(AND(K70="Yes",O70="Yes",P70="Yes"),"Lethal trifecta: private data + untrusted input + external action - remove one leg. ","")&amp;IF(AND(LEFT(R70,9)="High-risk",S70="Not applicable",MID(R70,13,9)="Annex III"),"Pick the Annex III area. ","")&amp;IF(AND(OR(K70="Yes",LEFT(R70,9)="High-risk"),T70&lt;&gt;"Yes"),"Impact assessment outstanding. ","")&amp;IF(AND(M70="Decides automatically",U70&lt;&gt;"Yes"),"Automated decision without defined human oversight. ","")&amp;IF(AND(J70="Production",V70&lt;&gt;"Yes"),"Production system without full logging. ","")&amp;IF(AND(X70&lt;&gt;"",X70&lt;TODAY()),"Review overdue. ","")&amp;IF(B70="","Name the system. ",""))</f>
        <v/>
      </c>
    </row>
    <row r="71" customFormat="false" ht="15" hidden="false" customHeight="false" outlineLevel="0" collapsed="false">
      <c r="A71" s="12"/>
      <c r="B71" s="12"/>
      <c r="C71" s="12"/>
      <c r="D71" s="12"/>
      <c r="E71" s="12"/>
      <c r="F71" s="12"/>
      <c r="G71" s="12"/>
      <c r="H71" s="12"/>
      <c r="I71" s="12"/>
      <c r="J71" s="12"/>
      <c r="K71" s="12"/>
      <c r="L71" s="12"/>
      <c r="M71" s="12"/>
      <c r="N71" s="12"/>
      <c r="O71" s="12"/>
      <c r="P71" s="12"/>
      <c r="Q71" s="12"/>
      <c r="R71" s="12"/>
      <c r="S71" s="12"/>
      <c r="T71" s="12"/>
      <c r="U71" s="12"/>
      <c r="V71" s="12"/>
      <c r="W71" s="13"/>
      <c r="X71" s="14" t="str">
        <f aca="false">IF(W71="","",W71+182)</f>
        <v/>
      </c>
      <c r="Y71" s="15" t="str">
        <f aca="false">IF(A71="","",IFERROR(_xlfn.MAXIFS('Risk Register'!$J:$J,'Risk Register'!$B:$B,A71,'Risk Register'!$V:$V,"&lt;&gt;Done"),0))</f>
        <v/>
      </c>
      <c r="Z71" s="15" t="str">
        <f aca="true">IF(A71="","",IF(LEFT(R71,10)="Prohibite","STOP - prohibited practice under Art. 5. ","")&amp;IF(OR(Q71="To assess",R71="To assess",Q71="",R71=""),"Classify role and risk class. ","")&amp;IF(AND(K71="Yes",O71="Yes",P71="Yes"),"Lethal trifecta: private data + untrusted input + external action - remove one leg. ","")&amp;IF(AND(LEFT(R71,9)="High-risk",S71="Not applicable",MID(R71,13,9)="Annex III"),"Pick the Annex III area. ","")&amp;IF(AND(OR(K71="Yes",LEFT(R71,9)="High-risk"),T71&lt;&gt;"Yes"),"Impact assessment outstanding. ","")&amp;IF(AND(M71="Decides automatically",U71&lt;&gt;"Yes"),"Automated decision without defined human oversight. ","")&amp;IF(AND(J71="Production",V71&lt;&gt;"Yes"),"Production system without full logging. ","")&amp;IF(AND(X71&lt;&gt;"",X71&lt;TODAY()),"Review overdue. ","")&amp;IF(B71="","Name the system. ",""))</f>
        <v/>
      </c>
    </row>
    <row r="72" customFormat="false" ht="15" hidden="false" customHeight="false" outlineLevel="0" collapsed="false">
      <c r="A72" s="12"/>
      <c r="B72" s="12"/>
      <c r="C72" s="12"/>
      <c r="D72" s="12"/>
      <c r="E72" s="12"/>
      <c r="F72" s="12"/>
      <c r="G72" s="12"/>
      <c r="H72" s="12"/>
      <c r="I72" s="12"/>
      <c r="J72" s="12"/>
      <c r="K72" s="12"/>
      <c r="L72" s="12"/>
      <c r="M72" s="12"/>
      <c r="N72" s="12"/>
      <c r="O72" s="12"/>
      <c r="P72" s="12"/>
      <c r="Q72" s="12"/>
      <c r="R72" s="12"/>
      <c r="S72" s="12"/>
      <c r="T72" s="12"/>
      <c r="U72" s="12"/>
      <c r="V72" s="12"/>
      <c r="W72" s="13"/>
      <c r="X72" s="14" t="str">
        <f aca="false">IF(W72="","",W72+182)</f>
        <v/>
      </c>
      <c r="Y72" s="15" t="str">
        <f aca="false">IF(A72="","",IFERROR(_xlfn.MAXIFS('Risk Register'!$J:$J,'Risk Register'!$B:$B,A72,'Risk Register'!$V:$V,"&lt;&gt;Done"),0))</f>
        <v/>
      </c>
      <c r="Z72" s="15" t="str">
        <f aca="true">IF(A72="","",IF(LEFT(R72,10)="Prohibite","STOP - prohibited practice under Art. 5. ","")&amp;IF(OR(Q72="To assess",R72="To assess",Q72="",R72=""),"Classify role and risk class. ","")&amp;IF(AND(K72="Yes",O72="Yes",P72="Yes"),"Lethal trifecta: private data + untrusted input + external action - remove one leg. ","")&amp;IF(AND(LEFT(R72,9)="High-risk",S72="Not applicable",MID(R72,13,9)="Annex III"),"Pick the Annex III area. ","")&amp;IF(AND(OR(K72="Yes",LEFT(R72,9)="High-risk"),T72&lt;&gt;"Yes"),"Impact assessment outstanding. ","")&amp;IF(AND(M72="Decides automatically",U72&lt;&gt;"Yes"),"Automated decision without defined human oversight. ","")&amp;IF(AND(J72="Production",V72&lt;&gt;"Yes"),"Production system without full logging. ","")&amp;IF(AND(X72&lt;&gt;"",X72&lt;TODAY()),"Review overdue. ","")&amp;IF(B72="","Name the system. ",""))</f>
        <v/>
      </c>
    </row>
    <row r="73" customFormat="false" ht="15" hidden="false" customHeight="false" outlineLevel="0" collapsed="false">
      <c r="A73" s="12"/>
      <c r="B73" s="12"/>
      <c r="C73" s="12"/>
      <c r="D73" s="12"/>
      <c r="E73" s="12"/>
      <c r="F73" s="12"/>
      <c r="G73" s="12"/>
      <c r="H73" s="12"/>
      <c r="I73" s="12"/>
      <c r="J73" s="12"/>
      <c r="K73" s="12"/>
      <c r="L73" s="12"/>
      <c r="M73" s="12"/>
      <c r="N73" s="12"/>
      <c r="O73" s="12"/>
      <c r="P73" s="12"/>
      <c r="Q73" s="12"/>
      <c r="R73" s="12"/>
      <c r="S73" s="12"/>
      <c r="T73" s="12"/>
      <c r="U73" s="12"/>
      <c r="V73" s="12"/>
      <c r="W73" s="13"/>
      <c r="X73" s="14" t="str">
        <f aca="false">IF(W73="","",W73+182)</f>
        <v/>
      </c>
      <c r="Y73" s="15" t="str">
        <f aca="false">IF(A73="","",IFERROR(_xlfn.MAXIFS('Risk Register'!$J:$J,'Risk Register'!$B:$B,A73,'Risk Register'!$V:$V,"&lt;&gt;Done"),0))</f>
        <v/>
      </c>
      <c r="Z73" s="15" t="str">
        <f aca="true">IF(A73="","",IF(LEFT(R73,10)="Prohibite","STOP - prohibited practice under Art. 5. ","")&amp;IF(OR(Q73="To assess",R73="To assess",Q73="",R73=""),"Classify role and risk class. ","")&amp;IF(AND(K73="Yes",O73="Yes",P73="Yes"),"Lethal trifecta: private data + untrusted input + external action - remove one leg. ","")&amp;IF(AND(LEFT(R73,9)="High-risk",S73="Not applicable",MID(R73,13,9)="Annex III"),"Pick the Annex III area. ","")&amp;IF(AND(OR(K73="Yes",LEFT(R73,9)="High-risk"),T73&lt;&gt;"Yes"),"Impact assessment outstanding. ","")&amp;IF(AND(M73="Decides automatically",U73&lt;&gt;"Yes"),"Automated decision without defined human oversight. ","")&amp;IF(AND(J73="Production",V73&lt;&gt;"Yes"),"Production system without full logging. ","")&amp;IF(AND(X73&lt;&gt;"",X73&lt;TODAY()),"Review overdue. ","")&amp;IF(B73="","Name the system. ",""))</f>
        <v/>
      </c>
    </row>
    <row r="74" customFormat="false" ht="15" hidden="false" customHeight="false" outlineLevel="0" collapsed="false">
      <c r="A74" s="12"/>
      <c r="B74" s="12"/>
      <c r="C74" s="12"/>
      <c r="D74" s="12"/>
      <c r="E74" s="12"/>
      <c r="F74" s="12"/>
      <c r="G74" s="12"/>
      <c r="H74" s="12"/>
      <c r="I74" s="12"/>
      <c r="J74" s="12"/>
      <c r="K74" s="12"/>
      <c r="L74" s="12"/>
      <c r="M74" s="12"/>
      <c r="N74" s="12"/>
      <c r="O74" s="12"/>
      <c r="P74" s="12"/>
      <c r="Q74" s="12"/>
      <c r="R74" s="12"/>
      <c r="S74" s="12"/>
      <c r="T74" s="12"/>
      <c r="U74" s="12"/>
      <c r="V74" s="12"/>
      <c r="W74" s="13"/>
      <c r="X74" s="14" t="str">
        <f aca="false">IF(W74="","",W74+182)</f>
        <v/>
      </c>
      <c r="Y74" s="15" t="str">
        <f aca="false">IF(A74="","",IFERROR(_xlfn.MAXIFS('Risk Register'!$J:$J,'Risk Register'!$B:$B,A74,'Risk Register'!$V:$V,"&lt;&gt;Done"),0))</f>
        <v/>
      </c>
      <c r="Z74" s="15" t="str">
        <f aca="true">IF(A74="","",IF(LEFT(R74,10)="Prohibite","STOP - prohibited practice under Art. 5. ","")&amp;IF(OR(Q74="To assess",R74="To assess",Q74="",R74=""),"Classify role and risk class. ","")&amp;IF(AND(K74="Yes",O74="Yes",P74="Yes"),"Lethal trifecta: private data + untrusted input + external action - remove one leg. ","")&amp;IF(AND(LEFT(R74,9)="High-risk",S74="Not applicable",MID(R74,13,9)="Annex III"),"Pick the Annex III area. ","")&amp;IF(AND(OR(K74="Yes",LEFT(R74,9)="High-risk"),T74&lt;&gt;"Yes"),"Impact assessment outstanding. ","")&amp;IF(AND(M74="Decides automatically",U74&lt;&gt;"Yes"),"Automated decision without defined human oversight. ","")&amp;IF(AND(J74="Production",V74&lt;&gt;"Yes"),"Production system without full logging. ","")&amp;IF(AND(X74&lt;&gt;"",X74&lt;TODAY()),"Review overdue. ","")&amp;IF(B74="","Name the system. ",""))</f>
        <v/>
      </c>
    </row>
    <row r="75" customFormat="false" ht="15" hidden="false" customHeight="false" outlineLevel="0" collapsed="false">
      <c r="A75" s="12"/>
      <c r="B75" s="12"/>
      <c r="C75" s="12"/>
      <c r="D75" s="12"/>
      <c r="E75" s="12"/>
      <c r="F75" s="12"/>
      <c r="G75" s="12"/>
      <c r="H75" s="12"/>
      <c r="I75" s="12"/>
      <c r="J75" s="12"/>
      <c r="K75" s="12"/>
      <c r="L75" s="12"/>
      <c r="M75" s="12"/>
      <c r="N75" s="12"/>
      <c r="O75" s="12"/>
      <c r="P75" s="12"/>
      <c r="Q75" s="12"/>
      <c r="R75" s="12"/>
      <c r="S75" s="12"/>
      <c r="T75" s="12"/>
      <c r="U75" s="12"/>
      <c r="V75" s="12"/>
      <c r="W75" s="13"/>
      <c r="X75" s="14" t="str">
        <f aca="false">IF(W75="","",W75+182)</f>
        <v/>
      </c>
      <c r="Y75" s="15" t="str">
        <f aca="false">IF(A75="","",IFERROR(_xlfn.MAXIFS('Risk Register'!$J:$J,'Risk Register'!$B:$B,A75,'Risk Register'!$V:$V,"&lt;&gt;Done"),0))</f>
        <v/>
      </c>
      <c r="Z75" s="15" t="str">
        <f aca="true">IF(A75="","",IF(LEFT(R75,10)="Prohibite","STOP - prohibited practice under Art. 5. ","")&amp;IF(OR(Q75="To assess",R75="To assess",Q75="",R75=""),"Classify role and risk class. ","")&amp;IF(AND(K75="Yes",O75="Yes",P75="Yes"),"Lethal trifecta: private data + untrusted input + external action - remove one leg. ","")&amp;IF(AND(LEFT(R75,9)="High-risk",S75="Not applicable",MID(R75,13,9)="Annex III"),"Pick the Annex III area. ","")&amp;IF(AND(OR(K75="Yes",LEFT(R75,9)="High-risk"),T75&lt;&gt;"Yes"),"Impact assessment outstanding. ","")&amp;IF(AND(M75="Decides automatically",U75&lt;&gt;"Yes"),"Automated decision without defined human oversight. ","")&amp;IF(AND(J75="Production",V75&lt;&gt;"Yes"),"Production system without full logging. ","")&amp;IF(AND(X75&lt;&gt;"",X75&lt;TODAY()),"Review overdue. ","")&amp;IF(B75="","Name the system. ",""))</f>
        <v/>
      </c>
    </row>
    <row r="76" customFormat="false" ht="15" hidden="false" customHeight="false" outlineLevel="0" collapsed="false">
      <c r="A76" s="12"/>
      <c r="B76" s="12"/>
      <c r="C76" s="12"/>
      <c r="D76" s="12"/>
      <c r="E76" s="12"/>
      <c r="F76" s="12"/>
      <c r="G76" s="12"/>
      <c r="H76" s="12"/>
      <c r="I76" s="12"/>
      <c r="J76" s="12"/>
      <c r="K76" s="12"/>
      <c r="L76" s="12"/>
      <c r="M76" s="12"/>
      <c r="N76" s="12"/>
      <c r="O76" s="12"/>
      <c r="P76" s="12"/>
      <c r="Q76" s="12"/>
      <c r="R76" s="12"/>
      <c r="S76" s="12"/>
      <c r="T76" s="12"/>
      <c r="U76" s="12"/>
      <c r="V76" s="12"/>
      <c r="W76" s="13"/>
      <c r="X76" s="14" t="str">
        <f aca="false">IF(W76="","",W76+182)</f>
        <v/>
      </c>
      <c r="Y76" s="15" t="str">
        <f aca="false">IF(A76="","",IFERROR(_xlfn.MAXIFS('Risk Register'!$J:$J,'Risk Register'!$B:$B,A76,'Risk Register'!$V:$V,"&lt;&gt;Done"),0))</f>
        <v/>
      </c>
      <c r="Z76" s="15" t="str">
        <f aca="true">IF(A76="","",IF(LEFT(R76,10)="Prohibite","STOP - prohibited practice under Art. 5. ","")&amp;IF(OR(Q76="To assess",R76="To assess",Q76="",R76=""),"Classify role and risk class. ","")&amp;IF(AND(K76="Yes",O76="Yes",P76="Yes"),"Lethal trifecta: private data + untrusted input + external action - remove one leg. ","")&amp;IF(AND(LEFT(R76,9)="High-risk",S76="Not applicable",MID(R76,13,9)="Annex III"),"Pick the Annex III area. ","")&amp;IF(AND(OR(K76="Yes",LEFT(R76,9)="High-risk"),T76&lt;&gt;"Yes"),"Impact assessment outstanding. ","")&amp;IF(AND(M76="Decides automatically",U76&lt;&gt;"Yes"),"Automated decision without defined human oversight. ","")&amp;IF(AND(J76="Production",V76&lt;&gt;"Yes"),"Production system without full logging. ","")&amp;IF(AND(X76&lt;&gt;"",X76&lt;TODAY()),"Review overdue. ","")&amp;IF(B76="","Name the system. ",""))</f>
        <v/>
      </c>
    </row>
    <row r="77" customFormat="false" ht="15" hidden="false" customHeight="false" outlineLevel="0" collapsed="false">
      <c r="A77" s="12"/>
      <c r="B77" s="12"/>
      <c r="C77" s="12"/>
      <c r="D77" s="12"/>
      <c r="E77" s="12"/>
      <c r="F77" s="12"/>
      <c r="G77" s="12"/>
      <c r="H77" s="12"/>
      <c r="I77" s="12"/>
      <c r="J77" s="12"/>
      <c r="K77" s="12"/>
      <c r="L77" s="12"/>
      <c r="M77" s="12"/>
      <c r="N77" s="12"/>
      <c r="O77" s="12"/>
      <c r="P77" s="12"/>
      <c r="Q77" s="12"/>
      <c r="R77" s="12"/>
      <c r="S77" s="12"/>
      <c r="T77" s="12"/>
      <c r="U77" s="12"/>
      <c r="V77" s="12"/>
      <c r="W77" s="13"/>
      <c r="X77" s="14" t="str">
        <f aca="false">IF(W77="","",W77+182)</f>
        <v/>
      </c>
      <c r="Y77" s="15" t="str">
        <f aca="false">IF(A77="","",IFERROR(_xlfn.MAXIFS('Risk Register'!$J:$J,'Risk Register'!$B:$B,A77,'Risk Register'!$V:$V,"&lt;&gt;Done"),0))</f>
        <v/>
      </c>
      <c r="Z77" s="15" t="str">
        <f aca="true">IF(A77="","",IF(LEFT(R77,10)="Prohibite","STOP - prohibited practice under Art. 5. ","")&amp;IF(OR(Q77="To assess",R77="To assess",Q77="",R77=""),"Classify role and risk class. ","")&amp;IF(AND(K77="Yes",O77="Yes",P77="Yes"),"Lethal trifecta: private data + untrusted input + external action - remove one leg. ","")&amp;IF(AND(LEFT(R77,9)="High-risk",S77="Not applicable",MID(R77,13,9)="Annex III"),"Pick the Annex III area. ","")&amp;IF(AND(OR(K77="Yes",LEFT(R77,9)="High-risk"),T77&lt;&gt;"Yes"),"Impact assessment outstanding. ","")&amp;IF(AND(M77="Decides automatically",U77&lt;&gt;"Yes"),"Automated decision without defined human oversight. ","")&amp;IF(AND(J77="Production",V77&lt;&gt;"Yes"),"Production system without full logging. ","")&amp;IF(AND(X77&lt;&gt;"",X77&lt;TODAY()),"Review overdue. ","")&amp;IF(B77="","Name the system. ",""))</f>
        <v/>
      </c>
    </row>
    <row r="78" customFormat="false" ht="15" hidden="false" customHeight="false" outlineLevel="0" collapsed="false">
      <c r="A78" s="12"/>
      <c r="B78" s="12"/>
      <c r="C78" s="12"/>
      <c r="D78" s="12"/>
      <c r="E78" s="12"/>
      <c r="F78" s="12"/>
      <c r="G78" s="12"/>
      <c r="H78" s="12"/>
      <c r="I78" s="12"/>
      <c r="J78" s="12"/>
      <c r="K78" s="12"/>
      <c r="L78" s="12"/>
      <c r="M78" s="12"/>
      <c r="N78" s="12"/>
      <c r="O78" s="12"/>
      <c r="P78" s="12"/>
      <c r="Q78" s="12"/>
      <c r="R78" s="12"/>
      <c r="S78" s="12"/>
      <c r="T78" s="12"/>
      <c r="U78" s="12"/>
      <c r="V78" s="12"/>
      <c r="W78" s="13"/>
      <c r="X78" s="14" t="str">
        <f aca="false">IF(W78="","",W78+182)</f>
        <v/>
      </c>
      <c r="Y78" s="15" t="str">
        <f aca="false">IF(A78="","",IFERROR(_xlfn.MAXIFS('Risk Register'!$J:$J,'Risk Register'!$B:$B,A78,'Risk Register'!$V:$V,"&lt;&gt;Done"),0))</f>
        <v/>
      </c>
      <c r="Z78" s="15" t="str">
        <f aca="true">IF(A78="","",IF(LEFT(R78,10)="Prohibite","STOP - prohibited practice under Art. 5. ","")&amp;IF(OR(Q78="To assess",R78="To assess",Q78="",R78=""),"Classify role and risk class. ","")&amp;IF(AND(K78="Yes",O78="Yes",P78="Yes"),"Lethal trifecta: private data + untrusted input + external action - remove one leg. ","")&amp;IF(AND(LEFT(R78,9)="High-risk",S78="Not applicable",MID(R78,13,9)="Annex III"),"Pick the Annex III area. ","")&amp;IF(AND(OR(K78="Yes",LEFT(R78,9)="High-risk"),T78&lt;&gt;"Yes"),"Impact assessment outstanding. ","")&amp;IF(AND(M78="Decides automatically",U78&lt;&gt;"Yes"),"Automated decision without defined human oversight. ","")&amp;IF(AND(J78="Production",V78&lt;&gt;"Yes"),"Production system without full logging. ","")&amp;IF(AND(X78&lt;&gt;"",X78&lt;TODAY()),"Review overdue. ","")&amp;IF(B78="","Name the system. ",""))</f>
        <v/>
      </c>
    </row>
    <row r="79" customFormat="false" ht="15" hidden="false" customHeight="false" outlineLevel="0" collapsed="false">
      <c r="A79" s="12"/>
      <c r="B79" s="12"/>
      <c r="C79" s="12"/>
      <c r="D79" s="12"/>
      <c r="E79" s="12"/>
      <c r="F79" s="12"/>
      <c r="G79" s="12"/>
      <c r="H79" s="12"/>
      <c r="I79" s="12"/>
      <c r="J79" s="12"/>
      <c r="K79" s="12"/>
      <c r="L79" s="12"/>
      <c r="M79" s="12"/>
      <c r="N79" s="12"/>
      <c r="O79" s="12"/>
      <c r="P79" s="12"/>
      <c r="Q79" s="12"/>
      <c r="R79" s="12"/>
      <c r="S79" s="12"/>
      <c r="T79" s="12"/>
      <c r="U79" s="12"/>
      <c r="V79" s="12"/>
      <c r="W79" s="13"/>
      <c r="X79" s="14" t="str">
        <f aca="false">IF(W79="","",W79+182)</f>
        <v/>
      </c>
      <c r="Y79" s="15" t="str">
        <f aca="false">IF(A79="","",IFERROR(_xlfn.MAXIFS('Risk Register'!$J:$J,'Risk Register'!$B:$B,A79,'Risk Register'!$V:$V,"&lt;&gt;Done"),0))</f>
        <v/>
      </c>
      <c r="Z79" s="15" t="str">
        <f aca="true">IF(A79="","",IF(LEFT(R79,10)="Prohibite","STOP - prohibited practice under Art. 5. ","")&amp;IF(OR(Q79="To assess",R79="To assess",Q79="",R79=""),"Classify role and risk class. ","")&amp;IF(AND(K79="Yes",O79="Yes",P79="Yes"),"Lethal trifecta: private data + untrusted input + external action - remove one leg. ","")&amp;IF(AND(LEFT(R79,9)="High-risk",S79="Not applicable",MID(R79,13,9)="Annex III"),"Pick the Annex III area. ","")&amp;IF(AND(OR(K79="Yes",LEFT(R79,9)="High-risk"),T79&lt;&gt;"Yes"),"Impact assessment outstanding. ","")&amp;IF(AND(M79="Decides automatically",U79&lt;&gt;"Yes"),"Automated decision without defined human oversight. ","")&amp;IF(AND(J79="Production",V79&lt;&gt;"Yes"),"Production system without full logging. ","")&amp;IF(AND(X79&lt;&gt;"",X79&lt;TODAY()),"Review overdue. ","")&amp;IF(B79="","Name the system. ",""))</f>
        <v/>
      </c>
    </row>
    <row r="80" customFormat="false" ht="15" hidden="false" customHeight="false" outlineLevel="0" collapsed="false">
      <c r="A80" s="12"/>
      <c r="B80" s="12"/>
      <c r="C80" s="12"/>
      <c r="D80" s="12"/>
      <c r="E80" s="12"/>
      <c r="F80" s="12"/>
      <c r="G80" s="12"/>
      <c r="H80" s="12"/>
      <c r="I80" s="12"/>
      <c r="J80" s="12"/>
      <c r="K80" s="12"/>
      <c r="L80" s="12"/>
      <c r="M80" s="12"/>
      <c r="N80" s="12"/>
      <c r="O80" s="12"/>
      <c r="P80" s="12"/>
      <c r="Q80" s="12"/>
      <c r="R80" s="12"/>
      <c r="S80" s="12"/>
      <c r="T80" s="12"/>
      <c r="U80" s="12"/>
      <c r="V80" s="12"/>
      <c r="W80" s="13"/>
      <c r="X80" s="14" t="str">
        <f aca="false">IF(W80="","",W80+182)</f>
        <v/>
      </c>
      <c r="Y80" s="15" t="str">
        <f aca="false">IF(A80="","",IFERROR(_xlfn.MAXIFS('Risk Register'!$J:$J,'Risk Register'!$B:$B,A80,'Risk Register'!$V:$V,"&lt;&gt;Done"),0))</f>
        <v/>
      </c>
      <c r="Z80" s="15" t="str">
        <f aca="true">IF(A80="","",IF(LEFT(R80,10)="Prohibite","STOP - prohibited practice under Art. 5. ","")&amp;IF(OR(Q80="To assess",R80="To assess",Q80="",R80=""),"Classify role and risk class. ","")&amp;IF(AND(K80="Yes",O80="Yes",P80="Yes"),"Lethal trifecta: private data + untrusted input + external action - remove one leg. ","")&amp;IF(AND(LEFT(R80,9)="High-risk",S80="Not applicable",MID(R80,13,9)="Annex III"),"Pick the Annex III area. ","")&amp;IF(AND(OR(K80="Yes",LEFT(R80,9)="High-risk"),T80&lt;&gt;"Yes"),"Impact assessment outstanding. ","")&amp;IF(AND(M80="Decides automatically",U80&lt;&gt;"Yes"),"Automated decision without defined human oversight. ","")&amp;IF(AND(J80="Production",V80&lt;&gt;"Yes"),"Production system without full logging. ","")&amp;IF(AND(X80&lt;&gt;"",X80&lt;TODAY()),"Review overdue. ","")&amp;IF(B80="","Name the system. ",""))</f>
        <v/>
      </c>
    </row>
    <row r="81" customFormat="false" ht="15" hidden="false" customHeight="false" outlineLevel="0" collapsed="false">
      <c r="A81" s="12"/>
      <c r="B81" s="12"/>
      <c r="C81" s="12"/>
      <c r="D81" s="12"/>
      <c r="E81" s="12"/>
      <c r="F81" s="12"/>
      <c r="G81" s="12"/>
      <c r="H81" s="12"/>
      <c r="I81" s="12"/>
      <c r="J81" s="12"/>
      <c r="K81" s="12"/>
      <c r="L81" s="12"/>
      <c r="M81" s="12"/>
      <c r="N81" s="12"/>
      <c r="O81" s="12"/>
      <c r="P81" s="12"/>
      <c r="Q81" s="12"/>
      <c r="R81" s="12"/>
      <c r="S81" s="12"/>
      <c r="T81" s="12"/>
      <c r="U81" s="12"/>
      <c r="V81" s="12"/>
      <c r="W81" s="13"/>
      <c r="X81" s="14" t="str">
        <f aca="false">IF(W81="","",W81+182)</f>
        <v/>
      </c>
      <c r="Y81" s="15" t="str">
        <f aca="false">IF(A81="","",IFERROR(_xlfn.MAXIFS('Risk Register'!$J:$J,'Risk Register'!$B:$B,A81,'Risk Register'!$V:$V,"&lt;&gt;Done"),0))</f>
        <v/>
      </c>
      <c r="Z81" s="15" t="str">
        <f aca="true">IF(A81="","",IF(LEFT(R81,10)="Prohibite","STOP - prohibited practice under Art. 5. ","")&amp;IF(OR(Q81="To assess",R81="To assess",Q81="",R81=""),"Classify role and risk class. ","")&amp;IF(AND(K81="Yes",O81="Yes",P81="Yes"),"Lethal trifecta: private data + untrusted input + external action - remove one leg. ","")&amp;IF(AND(LEFT(R81,9)="High-risk",S81="Not applicable",MID(R81,13,9)="Annex III"),"Pick the Annex III area. ","")&amp;IF(AND(OR(K81="Yes",LEFT(R81,9)="High-risk"),T81&lt;&gt;"Yes"),"Impact assessment outstanding. ","")&amp;IF(AND(M81="Decides automatically",U81&lt;&gt;"Yes"),"Automated decision without defined human oversight. ","")&amp;IF(AND(J81="Production",V81&lt;&gt;"Yes"),"Production system without full logging. ","")&amp;IF(AND(X81&lt;&gt;"",X81&lt;TODAY()),"Review overdue. ","")&amp;IF(B81="","Name the system. ",""))</f>
        <v/>
      </c>
    </row>
    <row r="82" customFormat="false" ht="15" hidden="false" customHeight="false" outlineLevel="0" collapsed="false">
      <c r="A82" s="12"/>
      <c r="B82" s="12"/>
      <c r="C82" s="12"/>
      <c r="D82" s="12"/>
      <c r="E82" s="12"/>
      <c r="F82" s="12"/>
      <c r="G82" s="12"/>
      <c r="H82" s="12"/>
      <c r="I82" s="12"/>
      <c r="J82" s="12"/>
      <c r="K82" s="12"/>
      <c r="L82" s="12"/>
      <c r="M82" s="12"/>
      <c r="N82" s="12"/>
      <c r="O82" s="12"/>
      <c r="P82" s="12"/>
      <c r="Q82" s="12"/>
      <c r="R82" s="12"/>
      <c r="S82" s="12"/>
      <c r="T82" s="12"/>
      <c r="U82" s="12"/>
      <c r="V82" s="12"/>
      <c r="W82" s="13"/>
      <c r="X82" s="14" t="str">
        <f aca="false">IF(W82="","",W82+182)</f>
        <v/>
      </c>
      <c r="Y82" s="15" t="str">
        <f aca="false">IF(A82="","",IFERROR(_xlfn.MAXIFS('Risk Register'!$J:$J,'Risk Register'!$B:$B,A82,'Risk Register'!$V:$V,"&lt;&gt;Done"),0))</f>
        <v/>
      </c>
      <c r="Z82" s="15" t="str">
        <f aca="true">IF(A82="","",IF(LEFT(R82,10)="Prohibite","STOP - prohibited practice under Art. 5. ","")&amp;IF(OR(Q82="To assess",R82="To assess",Q82="",R82=""),"Classify role and risk class. ","")&amp;IF(AND(K82="Yes",O82="Yes",P82="Yes"),"Lethal trifecta: private data + untrusted input + external action - remove one leg. ","")&amp;IF(AND(LEFT(R82,9)="High-risk",S82="Not applicable",MID(R82,13,9)="Annex III"),"Pick the Annex III area. ","")&amp;IF(AND(OR(K82="Yes",LEFT(R82,9)="High-risk"),T82&lt;&gt;"Yes"),"Impact assessment outstanding. ","")&amp;IF(AND(M82="Decides automatically",U82&lt;&gt;"Yes"),"Automated decision without defined human oversight. ","")&amp;IF(AND(J82="Production",V82&lt;&gt;"Yes"),"Production system without full logging. ","")&amp;IF(AND(X82&lt;&gt;"",X82&lt;TODAY()),"Review overdue. ","")&amp;IF(B82="","Name the system. ",""))</f>
        <v/>
      </c>
    </row>
    <row r="83" customFormat="false" ht="15" hidden="false" customHeight="false" outlineLevel="0" collapsed="false">
      <c r="A83" s="12"/>
      <c r="B83" s="12"/>
      <c r="C83" s="12"/>
      <c r="D83" s="12"/>
      <c r="E83" s="12"/>
      <c r="F83" s="12"/>
      <c r="G83" s="12"/>
      <c r="H83" s="12"/>
      <c r="I83" s="12"/>
      <c r="J83" s="12"/>
      <c r="K83" s="12"/>
      <c r="L83" s="12"/>
      <c r="M83" s="12"/>
      <c r="N83" s="12"/>
      <c r="O83" s="12"/>
      <c r="P83" s="12"/>
      <c r="Q83" s="12"/>
      <c r="R83" s="12"/>
      <c r="S83" s="12"/>
      <c r="T83" s="12"/>
      <c r="U83" s="12"/>
      <c r="V83" s="12"/>
      <c r="W83" s="13"/>
      <c r="X83" s="14" t="str">
        <f aca="false">IF(W83="","",W83+182)</f>
        <v/>
      </c>
      <c r="Y83" s="15" t="str">
        <f aca="false">IF(A83="","",IFERROR(_xlfn.MAXIFS('Risk Register'!$J:$J,'Risk Register'!$B:$B,A83,'Risk Register'!$V:$V,"&lt;&gt;Done"),0))</f>
        <v/>
      </c>
      <c r="Z83" s="15" t="str">
        <f aca="true">IF(A83="","",IF(LEFT(R83,10)="Prohibite","STOP - prohibited practice under Art. 5. ","")&amp;IF(OR(Q83="To assess",R83="To assess",Q83="",R83=""),"Classify role and risk class. ","")&amp;IF(AND(K83="Yes",O83="Yes",P83="Yes"),"Lethal trifecta: private data + untrusted input + external action - remove one leg. ","")&amp;IF(AND(LEFT(R83,9)="High-risk",S83="Not applicable",MID(R83,13,9)="Annex III"),"Pick the Annex III area. ","")&amp;IF(AND(OR(K83="Yes",LEFT(R83,9)="High-risk"),T83&lt;&gt;"Yes"),"Impact assessment outstanding. ","")&amp;IF(AND(M83="Decides automatically",U83&lt;&gt;"Yes"),"Automated decision without defined human oversight. ","")&amp;IF(AND(J83="Production",V83&lt;&gt;"Yes"),"Production system without full logging. ","")&amp;IF(AND(X83&lt;&gt;"",X83&lt;TODAY()),"Review overdue. ","")&amp;IF(B83="","Name the system. ",""))</f>
        <v/>
      </c>
    </row>
    <row r="84" customFormat="false" ht="15" hidden="false" customHeight="false" outlineLevel="0" collapsed="false">
      <c r="A84" s="12"/>
      <c r="B84" s="12"/>
      <c r="C84" s="12"/>
      <c r="D84" s="12"/>
      <c r="E84" s="12"/>
      <c r="F84" s="12"/>
      <c r="G84" s="12"/>
      <c r="H84" s="12"/>
      <c r="I84" s="12"/>
      <c r="J84" s="12"/>
      <c r="K84" s="12"/>
      <c r="L84" s="12"/>
      <c r="M84" s="12"/>
      <c r="N84" s="12"/>
      <c r="O84" s="12"/>
      <c r="P84" s="12"/>
      <c r="Q84" s="12"/>
      <c r="R84" s="12"/>
      <c r="S84" s="12"/>
      <c r="T84" s="12"/>
      <c r="U84" s="12"/>
      <c r="V84" s="12"/>
      <c r="W84" s="13"/>
      <c r="X84" s="14" t="str">
        <f aca="false">IF(W84="","",W84+182)</f>
        <v/>
      </c>
      <c r="Y84" s="15" t="str">
        <f aca="false">IF(A84="","",IFERROR(_xlfn.MAXIFS('Risk Register'!$J:$J,'Risk Register'!$B:$B,A84,'Risk Register'!$V:$V,"&lt;&gt;Done"),0))</f>
        <v/>
      </c>
      <c r="Z84" s="15" t="str">
        <f aca="true">IF(A84="","",IF(LEFT(R84,10)="Prohibite","STOP - prohibited practice under Art. 5. ","")&amp;IF(OR(Q84="To assess",R84="To assess",Q84="",R84=""),"Classify role and risk class. ","")&amp;IF(AND(K84="Yes",O84="Yes",P84="Yes"),"Lethal trifecta: private data + untrusted input + external action - remove one leg. ","")&amp;IF(AND(LEFT(R84,9)="High-risk",S84="Not applicable",MID(R84,13,9)="Annex III"),"Pick the Annex III area. ","")&amp;IF(AND(OR(K84="Yes",LEFT(R84,9)="High-risk"),T84&lt;&gt;"Yes"),"Impact assessment outstanding. ","")&amp;IF(AND(M84="Decides automatically",U84&lt;&gt;"Yes"),"Automated decision without defined human oversight. ","")&amp;IF(AND(J84="Production",V84&lt;&gt;"Yes"),"Production system without full logging. ","")&amp;IF(AND(X84&lt;&gt;"",X84&lt;TODAY()),"Review overdue. ","")&amp;IF(B84="","Name the system. ",""))</f>
        <v/>
      </c>
    </row>
    <row r="85" customFormat="false" ht="15" hidden="false" customHeight="false" outlineLevel="0" collapsed="false">
      <c r="A85" s="12"/>
      <c r="B85" s="12"/>
      <c r="C85" s="12"/>
      <c r="D85" s="12"/>
      <c r="E85" s="12"/>
      <c r="F85" s="12"/>
      <c r="G85" s="12"/>
      <c r="H85" s="12"/>
      <c r="I85" s="12"/>
      <c r="J85" s="12"/>
      <c r="K85" s="12"/>
      <c r="L85" s="12"/>
      <c r="M85" s="12"/>
      <c r="N85" s="12"/>
      <c r="O85" s="12"/>
      <c r="P85" s="12"/>
      <c r="Q85" s="12"/>
      <c r="R85" s="12"/>
      <c r="S85" s="12"/>
      <c r="T85" s="12"/>
      <c r="U85" s="12"/>
      <c r="V85" s="12"/>
      <c r="W85" s="13"/>
      <c r="X85" s="14" t="str">
        <f aca="false">IF(W85="","",W85+182)</f>
        <v/>
      </c>
      <c r="Y85" s="15" t="str">
        <f aca="false">IF(A85="","",IFERROR(_xlfn.MAXIFS('Risk Register'!$J:$J,'Risk Register'!$B:$B,A85,'Risk Register'!$V:$V,"&lt;&gt;Done"),0))</f>
        <v/>
      </c>
      <c r="Z85" s="15" t="str">
        <f aca="true">IF(A85="","",IF(LEFT(R85,10)="Prohibite","STOP - prohibited practice under Art. 5. ","")&amp;IF(OR(Q85="To assess",R85="To assess",Q85="",R85=""),"Classify role and risk class. ","")&amp;IF(AND(K85="Yes",O85="Yes",P85="Yes"),"Lethal trifecta: private data + untrusted input + external action - remove one leg. ","")&amp;IF(AND(LEFT(R85,9)="High-risk",S85="Not applicable",MID(R85,13,9)="Annex III"),"Pick the Annex III area. ","")&amp;IF(AND(OR(K85="Yes",LEFT(R85,9)="High-risk"),T85&lt;&gt;"Yes"),"Impact assessment outstanding. ","")&amp;IF(AND(M85="Decides automatically",U85&lt;&gt;"Yes"),"Automated decision without defined human oversight. ","")&amp;IF(AND(J85="Production",V85&lt;&gt;"Yes"),"Production system without full logging. ","")&amp;IF(AND(X85&lt;&gt;"",X85&lt;TODAY()),"Review overdue. ","")&amp;IF(B85="","Name the system. ",""))</f>
        <v/>
      </c>
    </row>
    <row r="86" customFormat="false" ht="15" hidden="false" customHeight="false" outlineLevel="0" collapsed="false">
      <c r="A86" s="12"/>
      <c r="B86" s="12"/>
      <c r="C86" s="12"/>
      <c r="D86" s="12"/>
      <c r="E86" s="12"/>
      <c r="F86" s="12"/>
      <c r="G86" s="12"/>
      <c r="H86" s="12"/>
      <c r="I86" s="12"/>
      <c r="J86" s="12"/>
      <c r="K86" s="12"/>
      <c r="L86" s="12"/>
      <c r="M86" s="12"/>
      <c r="N86" s="12"/>
      <c r="O86" s="12"/>
      <c r="P86" s="12"/>
      <c r="Q86" s="12"/>
      <c r="R86" s="12"/>
      <c r="S86" s="12"/>
      <c r="T86" s="12"/>
      <c r="U86" s="12"/>
      <c r="V86" s="12"/>
      <c r="W86" s="13"/>
      <c r="X86" s="14" t="str">
        <f aca="false">IF(W86="","",W86+182)</f>
        <v/>
      </c>
      <c r="Y86" s="15" t="str">
        <f aca="false">IF(A86="","",IFERROR(_xlfn.MAXIFS('Risk Register'!$J:$J,'Risk Register'!$B:$B,A86,'Risk Register'!$V:$V,"&lt;&gt;Done"),0))</f>
        <v/>
      </c>
      <c r="Z86" s="15" t="str">
        <f aca="true">IF(A86="","",IF(LEFT(R86,10)="Prohibite","STOP - prohibited practice under Art. 5. ","")&amp;IF(OR(Q86="To assess",R86="To assess",Q86="",R86=""),"Classify role and risk class. ","")&amp;IF(AND(K86="Yes",O86="Yes",P86="Yes"),"Lethal trifecta: private data + untrusted input + external action - remove one leg. ","")&amp;IF(AND(LEFT(R86,9)="High-risk",S86="Not applicable",MID(R86,13,9)="Annex III"),"Pick the Annex III area. ","")&amp;IF(AND(OR(K86="Yes",LEFT(R86,9)="High-risk"),T86&lt;&gt;"Yes"),"Impact assessment outstanding. ","")&amp;IF(AND(M86="Decides automatically",U86&lt;&gt;"Yes"),"Automated decision without defined human oversight. ","")&amp;IF(AND(J86="Production",V86&lt;&gt;"Yes"),"Production system without full logging. ","")&amp;IF(AND(X86&lt;&gt;"",X86&lt;TODAY()),"Review overdue. ","")&amp;IF(B86="","Name the system. ",""))</f>
        <v/>
      </c>
    </row>
    <row r="87" customFormat="false" ht="15" hidden="false" customHeight="false" outlineLevel="0" collapsed="false">
      <c r="A87" s="12"/>
      <c r="B87" s="12"/>
      <c r="C87" s="12"/>
      <c r="D87" s="12"/>
      <c r="E87" s="12"/>
      <c r="F87" s="12"/>
      <c r="G87" s="12"/>
      <c r="H87" s="12"/>
      <c r="I87" s="12"/>
      <c r="J87" s="12"/>
      <c r="K87" s="12"/>
      <c r="L87" s="12"/>
      <c r="M87" s="12"/>
      <c r="N87" s="12"/>
      <c r="O87" s="12"/>
      <c r="P87" s="12"/>
      <c r="Q87" s="12"/>
      <c r="R87" s="12"/>
      <c r="S87" s="12"/>
      <c r="T87" s="12"/>
      <c r="U87" s="12"/>
      <c r="V87" s="12"/>
      <c r="W87" s="13"/>
      <c r="X87" s="14" t="str">
        <f aca="false">IF(W87="","",W87+182)</f>
        <v/>
      </c>
      <c r="Y87" s="15" t="str">
        <f aca="false">IF(A87="","",IFERROR(_xlfn.MAXIFS('Risk Register'!$J:$J,'Risk Register'!$B:$B,A87,'Risk Register'!$V:$V,"&lt;&gt;Done"),0))</f>
        <v/>
      </c>
      <c r="Z87" s="15" t="str">
        <f aca="true">IF(A87="","",IF(LEFT(R87,10)="Prohibite","STOP - prohibited practice under Art. 5. ","")&amp;IF(OR(Q87="To assess",R87="To assess",Q87="",R87=""),"Classify role and risk class. ","")&amp;IF(AND(K87="Yes",O87="Yes",P87="Yes"),"Lethal trifecta: private data + untrusted input + external action - remove one leg. ","")&amp;IF(AND(LEFT(R87,9)="High-risk",S87="Not applicable",MID(R87,13,9)="Annex III"),"Pick the Annex III area. ","")&amp;IF(AND(OR(K87="Yes",LEFT(R87,9)="High-risk"),T87&lt;&gt;"Yes"),"Impact assessment outstanding. ","")&amp;IF(AND(M87="Decides automatically",U87&lt;&gt;"Yes"),"Automated decision without defined human oversight. ","")&amp;IF(AND(J87="Production",V87&lt;&gt;"Yes"),"Production system without full logging. ","")&amp;IF(AND(X87&lt;&gt;"",X87&lt;TODAY()),"Review overdue. ","")&amp;IF(B87="","Name the system. ",""))</f>
        <v/>
      </c>
    </row>
    <row r="88" customFormat="false" ht="15" hidden="false" customHeight="false" outlineLevel="0" collapsed="false">
      <c r="A88" s="12"/>
      <c r="B88" s="12"/>
      <c r="C88" s="12"/>
      <c r="D88" s="12"/>
      <c r="E88" s="12"/>
      <c r="F88" s="12"/>
      <c r="G88" s="12"/>
      <c r="H88" s="12"/>
      <c r="I88" s="12"/>
      <c r="J88" s="12"/>
      <c r="K88" s="12"/>
      <c r="L88" s="12"/>
      <c r="M88" s="12"/>
      <c r="N88" s="12"/>
      <c r="O88" s="12"/>
      <c r="P88" s="12"/>
      <c r="Q88" s="12"/>
      <c r="R88" s="12"/>
      <c r="S88" s="12"/>
      <c r="T88" s="12"/>
      <c r="U88" s="12"/>
      <c r="V88" s="12"/>
      <c r="W88" s="13"/>
      <c r="X88" s="14" t="str">
        <f aca="false">IF(W88="","",W88+182)</f>
        <v/>
      </c>
      <c r="Y88" s="15" t="str">
        <f aca="false">IF(A88="","",IFERROR(_xlfn.MAXIFS('Risk Register'!$J:$J,'Risk Register'!$B:$B,A88,'Risk Register'!$V:$V,"&lt;&gt;Done"),0))</f>
        <v/>
      </c>
      <c r="Z88" s="15" t="str">
        <f aca="true">IF(A88="","",IF(LEFT(R88,10)="Prohibite","STOP - prohibited practice under Art. 5. ","")&amp;IF(OR(Q88="To assess",R88="To assess",Q88="",R88=""),"Classify role and risk class. ","")&amp;IF(AND(K88="Yes",O88="Yes",P88="Yes"),"Lethal trifecta: private data + untrusted input + external action - remove one leg. ","")&amp;IF(AND(LEFT(R88,9)="High-risk",S88="Not applicable",MID(R88,13,9)="Annex III"),"Pick the Annex III area. ","")&amp;IF(AND(OR(K88="Yes",LEFT(R88,9)="High-risk"),T88&lt;&gt;"Yes"),"Impact assessment outstanding. ","")&amp;IF(AND(M88="Decides automatically",U88&lt;&gt;"Yes"),"Automated decision without defined human oversight. ","")&amp;IF(AND(J88="Production",V88&lt;&gt;"Yes"),"Production system without full logging. ","")&amp;IF(AND(X88&lt;&gt;"",X88&lt;TODAY()),"Review overdue. ","")&amp;IF(B88="","Name the system. ",""))</f>
        <v/>
      </c>
    </row>
    <row r="89" customFormat="false" ht="15" hidden="false" customHeight="false" outlineLevel="0" collapsed="false">
      <c r="A89" s="12"/>
      <c r="B89" s="12"/>
      <c r="C89" s="12"/>
      <c r="D89" s="12"/>
      <c r="E89" s="12"/>
      <c r="F89" s="12"/>
      <c r="G89" s="12"/>
      <c r="H89" s="12"/>
      <c r="I89" s="12"/>
      <c r="J89" s="12"/>
      <c r="K89" s="12"/>
      <c r="L89" s="12"/>
      <c r="M89" s="12"/>
      <c r="N89" s="12"/>
      <c r="O89" s="12"/>
      <c r="P89" s="12"/>
      <c r="Q89" s="12"/>
      <c r="R89" s="12"/>
      <c r="S89" s="12"/>
      <c r="T89" s="12"/>
      <c r="U89" s="12"/>
      <c r="V89" s="12"/>
      <c r="W89" s="13"/>
      <c r="X89" s="14" t="str">
        <f aca="false">IF(W89="","",W89+182)</f>
        <v/>
      </c>
      <c r="Y89" s="15" t="str">
        <f aca="false">IF(A89="","",IFERROR(_xlfn.MAXIFS('Risk Register'!$J:$J,'Risk Register'!$B:$B,A89,'Risk Register'!$V:$V,"&lt;&gt;Done"),0))</f>
        <v/>
      </c>
      <c r="Z89" s="15" t="str">
        <f aca="true">IF(A89="","",IF(LEFT(R89,10)="Prohibite","STOP - prohibited practice under Art. 5. ","")&amp;IF(OR(Q89="To assess",R89="To assess",Q89="",R89=""),"Classify role and risk class. ","")&amp;IF(AND(K89="Yes",O89="Yes",P89="Yes"),"Lethal trifecta: private data + untrusted input + external action - remove one leg. ","")&amp;IF(AND(LEFT(R89,9)="High-risk",S89="Not applicable",MID(R89,13,9)="Annex III"),"Pick the Annex III area. ","")&amp;IF(AND(OR(K89="Yes",LEFT(R89,9)="High-risk"),T89&lt;&gt;"Yes"),"Impact assessment outstanding. ","")&amp;IF(AND(M89="Decides automatically",U89&lt;&gt;"Yes"),"Automated decision without defined human oversight. ","")&amp;IF(AND(J89="Production",V89&lt;&gt;"Yes"),"Production system without full logging. ","")&amp;IF(AND(X89&lt;&gt;"",X89&lt;TODAY()),"Review overdue. ","")&amp;IF(B89="","Name the system. ",""))</f>
        <v/>
      </c>
    </row>
    <row r="90" customFormat="false" ht="15" hidden="false" customHeight="false" outlineLevel="0" collapsed="false">
      <c r="A90" s="12"/>
      <c r="B90" s="12"/>
      <c r="C90" s="12"/>
      <c r="D90" s="12"/>
      <c r="E90" s="12"/>
      <c r="F90" s="12"/>
      <c r="G90" s="12"/>
      <c r="H90" s="12"/>
      <c r="I90" s="12"/>
      <c r="J90" s="12"/>
      <c r="K90" s="12"/>
      <c r="L90" s="12"/>
      <c r="M90" s="12"/>
      <c r="N90" s="12"/>
      <c r="O90" s="12"/>
      <c r="P90" s="12"/>
      <c r="Q90" s="12"/>
      <c r="R90" s="12"/>
      <c r="S90" s="12"/>
      <c r="T90" s="12"/>
      <c r="U90" s="12"/>
      <c r="V90" s="12"/>
      <c r="W90" s="13"/>
      <c r="X90" s="14" t="str">
        <f aca="false">IF(W90="","",W90+182)</f>
        <v/>
      </c>
      <c r="Y90" s="15" t="str">
        <f aca="false">IF(A90="","",IFERROR(_xlfn.MAXIFS('Risk Register'!$J:$J,'Risk Register'!$B:$B,A90,'Risk Register'!$V:$V,"&lt;&gt;Done"),0))</f>
        <v/>
      </c>
      <c r="Z90" s="15" t="str">
        <f aca="true">IF(A90="","",IF(LEFT(R90,10)="Prohibite","STOP - prohibited practice under Art. 5. ","")&amp;IF(OR(Q90="To assess",R90="To assess",Q90="",R90=""),"Classify role and risk class. ","")&amp;IF(AND(K90="Yes",O90="Yes",P90="Yes"),"Lethal trifecta: private data + untrusted input + external action - remove one leg. ","")&amp;IF(AND(LEFT(R90,9)="High-risk",S90="Not applicable",MID(R90,13,9)="Annex III"),"Pick the Annex III area. ","")&amp;IF(AND(OR(K90="Yes",LEFT(R90,9)="High-risk"),T90&lt;&gt;"Yes"),"Impact assessment outstanding. ","")&amp;IF(AND(M90="Decides automatically",U90&lt;&gt;"Yes"),"Automated decision without defined human oversight. ","")&amp;IF(AND(J90="Production",V90&lt;&gt;"Yes"),"Production system without full logging. ","")&amp;IF(AND(X90&lt;&gt;"",X90&lt;TODAY()),"Review overdue. ","")&amp;IF(B90="","Name the system. ",""))</f>
        <v/>
      </c>
    </row>
    <row r="91" customFormat="false" ht="15" hidden="false" customHeight="false" outlineLevel="0" collapsed="false">
      <c r="A91" s="12"/>
      <c r="B91" s="12"/>
      <c r="C91" s="12"/>
      <c r="D91" s="12"/>
      <c r="E91" s="12"/>
      <c r="F91" s="12"/>
      <c r="G91" s="12"/>
      <c r="H91" s="12"/>
      <c r="I91" s="12"/>
      <c r="J91" s="12"/>
      <c r="K91" s="12"/>
      <c r="L91" s="12"/>
      <c r="M91" s="12"/>
      <c r="N91" s="12"/>
      <c r="O91" s="12"/>
      <c r="P91" s="12"/>
      <c r="Q91" s="12"/>
      <c r="R91" s="12"/>
      <c r="S91" s="12"/>
      <c r="T91" s="12"/>
      <c r="U91" s="12"/>
      <c r="V91" s="12"/>
      <c r="W91" s="13"/>
      <c r="X91" s="14" t="str">
        <f aca="false">IF(W91="","",W91+182)</f>
        <v/>
      </c>
      <c r="Y91" s="15" t="str">
        <f aca="false">IF(A91="","",IFERROR(_xlfn.MAXIFS('Risk Register'!$J:$J,'Risk Register'!$B:$B,A91,'Risk Register'!$V:$V,"&lt;&gt;Done"),0))</f>
        <v/>
      </c>
      <c r="Z91" s="15" t="str">
        <f aca="true">IF(A91="","",IF(LEFT(R91,10)="Prohibite","STOP - prohibited practice under Art. 5. ","")&amp;IF(OR(Q91="To assess",R91="To assess",Q91="",R91=""),"Classify role and risk class. ","")&amp;IF(AND(K91="Yes",O91="Yes",P91="Yes"),"Lethal trifecta: private data + untrusted input + external action - remove one leg. ","")&amp;IF(AND(LEFT(R91,9)="High-risk",S91="Not applicable",MID(R91,13,9)="Annex III"),"Pick the Annex III area. ","")&amp;IF(AND(OR(K91="Yes",LEFT(R91,9)="High-risk"),T91&lt;&gt;"Yes"),"Impact assessment outstanding. ","")&amp;IF(AND(M91="Decides automatically",U91&lt;&gt;"Yes"),"Automated decision without defined human oversight. ","")&amp;IF(AND(J91="Production",V91&lt;&gt;"Yes"),"Production system without full logging. ","")&amp;IF(AND(X91&lt;&gt;"",X91&lt;TODAY()),"Review overdue. ","")&amp;IF(B91="","Name the system. ",""))</f>
        <v/>
      </c>
    </row>
    <row r="92" customFormat="false" ht="15" hidden="false" customHeight="false" outlineLevel="0" collapsed="false">
      <c r="A92" s="12"/>
      <c r="B92" s="12"/>
      <c r="C92" s="12"/>
      <c r="D92" s="12"/>
      <c r="E92" s="12"/>
      <c r="F92" s="12"/>
      <c r="G92" s="12"/>
      <c r="H92" s="12"/>
      <c r="I92" s="12"/>
      <c r="J92" s="12"/>
      <c r="K92" s="12"/>
      <c r="L92" s="12"/>
      <c r="M92" s="12"/>
      <c r="N92" s="12"/>
      <c r="O92" s="12"/>
      <c r="P92" s="12"/>
      <c r="Q92" s="12"/>
      <c r="R92" s="12"/>
      <c r="S92" s="12"/>
      <c r="T92" s="12"/>
      <c r="U92" s="12"/>
      <c r="V92" s="12"/>
      <c r="W92" s="13"/>
      <c r="X92" s="14" t="str">
        <f aca="false">IF(W92="","",W92+182)</f>
        <v/>
      </c>
      <c r="Y92" s="15" t="str">
        <f aca="false">IF(A92="","",IFERROR(_xlfn.MAXIFS('Risk Register'!$J:$J,'Risk Register'!$B:$B,A92,'Risk Register'!$V:$V,"&lt;&gt;Done"),0))</f>
        <v/>
      </c>
      <c r="Z92" s="15" t="str">
        <f aca="true">IF(A92="","",IF(LEFT(R92,10)="Prohibite","STOP - prohibited practice under Art. 5. ","")&amp;IF(OR(Q92="To assess",R92="To assess",Q92="",R92=""),"Classify role and risk class. ","")&amp;IF(AND(K92="Yes",O92="Yes",P92="Yes"),"Lethal trifecta: private data + untrusted input + external action - remove one leg. ","")&amp;IF(AND(LEFT(R92,9)="High-risk",S92="Not applicable",MID(R92,13,9)="Annex III"),"Pick the Annex III area. ","")&amp;IF(AND(OR(K92="Yes",LEFT(R92,9)="High-risk"),T92&lt;&gt;"Yes"),"Impact assessment outstanding. ","")&amp;IF(AND(M92="Decides automatically",U92&lt;&gt;"Yes"),"Automated decision without defined human oversight. ","")&amp;IF(AND(J92="Production",V92&lt;&gt;"Yes"),"Production system without full logging. ","")&amp;IF(AND(X92&lt;&gt;"",X92&lt;TODAY()),"Review overdue. ","")&amp;IF(B92="","Name the system. ",""))</f>
        <v/>
      </c>
    </row>
    <row r="93" customFormat="false" ht="15" hidden="false" customHeight="false" outlineLevel="0" collapsed="false">
      <c r="A93" s="12"/>
      <c r="B93" s="12"/>
      <c r="C93" s="12"/>
      <c r="D93" s="12"/>
      <c r="E93" s="12"/>
      <c r="F93" s="12"/>
      <c r="G93" s="12"/>
      <c r="H93" s="12"/>
      <c r="I93" s="12"/>
      <c r="J93" s="12"/>
      <c r="K93" s="12"/>
      <c r="L93" s="12"/>
      <c r="M93" s="12"/>
      <c r="N93" s="12"/>
      <c r="O93" s="12"/>
      <c r="P93" s="12"/>
      <c r="Q93" s="12"/>
      <c r="R93" s="12"/>
      <c r="S93" s="12"/>
      <c r="T93" s="12"/>
      <c r="U93" s="12"/>
      <c r="V93" s="12"/>
      <c r="W93" s="13"/>
      <c r="X93" s="14" t="str">
        <f aca="false">IF(W93="","",W93+182)</f>
        <v/>
      </c>
      <c r="Y93" s="15" t="str">
        <f aca="false">IF(A93="","",IFERROR(_xlfn.MAXIFS('Risk Register'!$J:$J,'Risk Register'!$B:$B,A93,'Risk Register'!$V:$V,"&lt;&gt;Done"),0))</f>
        <v/>
      </c>
      <c r="Z93" s="15" t="str">
        <f aca="true">IF(A93="","",IF(LEFT(R93,10)="Prohibite","STOP - prohibited practice under Art. 5. ","")&amp;IF(OR(Q93="To assess",R93="To assess",Q93="",R93=""),"Classify role and risk class. ","")&amp;IF(AND(K93="Yes",O93="Yes",P93="Yes"),"Lethal trifecta: private data + untrusted input + external action - remove one leg. ","")&amp;IF(AND(LEFT(R93,9)="High-risk",S93="Not applicable",MID(R93,13,9)="Annex III"),"Pick the Annex III area. ","")&amp;IF(AND(OR(K93="Yes",LEFT(R93,9)="High-risk"),T93&lt;&gt;"Yes"),"Impact assessment outstanding. ","")&amp;IF(AND(M93="Decides automatically",U93&lt;&gt;"Yes"),"Automated decision without defined human oversight. ","")&amp;IF(AND(J93="Production",V93&lt;&gt;"Yes"),"Production system without full logging. ","")&amp;IF(AND(X93&lt;&gt;"",X93&lt;TODAY()),"Review overdue. ","")&amp;IF(B93="","Name the system. ",""))</f>
        <v/>
      </c>
    </row>
    <row r="94" customFormat="false" ht="15" hidden="false" customHeight="false" outlineLevel="0" collapsed="false">
      <c r="A94" s="12"/>
      <c r="B94" s="12"/>
      <c r="C94" s="12"/>
      <c r="D94" s="12"/>
      <c r="E94" s="12"/>
      <c r="F94" s="12"/>
      <c r="G94" s="12"/>
      <c r="H94" s="12"/>
      <c r="I94" s="12"/>
      <c r="J94" s="12"/>
      <c r="K94" s="12"/>
      <c r="L94" s="12"/>
      <c r="M94" s="12"/>
      <c r="N94" s="12"/>
      <c r="O94" s="12"/>
      <c r="P94" s="12"/>
      <c r="Q94" s="12"/>
      <c r="R94" s="12"/>
      <c r="S94" s="12"/>
      <c r="T94" s="12"/>
      <c r="U94" s="12"/>
      <c r="V94" s="12"/>
      <c r="W94" s="13"/>
      <c r="X94" s="14" t="str">
        <f aca="false">IF(W94="","",W94+182)</f>
        <v/>
      </c>
      <c r="Y94" s="15" t="str">
        <f aca="false">IF(A94="","",IFERROR(_xlfn.MAXIFS('Risk Register'!$J:$J,'Risk Register'!$B:$B,A94,'Risk Register'!$V:$V,"&lt;&gt;Done"),0))</f>
        <v/>
      </c>
      <c r="Z94" s="15" t="str">
        <f aca="true">IF(A94="","",IF(LEFT(R94,10)="Prohibite","STOP - prohibited practice under Art. 5. ","")&amp;IF(OR(Q94="To assess",R94="To assess",Q94="",R94=""),"Classify role and risk class. ","")&amp;IF(AND(K94="Yes",O94="Yes",P94="Yes"),"Lethal trifecta: private data + untrusted input + external action - remove one leg. ","")&amp;IF(AND(LEFT(R94,9)="High-risk",S94="Not applicable",MID(R94,13,9)="Annex III"),"Pick the Annex III area. ","")&amp;IF(AND(OR(K94="Yes",LEFT(R94,9)="High-risk"),T94&lt;&gt;"Yes"),"Impact assessment outstanding. ","")&amp;IF(AND(M94="Decides automatically",U94&lt;&gt;"Yes"),"Automated decision without defined human oversight. ","")&amp;IF(AND(J94="Production",V94&lt;&gt;"Yes"),"Production system without full logging. ","")&amp;IF(AND(X94&lt;&gt;"",X94&lt;TODAY()),"Review overdue. ","")&amp;IF(B94="","Name the system. ",""))</f>
        <v/>
      </c>
    </row>
    <row r="95" customFormat="false" ht="15" hidden="false" customHeight="false" outlineLevel="0" collapsed="false">
      <c r="A95" s="12"/>
      <c r="B95" s="12"/>
      <c r="C95" s="12"/>
      <c r="D95" s="12"/>
      <c r="E95" s="12"/>
      <c r="F95" s="12"/>
      <c r="G95" s="12"/>
      <c r="H95" s="12"/>
      <c r="I95" s="12"/>
      <c r="J95" s="12"/>
      <c r="K95" s="12"/>
      <c r="L95" s="12"/>
      <c r="M95" s="12"/>
      <c r="N95" s="12"/>
      <c r="O95" s="12"/>
      <c r="P95" s="12"/>
      <c r="Q95" s="12"/>
      <c r="R95" s="12"/>
      <c r="S95" s="12"/>
      <c r="T95" s="12"/>
      <c r="U95" s="12"/>
      <c r="V95" s="12"/>
      <c r="W95" s="13"/>
      <c r="X95" s="14" t="str">
        <f aca="false">IF(W95="","",W95+182)</f>
        <v/>
      </c>
      <c r="Y95" s="15" t="str">
        <f aca="false">IF(A95="","",IFERROR(_xlfn.MAXIFS('Risk Register'!$J:$J,'Risk Register'!$B:$B,A95,'Risk Register'!$V:$V,"&lt;&gt;Done"),0))</f>
        <v/>
      </c>
      <c r="Z95" s="15" t="str">
        <f aca="true">IF(A95="","",IF(LEFT(R95,10)="Prohibite","STOP - prohibited practice under Art. 5. ","")&amp;IF(OR(Q95="To assess",R95="To assess",Q95="",R95=""),"Classify role and risk class. ","")&amp;IF(AND(K95="Yes",O95="Yes",P95="Yes"),"Lethal trifecta: private data + untrusted input + external action - remove one leg. ","")&amp;IF(AND(LEFT(R95,9)="High-risk",S95="Not applicable",MID(R95,13,9)="Annex III"),"Pick the Annex III area. ","")&amp;IF(AND(OR(K95="Yes",LEFT(R95,9)="High-risk"),T95&lt;&gt;"Yes"),"Impact assessment outstanding. ","")&amp;IF(AND(M95="Decides automatically",U95&lt;&gt;"Yes"),"Automated decision without defined human oversight. ","")&amp;IF(AND(J95="Production",V95&lt;&gt;"Yes"),"Production system without full logging. ","")&amp;IF(AND(X95&lt;&gt;"",X95&lt;TODAY()),"Review overdue. ","")&amp;IF(B95="","Name the system. ",""))</f>
        <v/>
      </c>
    </row>
    <row r="96" customFormat="false" ht="15" hidden="false" customHeight="false" outlineLevel="0" collapsed="false">
      <c r="A96" s="12"/>
      <c r="B96" s="12"/>
      <c r="C96" s="12"/>
      <c r="D96" s="12"/>
      <c r="E96" s="12"/>
      <c r="F96" s="12"/>
      <c r="G96" s="12"/>
      <c r="H96" s="12"/>
      <c r="I96" s="12"/>
      <c r="J96" s="12"/>
      <c r="K96" s="12"/>
      <c r="L96" s="12"/>
      <c r="M96" s="12"/>
      <c r="N96" s="12"/>
      <c r="O96" s="12"/>
      <c r="P96" s="12"/>
      <c r="Q96" s="12"/>
      <c r="R96" s="12"/>
      <c r="S96" s="12"/>
      <c r="T96" s="12"/>
      <c r="U96" s="12"/>
      <c r="V96" s="12"/>
      <c r="W96" s="13"/>
      <c r="X96" s="14" t="str">
        <f aca="false">IF(W96="","",W96+182)</f>
        <v/>
      </c>
      <c r="Y96" s="15" t="str">
        <f aca="false">IF(A96="","",IFERROR(_xlfn.MAXIFS('Risk Register'!$J:$J,'Risk Register'!$B:$B,A96,'Risk Register'!$V:$V,"&lt;&gt;Done"),0))</f>
        <v/>
      </c>
      <c r="Z96" s="15" t="str">
        <f aca="true">IF(A96="","",IF(LEFT(R96,10)="Prohibite","STOP - prohibited practice under Art. 5. ","")&amp;IF(OR(Q96="To assess",R96="To assess",Q96="",R96=""),"Classify role and risk class. ","")&amp;IF(AND(K96="Yes",O96="Yes",P96="Yes"),"Lethal trifecta: private data + untrusted input + external action - remove one leg. ","")&amp;IF(AND(LEFT(R96,9)="High-risk",S96="Not applicable",MID(R96,13,9)="Annex III"),"Pick the Annex III area. ","")&amp;IF(AND(OR(K96="Yes",LEFT(R96,9)="High-risk"),T96&lt;&gt;"Yes"),"Impact assessment outstanding. ","")&amp;IF(AND(M96="Decides automatically",U96&lt;&gt;"Yes"),"Automated decision without defined human oversight. ","")&amp;IF(AND(J96="Production",V96&lt;&gt;"Yes"),"Production system without full logging. ","")&amp;IF(AND(X96&lt;&gt;"",X96&lt;TODAY()),"Review overdue. ","")&amp;IF(B96="","Name the system. ",""))</f>
        <v/>
      </c>
    </row>
    <row r="97" customFormat="false" ht="15" hidden="false" customHeight="false" outlineLevel="0" collapsed="false">
      <c r="A97" s="12"/>
      <c r="B97" s="12"/>
      <c r="C97" s="12"/>
      <c r="D97" s="12"/>
      <c r="E97" s="12"/>
      <c r="F97" s="12"/>
      <c r="G97" s="12"/>
      <c r="H97" s="12"/>
      <c r="I97" s="12"/>
      <c r="J97" s="12"/>
      <c r="K97" s="12"/>
      <c r="L97" s="12"/>
      <c r="M97" s="12"/>
      <c r="N97" s="12"/>
      <c r="O97" s="12"/>
      <c r="P97" s="12"/>
      <c r="Q97" s="12"/>
      <c r="R97" s="12"/>
      <c r="S97" s="12"/>
      <c r="T97" s="12"/>
      <c r="U97" s="12"/>
      <c r="V97" s="12"/>
      <c r="W97" s="13"/>
      <c r="X97" s="14" t="str">
        <f aca="false">IF(W97="","",W97+182)</f>
        <v/>
      </c>
      <c r="Y97" s="15" t="str">
        <f aca="false">IF(A97="","",IFERROR(_xlfn.MAXIFS('Risk Register'!$J:$J,'Risk Register'!$B:$B,A97,'Risk Register'!$V:$V,"&lt;&gt;Done"),0))</f>
        <v/>
      </c>
      <c r="Z97" s="15" t="str">
        <f aca="true">IF(A97="","",IF(LEFT(R97,10)="Prohibite","STOP - prohibited practice under Art. 5. ","")&amp;IF(OR(Q97="To assess",R97="To assess",Q97="",R97=""),"Classify role and risk class. ","")&amp;IF(AND(K97="Yes",O97="Yes",P97="Yes"),"Lethal trifecta: private data + untrusted input + external action - remove one leg. ","")&amp;IF(AND(LEFT(R97,9)="High-risk",S97="Not applicable",MID(R97,13,9)="Annex III"),"Pick the Annex III area. ","")&amp;IF(AND(OR(K97="Yes",LEFT(R97,9)="High-risk"),T97&lt;&gt;"Yes"),"Impact assessment outstanding. ","")&amp;IF(AND(M97="Decides automatically",U97&lt;&gt;"Yes"),"Automated decision without defined human oversight. ","")&amp;IF(AND(J97="Production",V97&lt;&gt;"Yes"),"Production system without full logging. ","")&amp;IF(AND(X97&lt;&gt;"",X97&lt;TODAY()),"Review overdue. ","")&amp;IF(B97="","Name the system. ",""))</f>
        <v/>
      </c>
    </row>
    <row r="98" customFormat="false" ht="15" hidden="false" customHeight="false" outlineLevel="0" collapsed="false">
      <c r="A98" s="12"/>
      <c r="B98" s="12"/>
      <c r="C98" s="12"/>
      <c r="D98" s="12"/>
      <c r="E98" s="12"/>
      <c r="F98" s="12"/>
      <c r="G98" s="12"/>
      <c r="H98" s="12"/>
      <c r="I98" s="12"/>
      <c r="J98" s="12"/>
      <c r="K98" s="12"/>
      <c r="L98" s="12"/>
      <c r="M98" s="12"/>
      <c r="N98" s="12"/>
      <c r="O98" s="12"/>
      <c r="P98" s="12"/>
      <c r="Q98" s="12"/>
      <c r="R98" s="12"/>
      <c r="S98" s="12"/>
      <c r="T98" s="12"/>
      <c r="U98" s="12"/>
      <c r="V98" s="12"/>
      <c r="W98" s="13"/>
      <c r="X98" s="14" t="str">
        <f aca="false">IF(W98="","",W98+182)</f>
        <v/>
      </c>
      <c r="Y98" s="15" t="str">
        <f aca="false">IF(A98="","",IFERROR(_xlfn.MAXIFS('Risk Register'!$J:$J,'Risk Register'!$B:$B,A98,'Risk Register'!$V:$V,"&lt;&gt;Done"),0))</f>
        <v/>
      </c>
      <c r="Z98" s="15" t="str">
        <f aca="true">IF(A98="","",IF(LEFT(R98,10)="Prohibite","STOP - prohibited practice under Art. 5. ","")&amp;IF(OR(Q98="To assess",R98="To assess",Q98="",R98=""),"Classify role and risk class. ","")&amp;IF(AND(K98="Yes",O98="Yes",P98="Yes"),"Lethal trifecta: private data + untrusted input + external action - remove one leg. ","")&amp;IF(AND(LEFT(R98,9)="High-risk",S98="Not applicable",MID(R98,13,9)="Annex III"),"Pick the Annex III area. ","")&amp;IF(AND(OR(K98="Yes",LEFT(R98,9)="High-risk"),T98&lt;&gt;"Yes"),"Impact assessment outstanding. ","")&amp;IF(AND(M98="Decides automatically",U98&lt;&gt;"Yes"),"Automated decision without defined human oversight. ","")&amp;IF(AND(J98="Production",V98&lt;&gt;"Yes"),"Production system without full logging. ","")&amp;IF(AND(X98&lt;&gt;"",X98&lt;TODAY()),"Review overdue. ","")&amp;IF(B98="","Name the system. ",""))</f>
        <v/>
      </c>
    </row>
    <row r="99" customFormat="false" ht="15" hidden="false" customHeight="false" outlineLevel="0" collapsed="false">
      <c r="A99" s="12"/>
      <c r="B99" s="12"/>
      <c r="C99" s="12"/>
      <c r="D99" s="12"/>
      <c r="E99" s="12"/>
      <c r="F99" s="12"/>
      <c r="G99" s="12"/>
      <c r="H99" s="12"/>
      <c r="I99" s="12"/>
      <c r="J99" s="12"/>
      <c r="K99" s="12"/>
      <c r="L99" s="12"/>
      <c r="M99" s="12"/>
      <c r="N99" s="12"/>
      <c r="O99" s="12"/>
      <c r="P99" s="12"/>
      <c r="Q99" s="12"/>
      <c r="R99" s="12"/>
      <c r="S99" s="12"/>
      <c r="T99" s="12"/>
      <c r="U99" s="12"/>
      <c r="V99" s="12"/>
      <c r="W99" s="13"/>
      <c r="X99" s="14" t="str">
        <f aca="false">IF(W99="","",W99+182)</f>
        <v/>
      </c>
      <c r="Y99" s="15" t="str">
        <f aca="false">IF(A99="","",IFERROR(_xlfn.MAXIFS('Risk Register'!$J:$J,'Risk Register'!$B:$B,A99,'Risk Register'!$V:$V,"&lt;&gt;Done"),0))</f>
        <v/>
      </c>
      <c r="Z99" s="15" t="str">
        <f aca="true">IF(A99="","",IF(LEFT(R99,10)="Prohibite","STOP - prohibited practice under Art. 5. ","")&amp;IF(OR(Q99="To assess",R99="To assess",Q99="",R99=""),"Classify role and risk class. ","")&amp;IF(AND(K99="Yes",O99="Yes",P99="Yes"),"Lethal trifecta: private data + untrusted input + external action - remove one leg. ","")&amp;IF(AND(LEFT(R99,9)="High-risk",S99="Not applicable",MID(R99,13,9)="Annex III"),"Pick the Annex III area. ","")&amp;IF(AND(OR(K99="Yes",LEFT(R99,9)="High-risk"),T99&lt;&gt;"Yes"),"Impact assessment outstanding. ","")&amp;IF(AND(M99="Decides automatically",U99&lt;&gt;"Yes"),"Automated decision without defined human oversight. ","")&amp;IF(AND(J99="Production",V99&lt;&gt;"Yes"),"Production system without full logging. ","")&amp;IF(AND(X99&lt;&gt;"",X99&lt;TODAY()),"Review overdue. ","")&amp;IF(B99="","Name the system. ",""))</f>
        <v/>
      </c>
    </row>
    <row r="100" customFormat="false" ht="15" hidden="false" customHeight="false" outlineLevel="0" collapsed="false">
      <c r="A100" s="12"/>
      <c r="B100" s="12"/>
      <c r="C100" s="12"/>
      <c r="D100" s="12"/>
      <c r="E100" s="12"/>
      <c r="F100" s="12"/>
      <c r="G100" s="12"/>
      <c r="H100" s="12"/>
      <c r="I100" s="12"/>
      <c r="J100" s="12"/>
      <c r="K100" s="12"/>
      <c r="L100" s="12"/>
      <c r="M100" s="12"/>
      <c r="N100" s="12"/>
      <c r="O100" s="12"/>
      <c r="P100" s="12"/>
      <c r="Q100" s="12"/>
      <c r="R100" s="12"/>
      <c r="S100" s="12"/>
      <c r="T100" s="12"/>
      <c r="U100" s="12"/>
      <c r="V100" s="12"/>
      <c r="W100" s="13"/>
      <c r="X100" s="14" t="str">
        <f aca="false">IF(W100="","",W100+182)</f>
        <v/>
      </c>
      <c r="Y100" s="15" t="str">
        <f aca="false">IF(A100="","",IFERROR(_xlfn.MAXIFS('Risk Register'!$J:$J,'Risk Register'!$B:$B,A100,'Risk Register'!$V:$V,"&lt;&gt;Done"),0))</f>
        <v/>
      </c>
      <c r="Z100" s="15" t="str">
        <f aca="true">IF(A100="","",IF(LEFT(R100,10)="Prohibite","STOP - prohibited practice under Art. 5. ","")&amp;IF(OR(Q100="To assess",R100="To assess",Q100="",R100=""),"Classify role and risk class. ","")&amp;IF(AND(K100="Yes",O100="Yes",P100="Yes"),"Lethal trifecta: private data + untrusted input + external action - remove one leg. ","")&amp;IF(AND(LEFT(R100,9)="High-risk",S100="Not applicable",MID(R100,13,9)="Annex III"),"Pick the Annex III area. ","")&amp;IF(AND(OR(K100="Yes",LEFT(R100,9)="High-risk"),T100&lt;&gt;"Yes"),"Impact assessment outstanding. ","")&amp;IF(AND(M100="Decides automatically",U100&lt;&gt;"Yes"),"Automated decision without defined human oversight. ","")&amp;IF(AND(J100="Production",V100&lt;&gt;"Yes"),"Production system without full logging. ","")&amp;IF(AND(X100&lt;&gt;"",X100&lt;TODAY()),"Review overdue. ","")&amp;IF(B100="","Name the system. ",""))</f>
        <v/>
      </c>
    </row>
    <row r="101" customFormat="false" ht="15" hidden="false" customHeight="false" outlineLevel="0" collapsed="false">
      <c r="A101" s="12"/>
      <c r="B101" s="12"/>
      <c r="C101" s="12"/>
      <c r="D101" s="12"/>
      <c r="E101" s="12"/>
      <c r="F101" s="12"/>
      <c r="G101" s="12"/>
      <c r="H101" s="12"/>
      <c r="I101" s="12"/>
      <c r="J101" s="12"/>
      <c r="K101" s="12"/>
      <c r="L101" s="12"/>
      <c r="M101" s="12"/>
      <c r="N101" s="12"/>
      <c r="O101" s="12"/>
      <c r="P101" s="12"/>
      <c r="Q101" s="12"/>
      <c r="R101" s="12"/>
      <c r="S101" s="12"/>
      <c r="T101" s="12"/>
      <c r="U101" s="12"/>
      <c r="V101" s="12"/>
      <c r="W101" s="13"/>
      <c r="X101" s="14" t="str">
        <f aca="false">IF(W101="","",W101+182)</f>
        <v/>
      </c>
      <c r="Y101" s="15" t="str">
        <f aca="false">IF(A101="","",IFERROR(_xlfn.MAXIFS('Risk Register'!$J:$J,'Risk Register'!$B:$B,A101,'Risk Register'!$V:$V,"&lt;&gt;Done"),0))</f>
        <v/>
      </c>
      <c r="Z101" s="15" t="str">
        <f aca="true">IF(A101="","",IF(LEFT(R101,10)="Prohibite","STOP - prohibited practice under Art. 5. ","")&amp;IF(OR(Q101="To assess",R101="To assess",Q101="",R101=""),"Classify role and risk class. ","")&amp;IF(AND(K101="Yes",O101="Yes",P101="Yes"),"Lethal trifecta: private data + untrusted input + external action - remove one leg. ","")&amp;IF(AND(LEFT(R101,9)="High-risk",S101="Not applicable",MID(R101,13,9)="Annex III"),"Pick the Annex III area. ","")&amp;IF(AND(OR(K101="Yes",LEFT(R101,9)="High-risk"),T101&lt;&gt;"Yes"),"Impact assessment outstanding. ","")&amp;IF(AND(M101="Decides automatically",U101&lt;&gt;"Yes"),"Automated decision without defined human oversight. ","")&amp;IF(AND(J101="Production",V101&lt;&gt;"Yes"),"Production system without full logging. ","")&amp;IF(AND(X101&lt;&gt;"",X101&lt;TODAY()),"Review overdue. ","")&amp;IF(B101="","Name the system. ",""))</f>
        <v/>
      </c>
    </row>
    <row r="102" customFormat="false" ht="15" hidden="false" customHeight="false" outlineLevel="0" collapsed="false">
      <c r="A102" s="12"/>
      <c r="B102" s="12"/>
      <c r="C102" s="12"/>
      <c r="D102" s="12"/>
      <c r="E102" s="12"/>
      <c r="F102" s="12"/>
      <c r="G102" s="12"/>
      <c r="H102" s="12"/>
      <c r="I102" s="12"/>
      <c r="J102" s="12"/>
      <c r="K102" s="12"/>
      <c r="L102" s="12"/>
      <c r="M102" s="12"/>
      <c r="N102" s="12"/>
      <c r="O102" s="12"/>
      <c r="P102" s="12"/>
      <c r="Q102" s="12"/>
      <c r="R102" s="12"/>
      <c r="S102" s="12"/>
      <c r="T102" s="12"/>
      <c r="U102" s="12"/>
      <c r="V102" s="12"/>
      <c r="W102" s="13"/>
      <c r="X102" s="14" t="str">
        <f aca="false">IF(W102="","",W102+182)</f>
        <v/>
      </c>
      <c r="Y102" s="15" t="str">
        <f aca="false">IF(A102="","",IFERROR(_xlfn.MAXIFS('Risk Register'!$J:$J,'Risk Register'!$B:$B,A102,'Risk Register'!$V:$V,"&lt;&gt;Done"),0))</f>
        <v/>
      </c>
      <c r="Z102" s="15" t="str">
        <f aca="true">IF(A102="","",IF(LEFT(R102,10)="Prohibite","STOP - prohibited practice under Art. 5. ","")&amp;IF(OR(Q102="To assess",R102="To assess",Q102="",R102=""),"Classify role and risk class. ","")&amp;IF(AND(K102="Yes",O102="Yes",P102="Yes"),"Lethal trifecta: private data + untrusted input + external action - remove one leg. ","")&amp;IF(AND(LEFT(R102,9)="High-risk",S102="Not applicable",MID(R102,13,9)="Annex III"),"Pick the Annex III area. ","")&amp;IF(AND(OR(K102="Yes",LEFT(R102,9)="High-risk"),T102&lt;&gt;"Yes"),"Impact assessment outstanding. ","")&amp;IF(AND(M102="Decides automatically",U102&lt;&gt;"Yes"),"Automated decision without defined human oversight. ","")&amp;IF(AND(J102="Production",V102&lt;&gt;"Yes"),"Production system without full logging. ","")&amp;IF(AND(X102&lt;&gt;"",X102&lt;TODAY()),"Review overdue. ","")&amp;IF(B102="","Name the system. ",""))</f>
        <v/>
      </c>
    </row>
    <row r="103" customFormat="false" ht="15" hidden="false" customHeight="false" outlineLevel="0" collapsed="false">
      <c r="A103" s="12"/>
      <c r="B103" s="12"/>
      <c r="C103" s="12"/>
      <c r="D103" s="12"/>
      <c r="E103" s="12"/>
      <c r="F103" s="12"/>
      <c r="G103" s="12"/>
      <c r="H103" s="12"/>
      <c r="I103" s="12"/>
      <c r="J103" s="12"/>
      <c r="K103" s="12"/>
      <c r="L103" s="12"/>
      <c r="M103" s="12"/>
      <c r="N103" s="12"/>
      <c r="O103" s="12"/>
      <c r="P103" s="12"/>
      <c r="Q103" s="12"/>
      <c r="R103" s="12"/>
      <c r="S103" s="12"/>
      <c r="T103" s="12"/>
      <c r="U103" s="12"/>
      <c r="V103" s="12"/>
      <c r="W103" s="13"/>
      <c r="X103" s="14" t="str">
        <f aca="false">IF(W103="","",W103+182)</f>
        <v/>
      </c>
      <c r="Y103" s="15" t="str">
        <f aca="false">IF(A103="","",IFERROR(_xlfn.MAXIFS('Risk Register'!$J:$J,'Risk Register'!$B:$B,A103,'Risk Register'!$V:$V,"&lt;&gt;Done"),0))</f>
        <v/>
      </c>
      <c r="Z103" s="15" t="str">
        <f aca="true">IF(A103="","",IF(LEFT(R103,10)="Prohibite","STOP - prohibited practice under Art. 5. ","")&amp;IF(OR(Q103="To assess",R103="To assess",Q103="",R103=""),"Classify role and risk class. ","")&amp;IF(AND(K103="Yes",O103="Yes",P103="Yes"),"Lethal trifecta: private data + untrusted input + external action - remove one leg. ","")&amp;IF(AND(LEFT(R103,9)="High-risk",S103="Not applicable",MID(R103,13,9)="Annex III"),"Pick the Annex III area. ","")&amp;IF(AND(OR(K103="Yes",LEFT(R103,9)="High-risk"),T103&lt;&gt;"Yes"),"Impact assessment outstanding. ","")&amp;IF(AND(M103="Decides automatically",U103&lt;&gt;"Yes"),"Automated decision without defined human oversight. ","")&amp;IF(AND(J103="Production",V103&lt;&gt;"Yes"),"Production system without full logging. ","")&amp;IF(AND(X103&lt;&gt;"",X103&lt;TODAY()),"Review overdue. ","")&amp;IF(B103="","Name the system. ",""))</f>
        <v/>
      </c>
    </row>
    <row r="104" customFormat="false" ht="15" hidden="false" customHeight="false" outlineLevel="0" collapsed="false">
      <c r="A104" s="12"/>
      <c r="B104" s="12"/>
      <c r="C104" s="12"/>
      <c r="D104" s="12"/>
      <c r="E104" s="12"/>
      <c r="F104" s="12"/>
      <c r="G104" s="12"/>
      <c r="H104" s="12"/>
      <c r="I104" s="12"/>
      <c r="J104" s="12"/>
      <c r="K104" s="12"/>
      <c r="L104" s="12"/>
      <c r="M104" s="12"/>
      <c r="N104" s="12"/>
      <c r="O104" s="12"/>
      <c r="P104" s="12"/>
      <c r="Q104" s="12"/>
      <c r="R104" s="12"/>
      <c r="S104" s="12"/>
      <c r="T104" s="12"/>
      <c r="U104" s="12"/>
      <c r="V104" s="12"/>
      <c r="W104" s="13"/>
      <c r="X104" s="14" t="str">
        <f aca="false">IF(W104="","",W104+182)</f>
        <v/>
      </c>
      <c r="Y104" s="15" t="str">
        <f aca="false">IF(A104="","",IFERROR(_xlfn.MAXIFS('Risk Register'!$J:$J,'Risk Register'!$B:$B,A104,'Risk Register'!$V:$V,"&lt;&gt;Done"),0))</f>
        <v/>
      </c>
      <c r="Z104" s="15" t="str">
        <f aca="true">IF(A104="","",IF(LEFT(R104,10)="Prohibite","STOP - prohibited practice under Art. 5. ","")&amp;IF(OR(Q104="To assess",R104="To assess",Q104="",R104=""),"Classify role and risk class. ","")&amp;IF(AND(K104="Yes",O104="Yes",P104="Yes"),"Lethal trifecta: private data + untrusted input + external action - remove one leg. ","")&amp;IF(AND(LEFT(R104,9)="High-risk",S104="Not applicable",MID(R104,13,9)="Annex III"),"Pick the Annex III area. ","")&amp;IF(AND(OR(K104="Yes",LEFT(R104,9)="High-risk"),T104&lt;&gt;"Yes"),"Impact assessment outstanding. ","")&amp;IF(AND(M104="Decides automatically",U104&lt;&gt;"Yes"),"Automated decision without defined human oversight. ","")&amp;IF(AND(J104="Production",V104&lt;&gt;"Yes"),"Production system without full logging. ","")&amp;IF(AND(X104&lt;&gt;"",X104&lt;TODAY()),"Review overdue. ","")&amp;IF(B104="","Name the system. ",""))</f>
        <v/>
      </c>
    </row>
    <row r="105" customFormat="false" ht="15" hidden="false" customHeight="false" outlineLevel="0" collapsed="false">
      <c r="A105" s="12"/>
      <c r="B105" s="12"/>
      <c r="C105" s="12"/>
      <c r="D105" s="12"/>
      <c r="E105" s="12"/>
      <c r="F105" s="12"/>
      <c r="G105" s="12"/>
      <c r="H105" s="12"/>
      <c r="I105" s="12"/>
      <c r="J105" s="12"/>
      <c r="K105" s="12"/>
      <c r="L105" s="12"/>
      <c r="M105" s="12"/>
      <c r="N105" s="12"/>
      <c r="O105" s="12"/>
      <c r="P105" s="12"/>
      <c r="Q105" s="12"/>
      <c r="R105" s="12"/>
      <c r="S105" s="12"/>
      <c r="T105" s="12"/>
      <c r="U105" s="12"/>
      <c r="V105" s="12"/>
      <c r="W105" s="13"/>
      <c r="X105" s="14" t="str">
        <f aca="false">IF(W105="","",W105+182)</f>
        <v/>
      </c>
      <c r="Y105" s="15" t="str">
        <f aca="false">IF(A105="","",IFERROR(_xlfn.MAXIFS('Risk Register'!$J:$J,'Risk Register'!$B:$B,A105,'Risk Register'!$V:$V,"&lt;&gt;Done"),0))</f>
        <v/>
      </c>
      <c r="Z105" s="15" t="str">
        <f aca="true">IF(A105="","",IF(LEFT(R105,10)="Prohibite","STOP - prohibited practice under Art. 5. ","")&amp;IF(OR(Q105="To assess",R105="To assess",Q105="",R105=""),"Classify role and risk class. ","")&amp;IF(AND(K105="Yes",O105="Yes",P105="Yes"),"Lethal trifecta: private data + untrusted input + external action - remove one leg. ","")&amp;IF(AND(LEFT(R105,9)="High-risk",S105="Not applicable",MID(R105,13,9)="Annex III"),"Pick the Annex III area. ","")&amp;IF(AND(OR(K105="Yes",LEFT(R105,9)="High-risk"),T105&lt;&gt;"Yes"),"Impact assessment outstanding. ","")&amp;IF(AND(M105="Decides automatically",U105&lt;&gt;"Yes"),"Automated decision without defined human oversight. ","")&amp;IF(AND(J105="Production",V105&lt;&gt;"Yes"),"Production system without full logging. ","")&amp;IF(AND(X105&lt;&gt;"",X105&lt;TODAY()),"Review overdue. ","")&amp;IF(B105="","Name the system. ",""))</f>
        <v/>
      </c>
    </row>
    <row r="106" customFormat="false" ht="15" hidden="false" customHeight="false" outlineLevel="0" collapsed="false">
      <c r="A106" s="12"/>
      <c r="B106" s="12"/>
      <c r="C106" s="12"/>
      <c r="D106" s="12"/>
      <c r="E106" s="12"/>
      <c r="F106" s="12"/>
      <c r="G106" s="12"/>
      <c r="H106" s="12"/>
      <c r="I106" s="12"/>
      <c r="J106" s="12"/>
      <c r="K106" s="12"/>
      <c r="L106" s="12"/>
      <c r="M106" s="12"/>
      <c r="N106" s="12"/>
      <c r="O106" s="12"/>
      <c r="P106" s="12"/>
      <c r="Q106" s="12"/>
      <c r="R106" s="12"/>
      <c r="S106" s="12"/>
      <c r="T106" s="12"/>
      <c r="U106" s="12"/>
      <c r="V106" s="12"/>
      <c r="W106" s="13"/>
      <c r="X106" s="14" t="str">
        <f aca="false">IF(W106="","",W106+182)</f>
        <v/>
      </c>
      <c r="Y106" s="15" t="str">
        <f aca="false">IF(A106="","",IFERROR(_xlfn.MAXIFS('Risk Register'!$J:$J,'Risk Register'!$B:$B,A106,'Risk Register'!$V:$V,"&lt;&gt;Done"),0))</f>
        <v/>
      </c>
      <c r="Z106" s="15" t="str">
        <f aca="true">IF(A106="","",IF(LEFT(R106,10)="Prohibite","STOP - prohibited practice under Art. 5. ","")&amp;IF(OR(Q106="To assess",R106="To assess",Q106="",R106=""),"Classify role and risk class. ","")&amp;IF(AND(K106="Yes",O106="Yes",P106="Yes"),"Lethal trifecta: private data + untrusted input + external action - remove one leg. ","")&amp;IF(AND(LEFT(R106,9)="High-risk",S106="Not applicable",MID(R106,13,9)="Annex III"),"Pick the Annex III area. ","")&amp;IF(AND(OR(K106="Yes",LEFT(R106,9)="High-risk"),T106&lt;&gt;"Yes"),"Impact assessment outstanding. ","")&amp;IF(AND(M106="Decides automatically",U106&lt;&gt;"Yes"),"Automated decision without defined human oversight. ","")&amp;IF(AND(J106="Production",V106&lt;&gt;"Yes"),"Production system without full logging. ","")&amp;IF(AND(X106&lt;&gt;"",X106&lt;TODAY()),"Review overdue. ","")&amp;IF(B106="","Name the system. ",""))</f>
        <v/>
      </c>
    </row>
    <row r="107" customFormat="false" ht="15" hidden="false" customHeight="false" outlineLevel="0" collapsed="false">
      <c r="A107" s="12"/>
      <c r="B107" s="12"/>
      <c r="C107" s="12"/>
      <c r="D107" s="12"/>
      <c r="E107" s="12"/>
      <c r="F107" s="12"/>
      <c r="G107" s="12"/>
      <c r="H107" s="12"/>
      <c r="I107" s="12"/>
      <c r="J107" s="12"/>
      <c r="K107" s="12"/>
      <c r="L107" s="12"/>
      <c r="M107" s="12"/>
      <c r="N107" s="12"/>
      <c r="O107" s="12"/>
      <c r="P107" s="12"/>
      <c r="Q107" s="12"/>
      <c r="R107" s="12"/>
      <c r="S107" s="12"/>
      <c r="T107" s="12"/>
      <c r="U107" s="12"/>
      <c r="V107" s="12"/>
      <c r="W107" s="13"/>
      <c r="X107" s="14" t="str">
        <f aca="false">IF(W107="","",W107+182)</f>
        <v/>
      </c>
      <c r="Y107" s="15" t="str">
        <f aca="false">IF(A107="","",IFERROR(_xlfn.MAXIFS('Risk Register'!$J:$J,'Risk Register'!$B:$B,A107,'Risk Register'!$V:$V,"&lt;&gt;Done"),0))</f>
        <v/>
      </c>
      <c r="Z107" s="15" t="str">
        <f aca="true">IF(A107="","",IF(LEFT(R107,10)="Prohibite","STOP - prohibited practice under Art. 5. ","")&amp;IF(OR(Q107="To assess",R107="To assess",Q107="",R107=""),"Classify role and risk class. ","")&amp;IF(AND(K107="Yes",O107="Yes",P107="Yes"),"Lethal trifecta: private data + untrusted input + external action - remove one leg. ","")&amp;IF(AND(LEFT(R107,9)="High-risk",S107="Not applicable",MID(R107,13,9)="Annex III"),"Pick the Annex III area. ","")&amp;IF(AND(OR(K107="Yes",LEFT(R107,9)="High-risk"),T107&lt;&gt;"Yes"),"Impact assessment outstanding. ","")&amp;IF(AND(M107="Decides automatically",U107&lt;&gt;"Yes"),"Automated decision without defined human oversight. ","")&amp;IF(AND(J107="Production",V107&lt;&gt;"Yes"),"Production system without full logging. ","")&amp;IF(AND(X107&lt;&gt;"",X107&lt;TODAY()),"Review overdue. ","")&amp;IF(B107="","Name the system. ",""))</f>
        <v/>
      </c>
    </row>
    <row r="108" customFormat="false" ht="15" hidden="false" customHeight="false" outlineLevel="0" collapsed="false">
      <c r="A108" s="12"/>
      <c r="B108" s="12"/>
      <c r="C108" s="12"/>
      <c r="D108" s="12"/>
      <c r="E108" s="12"/>
      <c r="F108" s="12"/>
      <c r="G108" s="12"/>
      <c r="H108" s="12"/>
      <c r="I108" s="12"/>
      <c r="J108" s="12"/>
      <c r="K108" s="12"/>
      <c r="L108" s="12"/>
      <c r="M108" s="12"/>
      <c r="N108" s="12"/>
      <c r="O108" s="12"/>
      <c r="P108" s="12"/>
      <c r="Q108" s="12"/>
      <c r="R108" s="12"/>
      <c r="S108" s="12"/>
      <c r="T108" s="12"/>
      <c r="U108" s="12"/>
      <c r="V108" s="12"/>
      <c r="W108" s="13"/>
      <c r="X108" s="14" t="str">
        <f aca="false">IF(W108="","",W108+182)</f>
        <v/>
      </c>
      <c r="Y108" s="15" t="str">
        <f aca="false">IF(A108="","",IFERROR(_xlfn.MAXIFS('Risk Register'!$J:$J,'Risk Register'!$B:$B,A108,'Risk Register'!$V:$V,"&lt;&gt;Done"),0))</f>
        <v/>
      </c>
      <c r="Z108" s="15" t="str">
        <f aca="true">IF(A108="","",IF(LEFT(R108,10)="Prohibite","STOP - prohibited practice under Art. 5. ","")&amp;IF(OR(Q108="To assess",R108="To assess",Q108="",R108=""),"Classify role and risk class. ","")&amp;IF(AND(K108="Yes",O108="Yes",P108="Yes"),"Lethal trifecta: private data + untrusted input + external action - remove one leg. ","")&amp;IF(AND(LEFT(R108,9)="High-risk",S108="Not applicable",MID(R108,13,9)="Annex III"),"Pick the Annex III area. ","")&amp;IF(AND(OR(K108="Yes",LEFT(R108,9)="High-risk"),T108&lt;&gt;"Yes"),"Impact assessment outstanding. ","")&amp;IF(AND(M108="Decides automatically",U108&lt;&gt;"Yes"),"Automated decision without defined human oversight. ","")&amp;IF(AND(J108="Production",V108&lt;&gt;"Yes"),"Production system without full logging. ","")&amp;IF(AND(X108&lt;&gt;"",X108&lt;TODAY()),"Review overdue. ","")&amp;IF(B108="","Name the system. ",""))</f>
        <v/>
      </c>
    </row>
    <row r="109" customFormat="false" ht="15" hidden="false" customHeight="false" outlineLevel="0" collapsed="false">
      <c r="A109" s="12"/>
      <c r="B109" s="12"/>
      <c r="C109" s="12"/>
      <c r="D109" s="12"/>
      <c r="E109" s="12"/>
      <c r="F109" s="12"/>
      <c r="G109" s="12"/>
      <c r="H109" s="12"/>
      <c r="I109" s="12"/>
      <c r="J109" s="12"/>
      <c r="K109" s="12"/>
      <c r="L109" s="12"/>
      <c r="M109" s="12"/>
      <c r="N109" s="12"/>
      <c r="O109" s="12"/>
      <c r="P109" s="12"/>
      <c r="Q109" s="12"/>
      <c r="R109" s="12"/>
      <c r="S109" s="12"/>
      <c r="T109" s="12"/>
      <c r="U109" s="12"/>
      <c r="V109" s="12"/>
      <c r="W109" s="13"/>
      <c r="X109" s="14" t="str">
        <f aca="false">IF(W109="","",W109+182)</f>
        <v/>
      </c>
      <c r="Y109" s="15" t="str">
        <f aca="false">IF(A109="","",IFERROR(_xlfn.MAXIFS('Risk Register'!$J:$J,'Risk Register'!$B:$B,A109,'Risk Register'!$V:$V,"&lt;&gt;Done"),0))</f>
        <v/>
      </c>
      <c r="Z109" s="15" t="str">
        <f aca="true">IF(A109="","",IF(LEFT(R109,10)="Prohibite","STOP - prohibited practice under Art. 5. ","")&amp;IF(OR(Q109="To assess",R109="To assess",Q109="",R109=""),"Classify role and risk class. ","")&amp;IF(AND(K109="Yes",O109="Yes",P109="Yes"),"Lethal trifecta: private data + untrusted input + external action - remove one leg. ","")&amp;IF(AND(LEFT(R109,9)="High-risk",S109="Not applicable",MID(R109,13,9)="Annex III"),"Pick the Annex III area. ","")&amp;IF(AND(OR(K109="Yes",LEFT(R109,9)="High-risk"),T109&lt;&gt;"Yes"),"Impact assessment outstanding. ","")&amp;IF(AND(M109="Decides automatically",U109&lt;&gt;"Yes"),"Automated decision without defined human oversight. ","")&amp;IF(AND(J109="Production",V109&lt;&gt;"Yes"),"Production system without full logging. ","")&amp;IF(AND(X109&lt;&gt;"",X109&lt;TODAY()),"Review overdue. ","")&amp;IF(B109="","Name the system. ",""))</f>
        <v/>
      </c>
    </row>
    <row r="110" customFormat="false" ht="15" hidden="false" customHeight="false" outlineLevel="0" collapsed="false">
      <c r="A110" s="12"/>
      <c r="B110" s="12"/>
      <c r="C110" s="12"/>
      <c r="D110" s="12"/>
      <c r="E110" s="12"/>
      <c r="F110" s="12"/>
      <c r="G110" s="12"/>
      <c r="H110" s="12"/>
      <c r="I110" s="12"/>
      <c r="J110" s="12"/>
      <c r="K110" s="12"/>
      <c r="L110" s="12"/>
      <c r="M110" s="12"/>
      <c r="N110" s="12"/>
      <c r="O110" s="12"/>
      <c r="P110" s="12"/>
      <c r="Q110" s="12"/>
      <c r="R110" s="12"/>
      <c r="S110" s="12"/>
      <c r="T110" s="12"/>
      <c r="U110" s="12"/>
      <c r="V110" s="12"/>
      <c r="W110" s="13"/>
      <c r="X110" s="14" t="str">
        <f aca="false">IF(W110="","",W110+182)</f>
        <v/>
      </c>
      <c r="Y110" s="15" t="str">
        <f aca="false">IF(A110="","",IFERROR(_xlfn.MAXIFS('Risk Register'!$J:$J,'Risk Register'!$B:$B,A110,'Risk Register'!$V:$V,"&lt;&gt;Done"),0))</f>
        <v/>
      </c>
      <c r="Z110" s="15" t="str">
        <f aca="true">IF(A110="","",IF(LEFT(R110,10)="Prohibite","STOP - prohibited practice under Art. 5. ","")&amp;IF(OR(Q110="To assess",R110="To assess",Q110="",R110=""),"Classify role and risk class. ","")&amp;IF(AND(K110="Yes",O110="Yes",P110="Yes"),"Lethal trifecta: private data + untrusted input + external action - remove one leg. ","")&amp;IF(AND(LEFT(R110,9)="High-risk",S110="Not applicable",MID(R110,13,9)="Annex III"),"Pick the Annex III area. ","")&amp;IF(AND(OR(K110="Yes",LEFT(R110,9)="High-risk"),T110&lt;&gt;"Yes"),"Impact assessment outstanding. ","")&amp;IF(AND(M110="Decides automatically",U110&lt;&gt;"Yes"),"Automated decision without defined human oversight. ","")&amp;IF(AND(J110="Production",V110&lt;&gt;"Yes"),"Production system without full logging. ","")&amp;IF(AND(X110&lt;&gt;"",X110&lt;TODAY()),"Review overdue. ","")&amp;IF(B110="","Name the system. ",""))</f>
        <v/>
      </c>
    </row>
    <row r="111" customFormat="false" ht="15" hidden="false" customHeight="false" outlineLevel="0" collapsed="false">
      <c r="A111" s="12"/>
      <c r="B111" s="12"/>
      <c r="C111" s="12"/>
      <c r="D111" s="12"/>
      <c r="E111" s="12"/>
      <c r="F111" s="12"/>
      <c r="G111" s="12"/>
      <c r="H111" s="12"/>
      <c r="I111" s="12"/>
      <c r="J111" s="12"/>
      <c r="K111" s="12"/>
      <c r="L111" s="12"/>
      <c r="M111" s="12"/>
      <c r="N111" s="12"/>
      <c r="O111" s="12"/>
      <c r="P111" s="12"/>
      <c r="Q111" s="12"/>
      <c r="R111" s="12"/>
      <c r="S111" s="12"/>
      <c r="T111" s="12"/>
      <c r="U111" s="12"/>
      <c r="V111" s="12"/>
      <c r="W111" s="13"/>
      <c r="X111" s="14" t="str">
        <f aca="false">IF(W111="","",W111+182)</f>
        <v/>
      </c>
      <c r="Y111" s="15" t="str">
        <f aca="false">IF(A111="","",IFERROR(_xlfn.MAXIFS('Risk Register'!$J:$J,'Risk Register'!$B:$B,A111,'Risk Register'!$V:$V,"&lt;&gt;Done"),0))</f>
        <v/>
      </c>
      <c r="Z111" s="15" t="str">
        <f aca="true">IF(A111="","",IF(LEFT(R111,10)="Prohibite","STOP - prohibited practice under Art. 5. ","")&amp;IF(OR(Q111="To assess",R111="To assess",Q111="",R111=""),"Classify role and risk class. ","")&amp;IF(AND(K111="Yes",O111="Yes",P111="Yes"),"Lethal trifecta: private data + untrusted input + external action - remove one leg. ","")&amp;IF(AND(LEFT(R111,9)="High-risk",S111="Not applicable",MID(R111,13,9)="Annex III"),"Pick the Annex III area. ","")&amp;IF(AND(OR(K111="Yes",LEFT(R111,9)="High-risk"),T111&lt;&gt;"Yes"),"Impact assessment outstanding. ","")&amp;IF(AND(M111="Decides automatically",U111&lt;&gt;"Yes"),"Automated decision without defined human oversight. ","")&amp;IF(AND(J111="Production",V111&lt;&gt;"Yes"),"Production system without full logging. ","")&amp;IF(AND(X111&lt;&gt;"",X111&lt;TODAY()),"Review overdue. ","")&amp;IF(B111="","Name the system. ",""))</f>
        <v/>
      </c>
    </row>
    <row r="112" customFormat="false" ht="15" hidden="false" customHeight="false" outlineLevel="0" collapsed="false">
      <c r="A112" s="12"/>
      <c r="B112" s="12"/>
      <c r="C112" s="12"/>
      <c r="D112" s="12"/>
      <c r="E112" s="12"/>
      <c r="F112" s="12"/>
      <c r="G112" s="12"/>
      <c r="H112" s="12"/>
      <c r="I112" s="12"/>
      <c r="J112" s="12"/>
      <c r="K112" s="12"/>
      <c r="L112" s="12"/>
      <c r="M112" s="12"/>
      <c r="N112" s="12"/>
      <c r="O112" s="12"/>
      <c r="P112" s="12"/>
      <c r="Q112" s="12"/>
      <c r="R112" s="12"/>
      <c r="S112" s="12"/>
      <c r="T112" s="12"/>
      <c r="U112" s="12"/>
      <c r="V112" s="12"/>
      <c r="W112" s="13"/>
      <c r="X112" s="14" t="str">
        <f aca="false">IF(W112="","",W112+182)</f>
        <v/>
      </c>
      <c r="Y112" s="15" t="str">
        <f aca="false">IF(A112="","",IFERROR(_xlfn.MAXIFS('Risk Register'!$J:$J,'Risk Register'!$B:$B,A112,'Risk Register'!$V:$V,"&lt;&gt;Done"),0))</f>
        <v/>
      </c>
      <c r="Z112" s="15" t="str">
        <f aca="true">IF(A112="","",IF(LEFT(R112,10)="Prohibite","STOP - prohibited practice under Art. 5. ","")&amp;IF(OR(Q112="To assess",R112="To assess",Q112="",R112=""),"Classify role and risk class. ","")&amp;IF(AND(K112="Yes",O112="Yes",P112="Yes"),"Lethal trifecta: private data + untrusted input + external action - remove one leg. ","")&amp;IF(AND(LEFT(R112,9)="High-risk",S112="Not applicable",MID(R112,13,9)="Annex III"),"Pick the Annex III area. ","")&amp;IF(AND(OR(K112="Yes",LEFT(R112,9)="High-risk"),T112&lt;&gt;"Yes"),"Impact assessment outstanding. ","")&amp;IF(AND(M112="Decides automatically",U112&lt;&gt;"Yes"),"Automated decision without defined human oversight. ","")&amp;IF(AND(J112="Production",V112&lt;&gt;"Yes"),"Production system without full logging. ","")&amp;IF(AND(X112&lt;&gt;"",X112&lt;TODAY()),"Review overdue. ","")&amp;IF(B112="","Name the system. ",""))</f>
        <v/>
      </c>
    </row>
    <row r="113" customFormat="false" ht="15" hidden="false" customHeight="false" outlineLevel="0" collapsed="false">
      <c r="A113" s="12"/>
      <c r="B113" s="12"/>
      <c r="C113" s="12"/>
      <c r="D113" s="12"/>
      <c r="E113" s="12"/>
      <c r="F113" s="12"/>
      <c r="G113" s="12"/>
      <c r="H113" s="12"/>
      <c r="I113" s="12"/>
      <c r="J113" s="12"/>
      <c r="K113" s="12"/>
      <c r="L113" s="12"/>
      <c r="M113" s="12"/>
      <c r="N113" s="12"/>
      <c r="O113" s="12"/>
      <c r="P113" s="12"/>
      <c r="Q113" s="12"/>
      <c r="R113" s="12"/>
      <c r="S113" s="12"/>
      <c r="T113" s="12"/>
      <c r="U113" s="12"/>
      <c r="V113" s="12"/>
      <c r="W113" s="13"/>
      <c r="X113" s="14" t="str">
        <f aca="false">IF(W113="","",W113+182)</f>
        <v/>
      </c>
      <c r="Y113" s="15" t="str">
        <f aca="false">IF(A113="","",IFERROR(_xlfn.MAXIFS('Risk Register'!$J:$J,'Risk Register'!$B:$B,A113,'Risk Register'!$V:$V,"&lt;&gt;Done"),0))</f>
        <v/>
      </c>
      <c r="Z113" s="15" t="str">
        <f aca="true">IF(A113="","",IF(LEFT(R113,10)="Prohibite","STOP - prohibited practice under Art. 5. ","")&amp;IF(OR(Q113="To assess",R113="To assess",Q113="",R113=""),"Classify role and risk class. ","")&amp;IF(AND(K113="Yes",O113="Yes",P113="Yes"),"Lethal trifecta: private data + untrusted input + external action - remove one leg. ","")&amp;IF(AND(LEFT(R113,9)="High-risk",S113="Not applicable",MID(R113,13,9)="Annex III"),"Pick the Annex III area. ","")&amp;IF(AND(OR(K113="Yes",LEFT(R113,9)="High-risk"),T113&lt;&gt;"Yes"),"Impact assessment outstanding. ","")&amp;IF(AND(M113="Decides automatically",U113&lt;&gt;"Yes"),"Automated decision without defined human oversight. ","")&amp;IF(AND(J113="Production",V113&lt;&gt;"Yes"),"Production system without full logging. ","")&amp;IF(AND(X113&lt;&gt;"",X113&lt;TODAY()),"Review overdue. ","")&amp;IF(B113="","Name the system. ",""))</f>
        <v/>
      </c>
    </row>
    <row r="114" customFormat="false" ht="15" hidden="false" customHeight="false" outlineLevel="0" collapsed="false">
      <c r="A114" s="12"/>
      <c r="B114" s="12"/>
      <c r="C114" s="12"/>
      <c r="D114" s="12"/>
      <c r="E114" s="12"/>
      <c r="F114" s="12"/>
      <c r="G114" s="12"/>
      <c r="H114" s="12"/>
      <c r="I114" s="12"/>
      <c r="J114" s="12"/>
      <c r="K114" s="12"/>
      <c r="L114" s="12"/>
      <c r="M114" s="12"/>
      <c r="N114" s="12"/>
      <c r="O114" s="12"/>
      <c r="P114" s="12"/>
      <c r="Q114" s="12"/>
      <c r="R114" s="12"/>
      <c r="S114" s="12"/>
      <c r="T114" s="12"/>
      <c r="U114" s="12"/>
      <c r="V114" s="12"/>
      <c r="W114" s="13"/>
      <c r="X114" s="14" t="str">
        <f aca="false">IF(W114="","",W114+182)</f>
        <v/>
      </c>
      <c r="Y114" s="15" t="str">
        <f aca="false">IF(A114="","",IFERROR(_xlfn.MAXIFS('Risk Register'!$J:$J,'Risk Register'!$B:$B,A114,'Risk Register'!$V:$V,"&lt;&gt;Done"),0))</f>
        <v/>
      </c>
      <c r="Z114" s="15" t="str">
        <f aca="true">IF(A114="","",IF(LEFT(R114,10)="Prohibite","STOP - prohibited practice under Art. 5. ","")&amp;IF(OR(Q114="To assess",R114="To assess",Q114="",R114=""),"Classify role and risk class. ","")&amp;IF(AND(K114="Yes",O114="Yes",P114="Yes"),"Lethal trifecta: private data + untrusted input + external action - remove one leg. ","")&amp;IF(AND(LEFT(R114,9)="High-risk",S114="Not applicable",MID(R114,13,9)="Annex III"),"Pick the Annex III area. ","")&amp;IF(AND(OR(K114="Yes",LEFT(R114,9)="High-risk"),T114&lt;&gt;"Yes"),"Impact assessment outstanding. ","")&amp;IF(AND(M114="Decides automatically",U114&lt;&gt;"Yes"),"Automated decision without defined human oversight. ","")&amp;IF(AND(J114="Production",V114&lt;&gt;"Yes"),"Production system without full logging. ","")&amp;IF(AND(X114&lt;&gt;"",X114&lt;TODAY()),"Review overdue. ","")&amp;IF(B114="","Name the system. ",""))</f>
        <v/>
      </c>
    </row>
    <row r="115" customFormat="false" ht="15" hidden="false" customHeight="false" outlineLevel="0" collapsed="false">
      <c r="A115" s="12"/>
      <c r="B115" s="12"/>
      <c r="C115" s="12"/>
      <c r="D115" s="12"/>
      <c r="E115" s="12"/>
      <c r="F115" s="12"/>
      <c r="G115" s="12"/>
      <c r="H115" s="12"/>
      <c r="I115" s="12"/>
      <c r="J115" s="12"/>
      <c r="K115" s="12"/>
      <c r="L115" s="12"/>
      <c r="M115" s="12"/>
      <c r="N115" s="12"/>
      <c r="O115" s="12"/>
      <c r="P115" s="12"/>
      <c r="Q115" s="12"/>
      <c r="R115" s="12"/>
      <c r="S115" s="12"/>
      <c r="T115" s="12"/>
      <c r="U115" s="12"/>
      <c r="V115" s="12"/>
      <c r="W115" s="13"/>
      <c r="X115" s="14" t="str">
        <f aca="false">IF(W115="","",W115+182)</f>
        <v/>
      </c>
      <c r="Y115" s="15" t="str">
        <f aca="false">IF(A115="","",IFERROR(_xlfn.MAXIFS('Risk Register'!$J:$J,'Risk Register'!$B:$B,A115,'Risk Register'!$V:$V,"&lt;&gt;Done"),0))</f>
        <v/>
      </c>
      <c r="Z115" s="15" t="str">
        <f aca="true">IF(A115="","",IF(LEFT(R115,10)="Prohibite","STOP - prohibited practice under Art. 5. ","")&amp;IF(OR(Q115="To assess",R115="To assess",Q115="",R115=""),"Classify role and risk class. ","")&amp;IF(AND(K115="Yes",O115="Yes",P115="Yes"),"Lethal trifecta: private data + untrusted input + external action - remove one leg. ","")&amp;IF(AND(LEFT(R115,9)="High-risk",S115="Not applicable",MID(R115,13,9)="Annex III"),"Pick the Annex III area. ","")&amp;IF(AND(OR(K115="Yes",LEFT(R115,9)="High-risk"),T115&lt;&gt;"Yes"),"Impact assessment outstanding. ","")&amp;IF(AND(M115="Decides automatically",U115&lt;&gt;"Yes"),"Automated decision without defined human oversight. ","")&amp;IF(AND(J115="Production",V115&lt;&gt;"Yes"),"Production system without full logging. ","")&amp;IF(AND(X115&lt;&gt;"",X115&lt;TODAY()),"Review overdue. ","")&amp;IF(B115="","Name the system. ",""))</f>
        <v/>
      </c>
    </row>
    <row r="116" customFormat="false" ht="15" hidden="false" customHeight="false" outlineLevel="0" collapsed="false">
      <c r="A116" s="12"/>
      <c r="B116" s="12"/>
      <c r="C116" s="12"/>
      <c r="D116" s="12"/>
      <c r="E116" s="12"/>
      <c r="F116" s="12"/>
      <c r="G116" s="12"/>
      <c r="H116" s="12"/>
      <c r="I116" s="12"/>
      <c r="J116" s="12"/>
      <c r="K116" s="12"/>
      <c r="L116" s="12"/>
      <c r="M116" s="12"/>
      <c r="N116" s="12"/>
      <c r="O116" s="12"/>
      <c r="P116" s="12"/>
      <c r="Q116" s="12"/>
      <c r="R116" s="12"/>
      <c r="S116" s="12"/>
      <c r="T116" s="12"/>
      <c r="U116" s="12"/>
      <c r="V116" s="12"/>
      <c r="W116" s="13"/>
      <c r="X116" s="14" t="str">
        <f aca="false">IF(W116="","",W116+182)</f>
        <v/>
      </c>
      <c r="Y116" s="15" t="str">
        <f aca="false">IF(A116="","",IFERROR(_xlfn.MAXIFS('Risk Register'!$J:$J,'Risk Register'!$B:$B,A116,'Risk Register'!$V:$V,"&lt;&gt;Done"),0))</f>
        <v/>
      </c>
      <c r="Z116" s="15" t="str">
        <f aca="true">IF(A116="","",IF(LEFT(R116,10)="Prohibite","STOP - prohibited practice under Art. 5. ","")&amp;IF(OR(Q116="To assess",R116="To assess",Q116="",R116=""),"Classify role and risk class. ","")&amp;IF(AND(K116="Yes",O116="Yes",P116="Yes"),"Lethal trifecta: private data + untrusted input + external action - remove one leg. ","")&amp;IF(AND(LEFT(R116,9)="High-risk",S116="Not applicable",MID(R116,13,9)="Annex III"),"Pick the Annex III area. ","")&amp;IF(AND(OR(K116="Yes",LEFT(R116,9)="High-risk"),T116&lt;&gt;"Yes"),"Impact assessment outstanding. ","")&amp;IF(AND(M116="Decides automatically",U116&lt;&gt;"Yes"),"Automated decision without defined human oversight. ","")&amp;IF(AND(J116="Production",V116&lt;&gt;"Yes"),"Production system without full logging. ","")&amp;IF(AND(X116&lt;&gt;"",X116&lt;TODAY()),"Review overdue. ","")&amp;IF(B116="","Name the system. ",""))</f>
        <v/>
      </c>
    </row>
    <row r="117" customFormat="false" ht="15" hidden="false" customHeight="false" outlineLevel="0" collapsed="false">
      <c r="A117" s="12"/>
      <c r="B117" s="12"/>
      <c r="C117" s="12"/>
      <c r="D117" s="12"/>
      <c r="E117" s="12"/>
      <c r="F117" s="12"/>
      <c r="G117" s="12"/>
      <c r="H117" s="12"/>
      <c r="I117" s="12"/>
      <c r="J117" s="12"/>
      <c r="K117" s="12"/>
      <c r="L117" s="12"/>
      <c r="M117" s="12"/>
      <c r="N117" s="12"/>
      <c r="O117" s="12"/>
      <c r="P117" s="12"/>
      <c r="Q117" s="12"/>
      <c r="R117" s="12"/>
      <c r="S117" s="12"/>
      <c r="T117" s="12"/>
      <c r="U117" s="12"/>
      <c r="V117" s="12"/>
      <c r="W117" s="13"/>
      <c r="X117" s="14" t="str">
        <f aca="false">IF(W117="","",W117+182)</f>
        <v/>
      </c>
      <c r="Y117" s="15" t="str">
        <f aca="false">IF(A117="","",IFERROR(_xlfn.MAXIFS('Risk Register'!$J:$J,'Risk Register'!$B:$B,A117,'Risk Register'!$V:$V,"&lt;&gt;Done"),0))</f>
        <v/>
      </c>
      <c r="Z117" s="15" t="str">
        <f aca="true">IF(A117="","",IF(LEFT(R117,10)="Prohibite","STOP - prohibited practice under Art. 5. ","")&amp;IF(OR(Q117="To assess",R117="To assess",Q117="",R117=""),"Classify role and risk class. ","")&amp;IF(AND(K117="Yes",O117="Yes",P117="Yes"),"Lethal trifecta: private data + untrusted input + external action - remove one leg. ","")&amp;IF(AND(LEFT(R117,9)="High-risk",S117="Not applicable",MID(R117,13,9)="Annex III"),"Pick the Annex III area. ","")&amp;IF(AND(OR(K117="Yes",LEFT(R117,9)="High-risk"),T117&lt;&gt;"Yes"),"Impact assessment outstanding. ","")&amp;IF(AND(M117="Decides automatically",U117&lt;&gt;"Yes"),"Automated decision without defined human oversight. ","")&amp;IF(AND(J117="Production",V117&lt;&gt;"Yes"),"Production system without full logging. ","")&amp;IF(AND(X117&lt;&gt;"",X117&lt;TODAY()),"Review overdue. ","")&amp;IF(B117="","Name the system. ",""))</f>
        <v/>
      </c>
    </row>
    <row r="118" customFormat="false" ht="15" hidden="false" customHeight="false" outlineLevel="0" collapsed="false">
      <c r="A118" s="12"/>
      <c r="B118" s="12"/>
      <c r="C118" s="12"/>
      <c r="D118" s="12"/>
      <c r="E118" s="12"/>
      <c r="F118" s="12"/>
      <c r="G118" s="12"/>
      <c r="H118" s="12"/>
      <c r="I118" s="12"/>
      <c r="J118" s="12"/>
      <c r="K118" s="12"/>
      <c r="L118" s="12"/>
      <c r="M118" s="12"/>
      <c r="N118" s="12"/>
      <c r="O118" s="12"/>
      <c r="P118" s="12"/>
      <c r="Q118" s="12"/>
      <c r="R118" s="12"/>
      <c r="S118" s="12"/>
      <c r="T118" s="12"/>
      <c r="U118" s="12"/>
      <c r="V118" s="12"/>
      <c r="W118" s="13"/>
      <c r="X118" s="14" t="str">
        <f aca="false">IF(W118="","",W118+182)</f>
        <v/>
      </c>
      <c r="Y118" s="15" t="str">
        <f aca="false">IF(A118="","",IFERROR(_xlfn.MAXIFS('Risk Register'!$J:$J,'Risk Register'!$B:$B,A118,'Risk Register'!$V:$V,"&lt;&gt;Done"),0))</f>
        <v/>
      </c>
      <c r="Z118" s="15" t="str">
        <f aca="true">IF(A118="","",IF(LEFT(R118,10)="Prohibite","STOP - prohibited practice under Art. 5. ","")&amp;IF(OR(Q118="To assess",R118="To assess",Q118="",R118=""),"Classify role and risk class. ","")&amp;IF(AND(K118="Yes",O118="Yes",P118="Yes"),"Lethal trifecta: private data + untrusted input + external action - remove one leg. ","")&amp;IF(AND(LEFT(R118,9)="High-risk",S118="Not applicable",MID(R118,13,9)="Annex III"),"Pick the Annex III area. ","")&amp;IF(AND(OR(K118="Yes",LEFT(R118,9)="High-risk"),T118&lt;&gt;"Yes"),"Impact assessment outstanding. ","")&amp;IF(AND(M118="Decides automatically",U118&lt;&gt;"Yes"),"Automated decision without defined human oversight. ","")&amp;IF(AND(J118="Production",V118&lt;&gt;"Yes"),"Production system without full logging. ","")&amp;IF(AND(X118&lt;&gt;"",X118&lt;TODAY()),"Review overdue. ","")&amp;IF(B118="","Name the system. ",""))</f>
        <v/>
      </c>
    </row>
    <row r="119" customFormat="false" ht="15" hidden="false" customHeight="false" outlineLevel="0" collapsed="false">
      <c r="A119" s="12"/>
      <c r="B119" s="12"/>
      <c r="C119" s="12"/>
      <c r="D119" s="12"/>
      <c r="E119" s="12"/>
      <c r="F119" s="12"/>
      <c r="G119" s="12"/>
      <c r="H119" s="12"/>
      <c r="I119" s="12"/>
      <c r="J119" s="12"/>
      <c r="K119" s="12"/>
      <c r="L119" s="12"/>
      <c r="M119" s="12"/>
      <c r="N119" s="12"/>
      <c r="O119" s="12"/>
      <c r="P119" s="12"/>
      <c r="Q119" s="12"/>
      <c r="R119" s="12"/>
      <c r="S119" s="12"/>
      <c r="T119" s="12"/>
      <c r="U119" s="12"/>
      <c r="V119" s="12"/>
      <c r="W119" s="13"/>
      <c r="X119" s="14" t="str">
        <f aca="false">IF(W119="","",W119+182)</f>
        <v/>
      </c>
      <c r="Y119" s="15" t="str">
        <f aca="false">IF(A119="","",IFERROR(_xlfn.MAXIFS('Risk Register'!$J:$J,'Risk Register'!$B:$B,A119,'Risk Register'!$V:$V,"&lt;&gt;Done"),0))</f>
        <v/>
      </c>
      <c r="Z119" s="15" t="str">
        <f aca="true">IF(A119="","",IF(LEFT(R119,10)="Prohibite","STOP - prohibited practice under Art. 5. ","")&amp;IF(OR(Q119="To assess",R119="To assess",Q119="",R119=""),"Classify role and risk class. ","")&amp;IF(AND(K119="Yes",O119="Yes",P119="Yes"),"Lethal trifecta: private data + untrusted input + external action - remove one leg. ","")&amp;IF(AND(LEFT(R119,9)="High-risk",S119="Not applicable",MID(R119,13,9)="Annex III"),"Pick the Annex III area. ","")&amp;IF(AND(OR(K119="Yes",LEFT(R119,9)="High-risk"),T119&lt;&gt;"Yes"),"Impact assessment outstanding. ","")&amp;IF(AND(M119="Decides automatically",U119&lt;&gt;"Yes"),"Automated decision without defined human oversight. ","")&amp;IF(AND(J119="Production",V119&lt;&gt;"Yes"),"Production system without full logging. ","")&amp;IF(AND(X119&lt;&gt;"",X119&lt;TODAY()),"Review overdue. ","")&amp;IF(B119="","Name the system. ",""))</f>
        <v/>
      </c>
    </row>
    <row r="120" customFormat="false" ht="15" hidden="false" customHeight="false" outlineLevel="0" collapsed="false">
      <c r="A120" s="12"/>
      <c r="B120" s="12"/>
      <c r="C120" s="12"/>
      <c r="D120" s="12"/>
      <c r="E120" s="12"/>
      <c r="F120" s="12"/>
      <c r="G120" s="12"/>
      <c r="H120" s="12"/>
      <c r="I120" s="12"/>
      <c r="J120" s="12"/>
      <c r="K120" s="12"/>
      <c r="L120" s="12"/>
      <c r="M120" s="12"/>
      <c r="N120" s="12"/>
      <c r="O120" s="12"/>
      <c r="P120" s="12"/>
      <c r="Q120" s="12"/>
      <c r="R120" s="12"/>
      <c r="S120" s="12"/>
      <c r="T120" s="12"/>
      <c r="U120" s="12"/>
      <c r="V120" s="12"/>
      <c r="W120" s="13"/>
      <c r="X120" s="14" t="str">
        <f aca="false">IF(W120="","",W120+182)</f>
        <v/>
      </c>
      <c r="Y120" s="15" t="str">
        <f aca="false">IF(A120="","",IFERROR(_xlfn.MAXIFS('Risk Register'!$J:$J,'Risk Register'!$B:$B,A120,'Risk Register'!$V:$V,"&lt;&gt;Done"),0))</f>
        <v/>
      </c>
      <c r="Z120" s="15" t="str">
        <f aca="true">IF(A120="","",IF(LEFT(R120,10)="Prohibite","STOP - prohibited practice under Art. 5. ","")&amp;IF(OR(Q120="To assess",R120="To assess",Q120="",R120=""),"Classify role and risk class. ","")&amp;IF(AND(K120="Yes",O120="Yes",P120="Yes"),"Lethal trifecta: private data + untrusted input + external action - remove one leg. ","")&amp;IF(AND(LEFT(R120,9)="High-risk",S120="Not applicable",MID(R120,13,9)="Annex III"),"Pick the Annex III area. ","")&amp;IF(AND(OR(K120="Yes",LEFT(R120,9)="High-risk"),T120&lt;&gt;"Yes"),"Impact assessment outstanding. ","")&amp;IF(AND(M120="Decides automatically",U120&lt;&gt;"Yes"),"Automated decision without defined human oversight. ","")&amp;IF(AND(J120="Production",V120&lt;&gt;"Yes"),"Production system without full logging. ","")&amp;IF(AND(X120&lt;&gt;"",X120&lt;TODAY()),"Review overdue. ","")&amp;IF(B120="","Name the system. ",""))</f>
        <v/>
      </c>
    </row>
    <row r="121" customFormat="false" ht="15" hidden="false" customHeight="false" outlineLevel="0" collapsed="false">
      <c r="A121" s="12"/>
      <c r="B121" s="12"/>
      <c r="C121" s="12"/>
      <c r="D121" s="12"/>
      <c r="E121" s="12"/>
      <c r="F121" s="12"/>
      <c r="G121" s="12"/>
      <c r="H121" s="12"/>
      <c r="I121" s="12"/>
      <c r="J121" s="12"/>
      <c r="K121" s="12"/>
      <c r="L121" s="12"/>
      <c r="M121" s="12"/>
      <c r="N121" s="12"/>
      <c r="O121" s="12"/>
      <c r="P121" s="12"/>
      <c r="Q121" s="12"/>
      <c r="R121" s="12"/>
      <c r="S121" s="12"/>
      <c r="T121" s="12"/>
      <c r="U121" s="12"/>
      <c r="V121" s="12"/>
      <c r="W121" s="13"/>
      <c r="X121" s="14" t="str">
        <f aca="false">IF(W121="","",W121+182)</f>
        <v/>
      </c>
      <c r="Y121" s="15" t="str">
        <f aca="false">IF(A121="","",IFERROR(_xlfn.MAXIFS('Risk Register'!$J:$J,'Risk Register'!$B:$B,A121,'Risk Register'!$V:$V,"&lt;&gt;Done"),0))</f>
        <v/>
      </c>
      <c r="Z121" s="15" t="str">
        <f aca="true">IF(A121="","",IF(LEFT(R121,10)="Prohibite","STOP - prohibited practice under Art. 5. ","")&amp;IF(OR(Q121="To assess",R121="To assess",Q121="",R121=""),"Classify role and risk class. ","")&amp;IF(AND(K121="Yes",O121="Yes",P121="Yes"),"Lethal trifecta: private data + untrusted input + external action - remove one leg. ","")&amp;IF(AND(LEFT(R121,9)="High-risk",S121="Not applicable",MID(R121,13,9)="Annex III"),"Pick the Annex III area. ","")&amp;IF(AND(OR(K121="Yes",LEFT(R121,9)="High-risk"),T121&lt;&gt;"Yes"),"Impact assessment outstanding. ","")&amp;IF(AND(M121="Decides automatically",U121&lt;&gt;"Yes"),"Automated decision without defined human oversight. ","")&amp;IF(AND(J121="Production",V121&lt;&gt;"Yes"),"Production system without full logging. ","")&amp;IF(AND(X121&lt;&gt;"",X121&lt;TODAY()),"Review overdue. ","")&amp;IF(B121="","Name the system. ",""))</f>
        <v/>
      </c>
    </row>
    <row r="122" customFormat="false" ht="15" hidden="false" customHeight="false" outlineLevel="0" collapsed="false">
      <c r="A122" s="12"/>
      <c r="B122" s="12"/>
      <c r="C122" s="12"/>
      <c r="D122" s="12"/>
      <c r="E122" s="12"/>
      <c r="F122" s="12"/>
      <c r="G122" s="12"/>
      <c r="H122" s="12"/>
      <c r="I122" s="12"/>
      <c r="J122" s="12"/>
      <c r="K122" s="12"/>
      <c r="L122" s="12"/>
      <c r="M122" s="12"/>
      <c r="N122" s="12"/>
      <c r="O122" s="12"/>
      <c r="P122" s="12"/>
      <c r="Q122" s="12"/>
      <c r="R122" s="12"/>
      <c r="S122" s="12"/>
      <c r="T122" s="12"/>
      <c r="U122" s="12"/>
      <c r="V122" s="12"/>
      <c r="W122" s="13"/>
      <c r="X122" s="14" t="str">
        <f aca="false">IF(W122="","",W122+182)</f>
        <v/>
      </c>
      <c r="Y122" s="15" t="str">
        <f aca="false">IF(A122="","",IFERROR(_xlfn.MAXIFS('Risk Register'!$J:$J,'Risk Register'!$B:$B,A122,'Risk Register'!$V:$V,"&lt;&gt;Done"),0))</f>
        <v/>
      </c>
      <c r="Z122" s="15" t="str">
        <f aca="true">IF(A122="","",IF(LEFT(R122,10)="Prohibite","STOP - prohibited practice under Art. 5. ","")&amp;IF(OR(Q122="To assess",R122="To assess",Q122="",R122=""),"Classify role and risk class. ","")&amp;IF(AND(K122="Yes",O122="Yes",P122="Yes"),"Lethal trifecta: private data + untrusted input + external action - remove one leg. ","")&amp;IF(AND(LEFT(R122,9)="High-risk",S122="Not applicable",MID(R122,13,9)="Annex III"),"Pick the Annex III area. ","")&amp;IF(AND(OR(K122="Yes",LEFT(R122,9)="High-risk"),T122&lt;&gt;"Yes"),"Impact assessment outstanding. ","")&amp;IF(AND(M122="Decides automatically",U122&lt;&gt;"Yes"),"Automated decision without defined human oversight. ","")&amp;IF(AND(J122="Production",V122&lt;&gt;"Yes"),"Production system without full logging. ","")&amp;IF(AND(X122&lt;&gt;"",X122&lt;TODAY()),"Review overdue. ","")&amp;IF(B122="","Name the system. ",""))</f>
        <v/>
      </c>
    </row>
    <row r="123" customFormat="false" ht="15" hidden="false" customHeight="false" outlineLevel="0" collapsed="false">
      <c r="A123" s="12"/>
      <c r="B123" s="12"/>
      <c r="C123" s="12"/>
      <c r="D123" s="12"/>
      <c r="E123" s="12"/>
      <c r="F123" s="12"/>
      <c r="G123" s="12"/>
      <c r="H123" s="12"/>
      <c r="I123" s="12"/>
      <c r="J123" s="12"/>
      <c r="K123" s="12"/>
      <c r="L123" s="12"/>
      <c r="M123" s="12"/>
      <c r="N123" s="12"/>
      <c r="O123" s="12"/>
      <c r="P123" s="12"/>
      <c r="Q123" s="12"/>
      <c r="R123" s="12"/>
      <c r="S123" s="12"/>
      <c r="T123" s="12"/>
      <c r="U123" s="12"/>
      <c r="V123" s="12"/>
      <c r="W123" s="13"/>
      <c r="X123" s="14" t="str">
        <f aca="false">IF(W123="","",W123+182)</f>
        <v/>
      </c>
      <c r="Y123" s="15" t="str">
        <f aca="false">IF(A123="","",IFERROR(_xlfn.MAXIFS('Risk Register'!$J:$J,'Risk Register'!$B:$B,A123,'Risk Register'!$V:$V,"&lt;&gt;Done"),0))</f>
        <v/>
      </c>
      <c r="Z123" s="15" t="str">
        <f aca="true">IF(A123="","",IF(LEFT(R123,10)="Prohibite","STOP - prohibited practice under Art. 5. ","")&amp;IF(OR(Q123="To assess",R123="To assess",Q123="",R123=""),"Classify role and risk class. ","")&amp;IF(AND(K123="Yes",O123="Yes",P123="Yes"),"Lethal trifecta: private data + untrusted input + external action - remove one leg. ","")&amp;IF(AND(LEFT(R123,9)="High-risk",S123="Not applicable",MID(R123,13,9)="Annex III"),"Pick the Annex III area. ","")&amp;IF(AND(OR(K123="Yes",LEFT(R123,9)="High-risk"),T123&lt;&gt;"Yes"),"Impact assessment outstanding. ","")&amp;IF(AND(M123="Decides automatically",U123&lt;&gt;"Yes"),"Automated decision without defined human oversight. ","")&amp;IF(AND(J123="Production",V123&lt;&gt;"Yes"),"Production system without full logging. ","")&amp;IF(AND(X123&lt;&gt;"",X123&lt;TODAY()),"Review overdue. ","")&amp;IF(B123="","Name the system. ",""))</f>
        <v/>
      </c>
    </row>
    <row r="124" customFormat="false" ht="15" hidden="false" customHeight="false" outlineLevel="0" collapsed="false">
      <c r="A124" s="12"/>
      <c r="B124" s="12"/>
      <c r="C124" s="12"/>
      <c r="D124" s="12"/>
      <c r="E124" s="12"/>
      <c r="F124" s="12"/>
      <c r="G124" s="12"/>
      <c r="H124" s="12"/>
      <c r="I124" s="12"/>
      <c r="J124" s="12"/>
      <c r="K124" s="12"/>
      <c r="L124" s="12"/>
      <c r="M124" s="12"/>
      <c r="N124" s="12"/>
      <c r="O124" s="12"/>
      <c r="P124" s="12"/>
      <c r="Q124" s="12"/>
      <c r="R124" s="12"/>
      <c r="S124" s="12"/>
      <c r="T124" s="12"/>
      <c r="U124" s="12"/>
      <c r="V124" s="12"/>
      <c r="W124" s="13"/>
      <c r="X124" s="14" t="str">
        <f aca="false">IF(W124="","",W124+182)</f>
        <v/>
      </c>
      <c r="Y124" s="15" t="str">
        <f aca="false">IF(A124="","",IFERROR(_xlfn.MAXIFS('Risk Register'!$J:$J,'Risk Register'!$B:$B,A124,'Risk Register'!$V:$V,"&lt;&gt;Done"),0))</f>
        <v/>
      </c>
      <c r="Z124" s="15" t="str">
        <f aca="true">IF(A124="","",IF(LEFT(R124,10)="Prohibite","STOP - prohibited practice under Art. 5. ","")&amp;IF(OR(Q124="To assess",R124="To assess",Q124="",R124=""),"Classify role and risk class. ","")&amp;IF(AND(K124="Yes",O124="Yes",P124="Yes"),"Lethal trifecta: private data + untrusted input + external action - remove one leg. ","")&amp;IF(AND(LEFT(R124,9)="High-risk",S124="Not applicable",MID(R124,13,9)="Annex III"),"Pick the Annex III area. ","")&amp;IF(AND(OR(K124="Yes",LEFT(R124,9)="High-risk"),T124&lt;&gt;"Yes"),"Impact assessment outstanding. ","")&amp;IF(AND(M124="Decides automatically",U124&lt;&gt;"Yes"),"Automated decision without defined human oversight. ","")&amp;IF(AND(J124="Production",V124&lt;&gt;"Yes"),"Production system without full logging. ","")&amp;IF(AND(X124&lt;&gt;"",X124&lt;TODAY()),"Review overdue. ","")&amp;IF(B124="","Name the system. ",""))</f>
        <v/>
      </c>
    </row>
    <row r="125" customFormat="false" ht="15" hidden="false" customHeight="false" outlineLevel="0" collapsed="false">
      <c r="A125" s="12"/>
      <c r="B125" s="12"/>
      <c r="C125" s="12"/>
      <c r="D125" s="12"/>
      <c r="E125" s="12"/>
      <c r="F125" s="12"/>
      <c r="G125" s="12"/>
      <c r="H125" s="12"/>
      <c r="I125" s="12"/>
      <c r="J125" s="12"/>
      <c r="K125" s="12"/>
      <c r="L125" s="12"/>
      <c r="M125" s="12"/>
      <c r="N125" s="12"/>
      <c r="O125" s="12"/>
      <c r="P125" s="12"/>
      <c r="Q125" s="12"/>
      <c r="R125" s="12"/>
      <c r="S125" s="12"/>
      <c r="T125" s="12"/>
      <c r="U125" s="12"/>
      <c r="V125" s="12"/>
      <c r="W125" s="13"/>
      <c r="X125" s="14" t="str">
        <f aca="false">IF(W125="","",W125+182)</f>
        <v/>
      </c>
      <c r="Y125" s="15" t="str">
        <f aca="false">IF(A125="","",IFERROR(_xlfn.MAXIFS('Risk Register'!$J:$J,'Risk Register'!$B:$B,A125,'Risk Register'!$V:$V,"&lt;&gt;Done"),0))</f>
        <v/>
      </c>
      <c r="Z125" s="15" t="str">
        <f aca="true">IF(A125="","",IF(LEFT(R125,10)="Prohibite","STOP - prohibited practice under Art. 5. ","")&amp;IF(OR(Q125="To assess",R125="To assess",Q125="",R125=""),"Classify role and risk class. ","")&amp;IF(AND(K125="Yes",O125="Yes",P125="Yes"),"Lethal trifecta: private data + untrusted input + external action - remove one leg. ","")&amp;IF(AND(LEFT(R125,9)="High-risk",S125="Not applicable",MID(R125,13,9)="Annex III"),"Pick the Annex III area. ","")&amp;IF(AND(OR(K125="Yes",LEFT(R125,9)="High-risk"),T125&lt;&gt;"Yes"),"Impact assessment outstanding. ","")&amp;IF(AND(M125="Decides automatically",U125&lt;&gt;"Yes"),"Automated decision without defined human oversight. ","")&amp;IF(AND(J125="Production",V125&lt;&gt;"Yes"),"Production system without full logging. ","")&amp;IF(AND(X125&lt;&gt;"",X125&lt;TODAY()),"Review overdue. ","")&amp;IF(B125="","Name the system. ",""))</f>
        <v/>
      </c>
    </row>
    <row r="126" customFormat="false" ht="15" hidden="false" customHeight="false" outlineLevel="0" collapsed="false">
      <c r="A126" s="12"/>
      <c r="B126" s="12"/>
      <c r="C126" s="12"/>
      <c r="D126" s="12"/>
      <c r="E126" s="12"/>
      <c r="F126" s="12"/>
      <c r="G126" s="12"/>
      <c r="H126" s="12"/>
      <c r="I126" s="12"/>
      <c r="J126" s="12"/>
      <c r="K126" s="12"/>
      <c r="L126" s="12"/>
      <c r="M126" s="12"/>
      <c r="N126" s="12"/>
      <c r="O126" s="12"/>
      <c r="P126" s="12"/>
      <c r="Q126" s="12"/>
      <c r="R126" s="12"/>
      <c r="S126" s="12"/>
      <c r="T126" s="12"/>
      <c r="U126" s="12"/>
      <c r="V126" s="12"/>
      <c r="W126" s="13"/>
      <c r="X126" s="14" t="str">
        <f aca="false">IF(W126="","",W126+182)</f>
        <v/>
      </c>
      <c r="Y126" s="15" t="str">
        <f aca="false">IF(A126="","",IFERROR(_xlfn.MAXIFS('Risk Register'!$J:$J,'Risk Register'!$B:$B,A126,'Risk Register'!$V:$V,"&lt;&gt;Done"),0))</f>
        <v/>
      </c>
      <c r="Z126" s="15" t="str">
        <f aca="true">IF(A126="","",IF(LEFT(R126,10)="Prohibite","STOP - prohibited practice under Art. 5. ","")&amp;IF(OR(Q126="To assess",R126="To assess",Q126="",R126=""),"Classify role and risk class. ","")&amp;IF(AND(K126="Yes",O126="Yes",P126="Yes"),"Lethal trifecta: private data + untrusted input + external action - remove one leg. ","")&amp;IF(AND(LEFT(R126,9)="High-risk",S126="Not applicable",MID(R126,13,9)="Annex III"),"Pick the Annex III area. ","")&amp;IF(AND(OR(K126="Yes",LEFT(R126,9)="High-risk"),T126&lt;&gt;"Yes"),"Impact assessment outstanding. ","")&amp;IF(AND(M126="Decides automatically",U126&lt;&gt;"Yes"),"Automated decision without defined human oversight. ","")&amp;IF(AND(J126="Production",V126&lt;&gt;"Yes"),"Production system without full logging. ","")&amp;IF(AND(X126&lt;&gt;"",X126&lt;TODAY()),"Review overdue. ","")&amp;IF(B126="","Name the system. ",""))</f>
        <v/>
      </c>
    </row>
    <row r="127" customFormat="false" ht="15" hidden="false" customHeight="false" outlineLevel="0" collapsed="false">
      <c r="A127" s="12"/>
      <c r="B127" s="12"/>
      <c r="C127" s="12"/>
      <c r="D127" s="12"/>
      <c r="E127" s="12"/>
      <c r="F127" s="12"/>
      <c r="G127" s="12"/>
      <c r="H127" s="12"/>
      <c r="I127" s="12"/>
      <c r="J127" s="12"/>
      <c r="K127" s="12"/>
      <c r="L127" s="12"/>
      <c r="M127" s="12"/>
      <c r="N127" s="12"/>
      <c r="O127" s="12"/>
      <c r="P127" s="12"/>
      <c r="Q127" s="12"/>
      <c r="R127" s="12"/>
      <c r="S127" s="12"/>
      <c r="T127" s="12"/>
      <c r="U127" s="12"/>
      <c r="V127" s="12"/>
      <c r="W127" s="13"/>
      <c r="X127" s="14" t="str">
        <f aca="false">IF(W127="","",W127+182)</f>
        <v/>
      </c>
      <c r="Y127" s="15" t="str">
        <f aca="false">IF(A127="","",IFERROR(_xlfn.MAXIFS('Risk Register'!$J:$J,'Risk Register'!$B:$B,A127,'Risk Register'!$V:$V,"&lt;&gt;Done"),0))</f>
        <v/>
      </c>
      <c r="Z127" s="15" t="str">
        <f aca="true">IF(A127="","",IF(LEFT(R127,10)="Prohibite","STOP - prohibited practice under Art. 5. ","")&amp;IF(OR(Q127="To assess",R127="To assess",Q127="",R127=""),"Classify role and risk class. ","")&amp;IF(AND(K127="Yes",O127="Yes",P127="Yes"),"Lethal trifecta: private data + untrusted input + external action - remove one leg. ","")&amp;IF(AND(LEFT(R127,9)="High-risk",S127="Not applicable",MID(R127,13,9)="Annex III"),"Pick the Annex III area. ","")&amp;IF(AND(OR(K127="Yes",LEFT(R127,9)="High-risk"),T127&lt;&gt;"Yes"),"Impact assessment outstanding. ","")&amp;IF(AND(M127="Decides automatically",U127&lt;&gt;"Yes"),"Automated decision without defined human oversight. ","")&amp;IF(AND(J127="Production",V127&lt;&gt;"Yes"),"Production system without full logging. ","")&amp;IF(AND(X127&lt;&gt;"",X127&lt;TODAY()),"Review overdue. ","")&amp;IF(B127="","Name the system. ",""))</f>
        <v/>
      </c>
    </row>
    <row r="128" customFormat="false" ht="15" hidden="false" customHeight="false" outlineLevel="0" collapsed="false">
      <c r="A128" s="12"/>
      <c r="B128" s="12"/>
      <c r="C128" s="12"/>
      <c r="D128" s="12"/>
      <c r="E128" s="12"/>
      <c r="F128" s="12"/>
      <c r="G128" s="12"/>
      <c r="H128" s="12"/>
      <c r="I128" s="12"/>
      <c r="J128" s="12"/>
      <c r="K128" s="12"/>
      <c r="L128" s="12"/>
      <c r="M128" s="12"/>
      <c r="N128" s="12"/>
      <c r="O128" s="12"/>
      <c r="P128" s="12"/>
      <c r="Q128" s="12"/>
      <c r="R128" s="12"/>
      <c r="S128" s="12"/>
      <c r="T128" s="12"/>
      <c r="U128" s="12"/>
      <c r="V128" s="12"/>
      <c r="W128" s="13"/>
      <c r="X128" s="14" t="str">
        <f aca="false">IF(W128="","",W128+182)</f>
        <v/>
      </c>
      <c r="Y128" s="15" t="str">
        <f aca="false">IF(A128="","",IFERROR(_xlfn.MAXIFS('Risk Register'!$J:$J,'Risk Register'!$B:$B,A128,'Risk Register'!$V:$V,"&lt;&gt;Done"),0))</f>
        <v/>
      </c>
      <c r="Z128" s="15" t="str">
        <f aca="true">IF(A128="","",IF(LEFT(R128,10)="Prohibite","STOP - prohibited practice under Art. 5. ","")&amp;IF(OR(Q128="To assess",R128="To assess",Q128="",R128=""),"Classify role and risk class. ","")&amp;IF(AND(K128="Yes",O128="Yes",P128="Yes"),"Lethal trifecta: private data + untrusted input + external action - remove one leg. ","")&amp;IF(AND(LEFT(R128,9)="High-risk",S128="Not applicable",MID(R128,13,9)="Annex III"),"Pick the Annex III area. ","")&amp;IF(AND(OR(K128="Yes",LEFT(R128,9)="High-risk"),T128&lt;&gt;"Yes"),"Impact assessment outstanding. ","")&amp;IF(AND(M128="Decides automatically",U128&lt;&gt;"Yes"),"Automated decision without defined human oversight. ","")&amp;IF(AND(J128="Production",V128&lt;&gt;"Yes"),"Production system without full logging. ","")&amp;IF(AND(X128&lt;&gt;"",X128&lt;TODAY()),"Review overdue. ","")&amp;IF(B128="","Name the system. ",""))</f>
        <v/>
      </c>
    </row>
    <row r="129" customFormat="false" ht="15" hidden="false" customHeight="false" outlineLevel="0" collapsed="false">
      <c r="A129" s="12"/>
      <c r="B129" s="12"/>
      <c r="C129" s="12"/>
      <c r="D129" s="12"/>
      <c r="E129" s="12"/>
      <c r="F129" s="12"/>
      <c r="G129" s="12"/>
      <c r="H129" s="12"/>
      <c r="I129" s="12"/>
      <c r="J129" s="12"/>
      <c r="K129" s="12"/>
      <c r="L129" s="12"/>
      <c r="M129" s="12"/>
      <c r="N129" s="12"/>
      <c r="O129" s="12"/>
      <c r="P129" s="12"/>
      <c r="Q129" s="12"/>
      <c r="R129" s="12"/>
      <c r="S129" s="12"/>
      <c r="T129" s="12"/>
      <c r="U129" s="12"/>
      <c r="V129" s="12"/>
      <c r="W129" s="13"/>
      <c r="X129" s="14" t="str">
        <f aca="false">IF(W129="","",W129+182)</f>
        <v/>
      </c>
      <c r="Y129" s="15" t="str">
        <f aca="false">IF(A129="","",IFERROR(_xlfn.MAXIFS('Risk Register'!$J:$J,'Risk Register'!$B:$B,A129,'Risk Register'!$V:$V,"&lt;&gt;Done"),0))</f>
        <v/>
      </c>
      <c r="Z129" s="15" t="str">
        <f aca="true">IF(A129="","",IF(LEFT(R129,10)="Prohibite","STOP - prohibited practice under Art. 5. ","")&amp;IF(OR(Q129="To assess",R129="To assess",Q129="",R129=""),"Classify role and risk class. ","")&amp;IF(AND(K129="Yes",O129="Yes",P129="Yes"),"Lethal trifecta: private data + untrusted input + external action - remove one leg. ","")&amp;IF(AND(LEFT(R129,9)="High-risk",S129="Not applicable",MID(R129,13,9)="Annex III"),"Pick the Annex III area. ","")&amp;IF(AND(OR(K129="Yes",LEFT(R129,9)="High-risk"),T129&lt;&gt;"Yes"),"Impact assessment outstanding. ","")&amp;IF(AND(M129="Decides automatically",U129&lt;&gt;"Yes"),"Automated decision without defined human oversight. ","")&amp;IF(AND(J129="Production",V129&lt;&gt;"Yes"),"Production system without full logging. ","")&amp;IF(AND(X129&lt;&gt;"",X129&lt;TODAY()),"Review overdue. ","")&amp;IF(B129="","Name the system. ",""))</f>
        <v/>
      </c>
    </row>
    <row r="130" customFormat="false" ht="15" hidden="false" customHeight="false" outlineLevel="0" collapsed="false">
      <c r="A130" s="12"/>
      <c r="B130" s="12"/>
      <c r="C130" s="12"/>
      <c r="D130" s="12"/>
      <c r="E130" s="12"/>
      <c r="F130" s="12"/>
      <c r="G130" s="12"/>
      <c r="H130" s="12"/>
      <c r="I130" s="12"/>
      <c r="J130" s="12"/>
      <c r="K130" s="12"/>
      <c r="L130" s="12"/>
      <c r="M130" s="12"/>
      <c r="N130" s="12"/>
      <c r="O130" s="12"/>
      <c r="P130" s="12"/>
      <c r="Q130" s="12"/>
      <c r="R130" s="12"/>
      <c r="S130" s="12"/>
      <c r="T130" s="12"/>
      <c r="U130" s="12"/>
      <c r="V130" s="12"/>
      <c r="W130" s="13"/>
      <c r="X130" s="14" t="str">
        <f aca="false">IF(W130="","",W130+182)</f>
        <v/>
      </c>
      <c r="Y130" s="15" t="str">
        <f aca="false">IF(A130="","",IFERROR(_xlfn.MAXIFS('Risk Register'!$J:$J,'Risk Register'!$B:$B,A130,'Risk Register'!$V:$V,"&lt;&gt;Done"),0))</f>
        <v/>
      </c>
      <c r="Z130" s="15" t="str">
        <f aca="true">IF(A130="","",IF(LEFT(R130,10)="Prohibite","STOP - prohibited practice under Art. 5. ","")&amp;IF(OR(Q130="To assess",R130="To assess",Q130="",R130=""),"Classify role and risk class. ","")&amp;IF(AND(K130="Yes",O130="Yes",P130="Yes"),"Lethal trifecta: private data + untrusted input + external action - remove one leg. ","")&amp;IF(AND(LEFT(R130,9)="High-risk",S130="Not applicable",MID(R130,13,9)="Annex III"),"Pick the Annex III area. ","")&amp;IF(AND(OR(K130="Yes",LEFT(R130,9)="High-risk"),T130&lt;&gt;"Yes"),"Impact assessment outstanding. ","")&amp;IF(AND(M130="Decides automatically",U130&lt;&gt;"Yes"),"Automated decision without defined human oversight. ","")&amp;IF(AND(J130="Production",V130&lt;&gt;"Yes"),"Production system without full logging. ","")&amp;IF(AND(X130&lt;&gt;"",X130&lt;TODAY()),"Review overdue. ","")&amp;IF(B130="","Name the system. ",""))</f>
        <v/>
      </c>
    </row>
    <row r="131" customFormat="false" ht="15" hidden="false" customHeight="false" outlineLevel="0" collapsed="false">
      <c r="A131" s="12"/>
      <c r="B131" s="12"/>
      <c r="C131" s="12"/>
      <c r="D131" s="12"/>
      <c r="E131" s="12"/>
      <c r="F131" s="12"/>
      <c r="G131" s="12"/>
      <c r="H131" s="12"/>
      <c r="I131" s="12"/>
      <c r="J131" s="12"/>
      <c r="K131" s="12"/>
      <c r="L131" s="12"/>
      <c r="M131" s="12"/>
      <c r="N131" s="12"/>
      <c r="O131" s="12"/>
      <c r="P131" s="12"/>
      <c r="Q131" s="12"/>
      <c r="R131" s="12"/>
      <c r="S131" s="12"/>
      <c r="T131" s="12"/>
      <c r="U131" s="12"/>
      <c r="V131" s="12"/>
      <c r="W131" s="13"/>
      <c r="X131" s="14" t="str">
        <f aca="false">IF(W131="","",W131+182)</f>
        <v/>
      </c>
      <c r="Y131" s="15" t="str">
        <f aca="false">IF(A131="","",IFERROR(_xlfn.MAXIFS('Risk Register'!$J:$J,'Risk Register'!$B:$B,A131,'Risk Register'!$V:$V,"&lt;&gt;Done"),0))</f>
        <v/>
      </c>
      <c r="Z131" s="15" t="str">
        <f aca="true">IF(A131="","",IF(LEFT(R131,10)="Prohibite","STOP - prohibited practice under Art. 5. ","")&amp;IF(OR(Q131="To assess",R131="To assess",Q131="",R131=""),"Classify role and risk class. ","")&amp;IF(AND(K131="Yes",O131="Yes",P131="Yes"),"Lethal trifecta: private data + untrusted input + external action - remove one leg. ","")&amp;IF(AND(LEFT(R131,9)="High-risk",S131="Not applicable",MID(R131,13,9)="Annex III"),"Pick the Annex III area. ","")&amp;IF(AND(OR(K131="Yes",LEFT(R131,9)="High-risk"),T131&lt;&gt;"Yes"),"Impact assessment outstanding. ","")&amp;IF(AND(M131="Decides automatically",U131&lt;&gt;"Yes"),"Automated decision without defined human oversight. ","")&amp;IF(AND(J131="Production",V131&lt;&gt;"Yes"),"Production system without full logging. ","")&amp;IF(AND(X131&lt;&gt;"",X131&lt;TODAY()),"Review overdue. ","")&amp;IF(B131="","Name the system. ",""))</f>
        <v/>
      </c>
    </row>
    <row r="132" customFormat="false" ht="15" hidden="false" customHeight="false" outlineLevel="0" collapsed="false">
      <c r="A132" s="12"/>
      <c r="B132" s="12"/>
      <c r="C132" s="12"/>
      <c r="D132" s="12"/>
      <c r="E132" s="12"/>
      <c r="F132" s="12"/>
      <c r="G132" s="12"/>
      <c r="H132" s="12"/>
      <c r="I132" s="12"/>
      <c r="J132" s="12"/>
      <c r="K132" s="12"/>
      <c r="L132" s="12"/>
      <c r="M132" s="12"/>
      <c r="N132" s="12"/>
      <c r="O132" s="12"/>
      <c r="P132" s="12"/>
      <c r="Q132" s="12"/>
      <c r="R132" s="12"/>
      <c r="S132" s="12"/>
      <c r="T132" s="12"/>
      <c r="U132" s="12"/>
      <c r="V132" s="12"/>
      <c r="W132" s="13"/>
      <c r="X132" s="14" t="str">
        <f aca="false">IF(W132="","",W132+182)</f>
        <v/>
      </c>
      <c r="Y132" s="15" t="str">
        <f aca="false">IF(A132="","",IFERROR(_xlfn.MAXIFS('Risk Register'!$J:$J,'Risk Register'!$B:$B,A132,'Risk Register'!$V:$V,"&lt;&gt;Done"),0))</f>
        <v/>
      </c>
      <c r="Z132" s="15" t="str">
        <f aca="true">IF(A132="","",IF(LEFT(R132,10)="Prohibite","STOP - prohibited practice under Art. 5. ","")&amp;IF(OR(Q132="To assess",R132="To assess",Q132="",R132=""),"Classify role and risk class. ","")&amp;IF(AND(K132="Yes",O132="Yes",P132="Yes"),"Lethal trifecta: private data + untrusted input + external action - remove one leg. ","")&amp;IF(AND(LEFT(R132,9)="High-risk",S132="Not applicable",MID(R132,13,9)="Annex III"),"Pick the Annex III area. ","")&amp;IF(AND(OR(K132="Yes",LEFT(R132,9)="High-risk"),T132&lt;&gt;"Yes"),"Impact assessment outstanding. ","")&amp;IF(AND(M132="Decides automatically",U132&lt;&gt;"Yes"),"Automated decision without defined human oversight. ","")&amp;IF(AND(J132="Production",V132&lt;&gt;"Yes"),"Production system without full logging. ","")&amp;IF(AND(X132&lt;&gt;"",X132&lt;TODAY()),"Review overdue. ","")&amp;IF(B132="","Name the system. ",""))</f>
        <v/>
      </c>
    </row>
    <row r="133" customFormat="false" ht="15" hidden="false" customHeight="false" outlineLevel="0" collapsed="false">
      <c r="A133" s="12"/>
      <c r="B133" s="12"/>
      <c r="C133" s="12"/>
      <c r="D133" s="12"/>
      <c r="E133" s="12"/>
      <c r="F133" s="12"/>
      <c r="G133" s="12"/>
      <c r="H133" s="12"/>
      <c r="I133" s="12"/>
      <c r="J133" s="12"/>
      <c r="K133" s="12"/>
      <c r="L133" s="12"/>
      <c r="M133" s="12"/>
      <c r="N133" s="12"/>
      <c r="O133" s="12"/>
      <c r="P133" s="12"/>
      <c r="Q133" s="12"/>
      <c r="R133" s="12"/>
      <c r="S133" s="12"/>
      <c r="T133" s="12"/>
      <c r="U133" s="12"/>
      <c r="V133" s="12"/>
      <c r="W133" s="13"/>
      <c r="X133" s="14" t="str">
        <f aca="false">IF(W133="","",W133+182)</f>
        <v/>
      </c>
      <c r="Y133" s="15" t="str">
        <f aca="false">IF(A133="","",IFERROR(_xlfn.MAXIFS('Risk Register'!$J:$J,'Risk Register'!$B:$B,A133,'Risk Register'!$V:$V,"&lt;&gt;Done"),0))</f>
        <v/>
      </c>
      <c r="Z133" s="15" t="str">
        <f aca="true">IF(A133="","",IF(LEFT(R133,10)="Prohibite","STOP - prohibited practice under Art. 5. ","")&amp;IF(OR(Q133="To assess",R133="To assess",Q133="",R133=""),"Classify role and risk class. ","")&amp;IF(AND(K133="Yes",O133="Yes",P133="Yes"),"Lethal trifecta: private data + untrusted input + external action - remove one leg. ","")&amp;IF(AND(LEFT(R133,9)="High-risk",S133="Not applicable",MID(R133,13,9)="Annex III"),"Pick the Annex III area. ","")&amp;IF(AND(OR(K133="Yes",LEFT(R133,9)="High-risk"),T133&lt;&gt;"Yes"),"Impact assessment outstanding. ","")&amp;IF(AND(M133="Decides automatically",U133&lt;&gt;"Yes"),"Automated decision without defined human oversight. ","")&amp;IF(AND(J133="Production",V133&lt;&gt;"Yes"),"Production system without full logging. ","")&amp;IF(AND(X133&lt;&gt;"",X133&lt;TODAY()),"Review overdue. ","")&amp;IF(B133="","Name the system. ",""))</f>
        <v/>
      </c>
    </row>
    <row r="134" customFormat="false" ht="15" hidden="false" customHeight="false" outlineLevel="0" collapsed="false">
      <c r="A134" s="12"/>
      <c r="B134" s="12"/>
      <c r="C134" s="12"/>
      <c r="D134" s="12"/>
      <c r="E134" s="12"/>
      <c r="F134" s="12"/>
      <c r="G134" s="12"/>
      <c r="H134" s="12"/>
      <c r="I134" s="12"/>
      <c r="J134" s="12"/>
      <c r="K134" s="12"/>
      <c r="L134" s="12"/>
      <c r="M134" s="12"/>
      <c r="N134" s="12"/>
      <c r="O134" s="12"/>
      <c r="P134" s="12"/>
      <c r="Q134" s="12"/>
      <c r="R134" s="12"/>
      <c r="S134" s="12"/>
      <c r="T134" s="12"/>
      <c r="U134" s="12"/>
      <c r="V134" s="12"/>
      <c r="W134" s="13"/>
      <c r="X134" s="14" t="str">
        <f aca="false">IF(W134="","",W134+182)</f>
        <v/>
      </c>
      <c r="Y134" s="15" t="str">
        <f aca="false">IF(A134="","",IFERROR(_xlfn.MAXIFS('Risk Register'!$J:$J,'Risk Register'!$B:$B,A134,'Risk Register'!$V:$V,"&lt;&gt;Done"),0))</f>
        <v/>
      </c>
      <c r="Z134" s="15" t="str">
        <f aca="true">IF(A134="","",IF(LEFT(R134,10)="Prohibite","STOP - prohibited practice under Art. 5. ","")&amp;IF(OR(Q134="To assess",R134="To assess",Q134="",R134=""),"Classify role and risk class. ","")&amp;IF(AND(K134="Yes",O134="Yes",P134="Yes"),"Lethal trifecta: private data + untrusted input + external action - remove one leg. ","")&amp;IF(AND(LEFT(R134,9)="High-risk",S134="Not applicable",MID(R134,13,9)="Annex III"),"Pick the Annex III area. ","")&amp;IF(AND(OR(K134="Yes",LEFT(R134,9)="High-risk"),T134&lt;&gt;"Yes"),"Impact assessment outstanding. ","")&amp;IF(AND(M134="Decides automatically",U134&lt;&gt;"Yes"),"Automated decision without defined human oversight. ","")&amp;IF(AND(J134="Production",V134&lt;&gt;"Yes"),"Production system without full logging. ","")&amp;IF(AND(X134&lt;&gt;"",X134&lt;TODAY()),"Review overdue. ","")&amp;IF(B134="","Name the system. ",""))</f>
        <v/>
      </c>
    </row>
    <row r="135" customFormat="false" ht="15" hidden="false" customHeight="false" outlineLevel="0" collapsed="false">
      <c r="A135" s="12"/>
      <c r="B135" s="12"/>
      <c r="C135" s="12"/>
      <c r="D135" s="12"/>
      <c r="E135" s="12"/>
      <c r="F135" s="12"/>
      <c r="G135" s="12"/>
      <c r="H135" s="12"/>
      <c r="I135" s="12"/>
      <c r="J135" s="12"/>
      <c r="K135" s="12"/>
      <c r="L135" s="12"/>
      <c r="M135" s="12"/>
      <c r="N135" s="12"/>
      <c r="O135" s="12"/>
      <c r="P135" s="12"/>
      <c r="Q135" s="12"/>
      <c r="R135" s="12"/>
      <c r="S135" s="12"/>
      <c r="T135" s="12"/>
      <c r="U135" s="12"/>
      <c r="V135" s="12"/>
      <c r="W135" s="13"/>
      <c r="X135" s="14" t="str">
        <f aca="false">IF(W135="","",W135+182)</f>
        <v/>
      </c>
      <c r="Y135" s="15" t="str">
        <f aca="false">IF(A135="","",IFERROR(_xlfn.MAXIFS('Risk Register'!$J:$J,'Risk Register'!$B:$B,A135,'Risk Register'!$V:$V,"&lt;&gt;Done"),0))</f>
        <v/>
      </c>
      <c r="Z135" s="15" t="str">
        <f aca="true">IF(A135="","",IF(LEFT(R135,10)="Prohibite","STOP - prohibited practice under Art. 5. ","")&amp;IF(OR(Q135="To assess",R135="To assess",Q135="",R135=""),"Classify role and risk class. ","")&amp;IF(AND(K135="Yes",O135="Yes",P135="Yes"),"Lethal trifecta: private data + untrusted input + external action - remove one leg. ","")&amp;IF(AND(LEFT(R135,9)="High-risk",S135="Not applicable",MID(R135,13,9)="Annex III"),"Pick the Annex III area. ","")&amp;IF(AND(OR(K135="Yes",LEFT(R135,9)="High-risk"),T135&lt;&gt;"Yes"),"Impact assessment outstanding. ","")&amp;IF(AND(M135="Decides automatically",U135&lt;&gt;"Yes"),"Automated decision without defined human oversight. ","")&amp;IF(AND(J135="Production",V135&lt;&gt;"Yes"),"Production system without full logging. ","")&amp;IF(AND(X135&lt;&gt;"",X135&lt;TODAY()),"Review overdue. ","")&amp;IF(B135="","Name the system. ",""))</f>
        <v/>
      </c>
    </row>
    <row r="136" customFormat="false" ht="15" hidden="false" customHeight="false" outlineLevel="0" collapsed="false">
      <c r="A136" s="12"/>
      <c r="B136" s="12"/>
      <c r="C136" s="12"/>
      <c r="D136" s="12"/>
      <c r="E136" s="12"/>
      <c r="F136" s="12"/>
      <c r="G136" s="12"/>
      <c r="H136" s="12"/>
      <c r="I136" s="12"/>
      <c r="J136" s="12"/>
      <c r="K136" s="12"/>
      <c r="L136" s="12"/>
      <c r="M136" s="12"/>
      <c r="N136" s="12"/>
      <c r="O136" s="12"/>
      <c r="P136" s="12"/>
      <c r="Q136" s="12"/>
      <c r="R136" s="12"/>
      <c r="S136" s="12"/>
      <c r="T136" s="12"/>
      <c r="U136" s="12"/>
      <c r="V136" s="12"/>
      <c r="W136" s="13"/>
      <c r="X136" s="14" t="str">
        <f aca="false">IF(W136="","",W136+182)</f>
        <v/>
      </c>
      <c r="Y136" s="15" t="str">
        <f aca="false">IF(A136="","",IFERROR(_xlfn.MAXIFS('Risk Register'!$J:$J,'Risk Register'!$B:$B,A136,'Risk Register'!$V:$V,"&lt;&gt;Done"),0))</f>
        <v/>
      </c>
      <c r="Z136" s="15" t="str">
        <f aca="true">IF(A136="","",IF(LEFT(R136,10)="Prohibite","STOP - prohibited practice under Art. 5. ","")&amp;IF(OR(Q136="To assess",R136="To assess",Q136="",R136=""),"Classify role and risk class. ","")&amp;IF(AND(K136="Yes",O136="Yes",P136="Yes"),"Lethal trifecta: private data + untrusted input + external action - remove one leg. ","")&amp;IF(AND(LEFT(R136,9)="High-risk",S136="Not applicable",MID(R136,13,9)="Annex III"),"Pick the Annex III area. ","")&amp;IF(AND(OR(K136="Yes",LEFT(R136,9)="High-risk"),T136&lt;&gt;"Yes"),"Impact assessment outstanding. ","")&amp;IF(AND(M136="Decides automatically",U136&lt;&gt;"Yes"),"Automated decision without defined human oversight. ","")&amp;IF(AND(J136="Production",V136&lt;&gt;"Yes"),"Production system without full logging. ","")&amp;IF(AND(X136&lt;&gt;"",X136&lt;TODAY()),"Review overdue. ","")&amp;IF(B136="","Name the system. ",""))</f>
        <v/>
      </c>
    </row>
    <row r="137" customFormat="false" ht="15" hidden="false" customHeight="false" outlineLevel="0" collapsed="false">
      <c r="A137" s="12"/>
      <c r="B137" s="12"/>
      <c r="C137" s="12"/>
      <c r="D137" s="12"/>
      <c r="E137" s="12"/>
      <c r="F137" s="12"/>
      <c r="G137" s="12"/>
      <c r="H137" s="12"/>
      <c r="I137" s="12"/>
      <c r="J137" s="12"/>
      <c r="K137" s="12"/>
      <c r="L137" s="12"/>
      <c r="M137" s="12"/>
      <c r="N137" s="12"/>
      <c r="O137" s="12"/>
      <c r="P137" s="12"/>
      <c r="Q137" s="12"/>
      <c r="R137" s="12"/>
      <c r="S137" s="12"/>
      <c r="T137" s="12"/>
      <c r="U137" s="12"/>
      <c r="V137" s="12"/>
      <c r="W137" s="13"/>
      <c r="X137" s="14" t="str">
        <f aca="false">IF(W137="","",W137+182)</f>
        <v/>
      </c>
      <c r="Y137" s="15" t="str">
        <f aca="false">IF(A137="","",IFERROR(_xlfn.MAXIFS('Risk Register'!$J:$J,'Risk Register'!$B:$B,A137,'Risk Register'!$V:$V,"&lt;&gt;Done"),0))</f>
        <v/>
      </c>
      <c r="Z137" s="15" t="str">
        <f aca="true">IF(A137="","",IF(LEFT(R137,10)="Prohibite","STOP - prohibited practice under Art. 5. ","")&amp;IF(OR(Q137="To assess",R137="To assess",Q137="",R137=""),"Classify role and risk class. ","")&amp;IF(AND(K137="Yes",O137="Yes",P137="Yes"),"Lethal trifecta: private data + untrusted input + external action - remove one leg. ","")&amp;IF(AND(LEFT(R137,9)="High-risk",S137="Not applicable",MID(R137,13,9)="Annex III"),"Pick the Annex III area. ","")&amp;IF(AND(OR(K137="Yes",LEFT(R137,9)="High-risk"),T137&lt;&gt;"Yes"),"Impact assessment outstanding. ","")&amp;IF(AND(M137="Decides automatically",U137&lt;&gt;"Yes"),"Automated decision without defined human oversight. ","")&amp;IF(AND(J137="Production",V137&lt;&gt;"Yes"),"Production system without full logging. ","")&amp;IF(AND(X137&lt;&gt;"",X137&lt;TODAY()),"Review overdue. ","")&amp;IF(B137="","Name the system. ",""))</f>
        <v/>
      </c>
    </row>
    <row r="138" customFormat="false" ht="15" hidden="false" customHeight="false" outlineLevel="0" collapsed="false">
      <c r="A138" s="12"/>
      <c r="B138" s="12"/>
      <c r="C138" s="12"/>
      <c r="D138" s="12"/>
      <c r="E138" s="12"/>
      <c r="F138" s="12"/>
      <c r="G138" s="12"/>
      <c r="H138" s="12"/>
      <c r="I138" s="12"/>
      <c r="J138" s="12"/>
      <c r="K138" s="12"/>
      <c r="L138" s="12"/>
      <c r="M138" s="12"/>
      <c r="N138" s="12"/>
      <c r="O138" s="12"/>
      <c r="P138" s="12"/>
      <c r="Q138" s="12"/>
      <c r="R138" s="12"/>
      <c r="S138" s="12"/>
      <c r="T138" s="12"/>
      <c r="U138" s="12"/>
      <c r="V138" s="12"/>
      <c r="W138" s="13"/>
      <c r="X138" s="14" t="str">
        <f aca="false">IF(W138="","",W138+182)</f>
        <v/>
      </c>
      <c r="Y138" s="15" t="str">
        <f aca="false">IF(A138="","",IFERROR(_xlfn.MAXIFS('Risk Register'!$J:$J,'Risk Register'!$B:$B,A138,'Risk Register'!$V:$V,"&lt;&gt;Done"),0))</f>
        <v/>
      </c>
      <c r="Z138" s="15" t="str">
        <f aca="true">IF(A138="","",IF(LEFT(R138,10)="Prohibite","STOP - prohibited practice under Art. 5. ","")&amp;IF(OR(Q138="To assess",R138="To assess",Q138="",R138=""),"Classify role and risk class. ","")&amp;IF(AND(K138="Yes",O138="Yes",P138="Yes"),"Lethal trifecta: private data + untrusted input + external action - remove one leg. ","")&amp;IF(AND(LEFT(R138,9)="High-risk",S138="Not applicable",MID(R138,13,9)="Annex III"),"Pick the Annex III area. ","")&amp;IF(AND(OR(K138="Yes",LEFT(R138,9)="High-risk"),T138&lt;&gt;"Yes"),"Impact assessment outstanding. ","")&amp;IF(AND(M138="Decides automatically",U138&lt;&gt;"Yes"),"Automated decision without defined human oversight. ","")&amp;IF(AND(J138="Production",V138&lt;&gt;"Yes"),"Production system without full logging. ","")&amp;IF(AND(X138&lt;&gt;"",X138&lt;TODAY()),"Review overdue. ","")&amp;IF(B138="","Name the system. ",""))</f>
        <v/>
      </c>
    </row>
    <row r="139" customFormat="false" ht="15" hidden="false" customHeight="false" outlineLevel="0" collapsed="false">
      <c r="A139" s="12"/>
      <c r="B139" s="12"/>
      <c r="C139" s="12"/>
      <c r="D139" s="12"/>
      <c r="E139" s="12"/>
      <c r="F139" s="12"/>
      <c r="G139" s="12"/>
      <c r="H139" s="12"/>
      <c r="I139" s="12"/>
      <c r="J139" s="12"/>
      <c r="K139" s="12"/>
      <c r="L139" s="12"/>
      <c r="M139" s="12"/>
      <c r="N139" s="12"/>
      <c r="O139" s="12"/>
      <c r="P139" s="12"/>
      <c r="Q139" s="12"/>
      <c r="R139" s="12"/>
      <c r="S139" s="12"/>
      <c r="T139" s="12"/>
      <c r="U139" s="12"/>
      <c r="V139" s="12"/>
      <c r="W139" s="13"/>
      <c r="X139" s="14" t="str">
        <f aca="false">IF(W139="","",W139+182)</f>
        <v/>
      </c>
      <c r="Y139" s="15" t="str">
        <f aca="false">IF(A139="","",IFERROR(_xlfn.MAXIFS('Risk Register'!$J:$J,'Risk Register'!$B:$B,A139,'Risk Register'!$V:$V,"&lt;&gt;Done"),0))</f>
        <v/>
      </c>
      <c r="Z139" s="15" t="str">
        <f aca="true">IF(A139="","",IF(LEFT(R139,10)="Prohibite","STOP - prohibited practice under Art. 5. ","")&amp;IF(OR(Q139="To assess",R139="To assess",Q139="",R139=""),"Classify role and risk class. ","")&amp;IF(AND(K139="Yes",O139="Yes",P139="Yes"),"Lethal trifecta: private data + untrusted input + external action - remove one leg. ","")&amp;IF(AND(LEFT(R139,9)="High-risk",S139="Not applicable",MID(R139,13,9)="Annex III"),"Pick the Annex III area. ","")&amp;IF(AND(OR(K139="Yes",LEFT(R139,9)="High-risk"),T139&lt;&gt;"Yes"),"Impact assessment outstanding. ","")&amp;IF(AND(M139="Decides automatically",U139&lt;&gt;"Yes"),"Automated decision without defined human oversight. ","")&amp;IF(AND(J139="Production",V139&lt;&gt;"Yes"),"Production system without full logging. ","")&amp;IF(AND(X139&lt;&gt;"",X139&lt;TODAY()),"Review overdue. ","")&amp;IF(B139="","Name the system. ",""))</f>
        <v/>
      </c>
    </row>
    <row r="140" customFormat="false" ht="15" hidden="false" customHeight="false" outlineLevel="0" collapsed="false">
      <c r="A140" s="12"/>
      <c r="B140" s="12"/>
      <c r="C140" s="12"/>
      <c r="D140" s="12"/>
      <c r="E140" s="12"/>
      <c r="F140" s="12"/>
      <c r="G140" s="12"/>
      <c r="H140" s="12"/>
      <c r="I140" s="12"/>
      <c r="J140" s="12"/>
      <c r="K140" s="12"/>
      <c r="L140" s="12"/>
      <c r="M140" s="12"/>
      <c r="N140" s="12"/>
      <c r="O140" s="12"/>
      <c r="P140" s="12"/>
      <c r="Q140" s="12"/>
      <c r="R140" s="12"/>
      <c r="S140" s="12"/>
      <c r="T140" s="12"/>
      <c r="U140" s="12"/>
      <c r="V140" s="12"/>
      <c r="W140" s="13"/>
      <c r="X140" s="14" t="str">
        <f aca="false">IF(W140="","",W140+182)</f>
        <v/>
      </c>
      <c r="Y140" s="15" t="str">
        <f aca="false">IF(A140="","",IFERROR(_xlfn.MAXIFS('Risk Register'!$J:$J,'Risk Register'!$B:$B,A140,'Risk Register'!$V:$V,"&lt;&gt;Done"),0))</f>
        <v/>
      </c>
      <c r="Z140" s="15" t="str">
        <f aca="true">IF(A140="","",IF(LEFT(R140,10)="Prohibite","STOP - prohibited practice under Art. 5. ","")&amp;IF(OR(Q140="To assess",R140="To assess",Q140="",R140=""),"Classify role and risk class. ","")&amp;IF(AND(K140="Yes",O140="Yes",P140="Yes"),"Lethal trifecta: private data + untrusted input + external action - remove one leg. ","")&amp;IF(AND(LEFT(R140,9)="High-risk",S140="Not applicable",MID(R140,13,9)="Annex III"),"Pick the Annex III area. ","")&amp;IF(AND(OR(K140="Yes",LEFT(R140,9)="High-risk"),T140&lt;&gt;"Yes"),"Impact assessment outstanding. ","")&amp;IF(AND(M140="Decides automatically",U140&lt;&gt;"Yes"),"Automated decision without defined human oversight. ","")&amp;IF(AND(J140="Production",V140&lt;&gt;"Yes"),"Production system without full logging. ","")&amp;IF(AND(X140&lt;&gt;"",X140&lt;TODAY()),"Review overdue. ","")&amp;IF(B140="","Name the system. ",""))</f>
        <v/>
      </c>
    </row>
    <row r="141" customFormat="false" ht="15" hidden="false" customHeight="false" outlineLevel="0" collapsed="false">
      <c r="A141" s="12"/>
      <c r="B141" s="12"/>
      <c r="C141" s="12"/>
      <c r="D141" s="12"/>
      <c r="E141" s="12"/>
      <c r="F141" s="12"/>
      <c r="G141" s="12"/>
      <c r="H141" s="12"/>
      <c r="I141" s="12"/>
      <c r="J141" s="12"/>
      <c r="K141" s="12"/>
      <c r="L141" s="12"/>
      <c r="M141" s="12"/>
      <c r="N141" s="12"/>
      <c r="O141" s="12"/>
      <c r="P141" s="12"/>
      <c r="Q141" s="12"/>
      <c r="R141" s="12"/>
      <c r="S141" s="12"/>
      <c r="T141" s="12"/>
      <c r="U141" s="12"/>
      <c r="V141" s="12"/>
      <c r="W141" s="13"/>
      <c r="X141" s="14" t="str">
        <f aca="false">IF(W141="","",W141+182)</f>
        <v/>
      </c>
      <c r="Y141" s="15" t="str">
        <f aca="false">IF(A141="","",IFERROR(_xlfn.MAXIFS('Risk Register'!$J:$J,'Risk Register'!$B:$B,A141,'Risk Register'!$V:$V,"&lt;&gt;Done"),0))</f>
        <v/>
      </c>
      <c r="Z141" s="15" t="str">
        <f aca="true">IF(A141="","",IF(LEFT(R141,10)="Prohibite","STOP - prohibited practice under Art. 5. ","")&amp;IF(OR(Q141="To assess",R141="To assess",Q141="",R141=""),"Classify role and risk class. ","")&amp;IF(AND(K141="Yes",O141="Yes",P141="Yes"),"Lethal trifecta: private data + untrusted input + external action - remove one leg. ","")&amp;IF(AND(LEFT(R141,9)="High-risk",S141="Not applicable",MID(R141,13,9)="Annex III"),"Pick the Annex III area. ","")&amp;IF(AND(OR(K141="Yes",LEFT(R141,9)="High-risk"),T141&lt;&gt;"Yes"),"Impact assessment outstanding. ","")&amp;IF(AND(M141="Decides automatically",U141&lt;&gt;"Yes"),"Automated decision without defined human oversight. ","")&amp;IF(AND(J141="Production",V141&lt;&gt;"Yes"),"Production system without full logging. ","")&amp;IF(AND(X141&lt;&gt;"",X141&lt;TODAY()),"Review overdue. ","")&amp;IF(B141="","Name the system. ",""))</f>
        <v/>
      </c>
    </row>
    <row r="142" customFormat="false" ht="15" hidden="false" customHeight="false" outlineLevel="0" collapsed="false">
      <c r="A142" s="12"/>
      <c r="B142" s="12"/>
      <c r="C142" s="12"/>
      <c r="D142" s="12"/>
      <c r="E142" s="12"/>
      <c r="F142" s="12"/>
      <c r="G142" s="12"/>
      <c r="H142" s="12"/>
      <c r="I142" s="12"/>
      <c r="J142" s="12"/>
      <c r="K142" s="12"/>
      <c r="L142" s="12"/>
      <c r="M142" s="12"/>
      <c r="N142" s="12"/>
      <c r="O142" s="12"/>
      <c r="P142" s="12"/>
      <c r="Q142" s="12"/>
      <c r="R142" s="12"/>
      <c r="S142" s="12"/>
      <c r="T142" s="12"/>
      <c r="U142" s="12"/>
      <c r="V142" s="12"/>
      <c r="W142" s="13"/>
      <c r="X142" s="14" t="str">
        <f aca="false">IF(W142="","",W142+182)</f>
        <v/>
      </c>
      <c r="Y142" s="15" t="str">
        <f aca="false">IF(A142="","",IFERROR(_xlfn.MAXIFS('Risk Register'!$J:$J,'Risk Register'!$B:$B,A142,'Risk Register'!$V:$V,"&lt;&gt;Done"),0))</f>
        <v/>
      </c>
      <c r="Z142" s="15" t="str">
        <f aca="true">IF(A142="","",IF(LEFT(R142,10)="Prohibite","STOP - prohibited practice under Art. 5. ","")&amp;IF(OR(Q142="To assess",R142="To assess",Q142="",R142=""),"Classify role and risk class. ","")&amp;IF(AND(K142="Yes",O142="Yes",P142="Yes"),"Lethal trifecta: private data + untrusted input + external action - remove one leg. ","")&amp;IF(AND(LEFT(R142,9)="High-risk",S142="Not applicable",MID(R142,13,9)="Annex III"),"Pick the Annex III area. ","")&amp;IF(AND(OR(K142="Yes",LEFT(R142,9)="High-risk"),T142&lt;&gt;"Yes"),"Impact assessment outstanding. ","")&amp;IF(AND(M142="Decides automatically",U142&lt;&gt;"Yes"),"Automated decision without defined human oversight. ","")&amp;IF(AND(J142="Production",V142&lt;&gt;"Yes"),"Production system without full logging. ","")&amp;IF(AND(X142&lt;&gt;"",X142&lt;TODAY()),"Review overdue. ","")&amp;IF(B142="","Name the system. ",""))</f>
        <v/>
      </c>
    </row>
    <row r="143" customFormat="false" ht="15" hidden="false" customHeight="false" outlineLevel="0" collapsed="false">
      <c r="A143" s="12"/>
      <c r="B143" s="12"/>
      <c r="C143" s="12"/>
      <c r="D143" s="12"/>
      <c r="E143" s="12"/>
      <c r="F143" s="12"/>
      <c r="G143" s="12"/>
      <c r="H143" s="12"/>
      <c r="I143" s="12"/>
      <c r="J143" s="12"/>
      <c r="K143" s="12"/>
      <c r="L143" s="12"/>
      <c r="M143" s="12"/>
      <c r="N143" s="12"/>
      <c r="O143" s="12"/>
      <c r="P143" s="12"/>
      <c r="Q143" s="12"/>
      <c r="R143" s="12"/>
      <c r="S143" s="12"/>
      <c r="T143" s="12"/>
      <c r="U143" s="12"/>
      <c r="V143" s="12"/>
      <c r="W143" s="13"/>
      <c r="X143" s="14" t="str">
        <f aca="false">IF(W143="","",W143+182)</f>
        <v/>
      </c>
      <c r="Y143" s="15" t="str">
        <f aca="false">IF(A143="","",IFERROR(_xlfn.MAXIFS('Risk Register'!$J:$J,'Risk Register'!$B:$B,A143,'Risk Register'!$V:$V,"&lt;&gt;Done"),0))</f>
        <v/>
      </c>
      <c r="Z143" s="15" t="str">
        <f aca="true">IF(A143="","",IF(LEFT(R143,10)="Prohibite","STOP - prohibited practice under Art. 5. ","")&amp;IF(OR(Q143="To assess",R143="To assess",Q143="",R143=""),"Classify role and risk class. ","")&amp;IF(AND(K143="Yes",O143="Yes",P143="Yes"),"Lethal trifecta: private data + untrusted input + external action - remove one leg. ","")&amp;IF(AND(LEFT(R143,9)="High-risk",S143="Not applicable",MID(R143,13,9)="Annex III"),"Pick the Annex III area. ","")&amp;IF(AND(OR(K143="Yes",LEFT(R143,9)="High-risk"),T143&lt;&gt;"Yes"),"Impact assessment outstanding. ","")&amp;IF(AND(M143="Decides automatically",U143&lt;&gt;"Yes"),"Automated decision without defined human oversight. ","")&amp;IF(AND(J143="Production",V143&lt;&gt;"Yes"),"Production system without full logging. ","")&amp;IF(AND(X143&lt;&gt;"",X143&lt;TODAY()),"Review overdue. ","")&amp;IF(B143="","Name the system. ",""))</f>
        <v/>
      </c>
    </row>
    <row r="144" customFormat="false" ht="15" hidden="false" customHeight="false" outlineLevel="0" collapsed="false">
      <c r="A144" s="12"/>
      <c r="B144" s="12"/>
      <c r="C144" s="12"/>
      <c r="D144" s="12"/>
      <c r="E144" s="12"/>
      <c r="F144" s="12"/>
      <c r="G144" s="12"/>
      <c r="H144" s="12"/>
      <c r="I144" s="12"/>
      <c r="J144" s="12"/>
      <c r="K144" s="12"/>
      <c r="L144" s="12"/>
      <c r="M144" s="12"/>
      <c r="N144" s="12"/>
      <c r="O144" s="12"/>
      <c r="P144" s="12"/>
      <c r="Q144" s="12"/>
      <c r="R144" s="12"/>
      <c r="S144" s="12"/>
      <c r="T144" s="12"/>
      <c r="U144" s="12"/>
      <c r="V144" s="12"/>
      <c r="W144" s="13"/>
      <c r="X144" s="14" t="str">
        <f aca="false">IF(W144="","",W144+182)</f>
        <v/>
      </c>
      <c r="Y144" s="15" t="str">
        <f aca="false">IF(A144="","",IFERROR(_xlfn.MAXIFS('Risk Register'!$J:$J,'Risk Register'!$B:$B,A144,'Risk Register'!$V:$V,"&lt;&gt;Done"),0))</f>
        <v/>
      </c>
      <c r="Z144" s="15" t="str">
        <f aca="true">IF(A144="","",IF(LEFT(R144,10)="Prohibite","STOP - prohibited practice under Art. 5. ","")&amp;IF(OR(Q144="To assess",R144="To assess",Q144="",R144=""),"Classify role and risk class. ","")&amp;IF(AND(K144="Yes",O144="Yes",P144="Yes"),"Lethal trifecta: private data + untrusted input + external action - remove one leg. ","")&amp;IF(AND(LEFT(R144,9)="High-risk",S144="Not applicable",MID(R144,13,9)="Annex III"),"Pick the Annex III area. ","")&amp;IF(AND(OR(K144="Yes",LEFT(R144,9)="High-risk"),T144&lt;&gt;"Yes"),"Impact assessment outstanding. ","")&amp;IF(AND(M144="Decides automatically",U144&lt;&gt;"Yes"),"Automated decision without defined human oversight. ","")&amp;IF(AND(J144="Production",V144&lt;&gt;"Yes"),"Production system without full logging. ","")&amp;IF(AND(X144&lt;&gt;"",X144&lt;TODAY()),"Review overdue. ","")&amp;IF(B144="","Name the system. ",""))</f>
        <v/>
      </c>
    </row>
    <row r="145" customFormat="false" ht="15" hidden="false" customHeight="false" outlineLevel="0" collapsed="false">
      <c r="A145" s="12"/>
      <c r="B145" s="12"/>
      <c r="C145" s="12"/>
      <c r="D145" s="12"/>
      <c r="E145" s="12"/>
      <c r="F145" s="12"/>
      <c r="G145" s="12"/>
      <c r="H145" s="12"/>
      <c r="I145" s="12"/>
      <c r="J145" s="12"/>
      <c r="K145" s="12"/>
      <c r="L145" s="12"/>
      <c r="M145" s="12"/>
      <c r="N145" s="12"/>
      <c r="O145" s="12"/>
      <c r="P145" s="12"/>
      <c r="Q145" s="12"/>
      <c r="R145" s="12"/>
      <c r="S145" s="12"/>
      <c r="T145" s="12"/>
      <c r="U145" s="12"/>
      <c r="V145" s="12"/>
      <c r="W145" s="13"/>
      <c r="X145" s="14" t="str">
        <f aca="false">IF(W145="","",W145+182)</f>
        <v/>
      </c>
      <c r="Y145" s="15" t="str">
        <f aca="false">IF(A145="","",IFERROR(_xlfn.MAXIFS('Risk Register'!$J:$J,'Risk Register'!$B:$B,A145,'Risk Register'!$V:$V,"&lt;&gt;Done"),0))</f>
        <v/>
      </c>
      <c r="Z145" s="15" t="str">
        <f aca="true">IF(A145="","",IF(LEFT(R145,10)="Prohibite","STOP - prohibited practice under Art. 5. ","")&amp;IF(OR(Q145="To assess",R145="To assess",Q145="",R145=""),"Classify role and risk class. ","")&amp;IF(AND(K145="Yes",O145="Yes",P145="Yes"),"Lethal trifecta: private data + untrusted input + external action - remove one leg. ","")&amp;IF(AND(LEFT(R145,9)="High-risk",S145="Not applicable",MID(R145,13,9)="Annex III"),"Pick the Annex III area. ","")&amp;IF(AND(OR(K145="Yes",LEFT(R145,9)="High-risk"),T145&lt;&gt;"Yes"),"Impact assessment outstanding. ","")&amp;IF(AND(M145="Decides automatically",U145&lt;&gt;"Yes"),"Automated decision without defined human oversight. ","")&amp;IF(AND(J145="Production",V145&lt;&gt;"Yes"),"Production system without full logging. ","")&amp;IF(AND(X145&lt;&gt;"",X145&lt;TODAY()),"Review overdue. ","")&amp;IF(B145="","Name the system. ",""))</f>
        <v/>
      </c>
    </row>
    <row r="146" customFormat="false" ht="15" hidden="false" customHeight="false" outlineLevel="0" collapsed="false">
      <c r="A146" s="12"/>
      <c r="B146" s="12"/>
      <c r="C146" s="12"/>
      <c r="D146" s="12"/>
      <c r="E146" s="12"/>
      <c r="F146" s="12"/>
      <c r="G146" s="12"/>
      <c r="H146" s="12"/>
      <c r="I146" s="12"/>
      <c r="J146" s="12"/>
      <c r="K146" s="12"/>
      <c r="L146" s="12"/>
      <c r="M146" s="12"/>
      <c r="N146" s="12"/>
      <c r="O146" s="12"/>
      <c r="P146" s="12"/>
      <c r="Q146" s="12"/>
      <c r="R146" s="12"/>
      <c r="S146" s="12"/>
      <c r="T146" s="12"/>
      <c r="U146" s="12"/>
      <c r="V146" s="12"/>
      <c r="W146" s="13"/>
      <c r="X146" s="14" t="str">
        <f aca="false">IF(W146="","",W146+182)</f>
        <v/>
      </c>
      <c r="Y146" s="15" t="str">
        <f aca="false">IF(A146="","",IFERROR(_xlfn.MAXIFS('Risk Register'!$J:$J,'Risk Register'!$B:$B,A146,'Risk Register'!$V:$V,"&lt;&gt;Done"),0))</f>
        <v/>
      </c>
      <c r="Z146" s="15" t="str">
        <f aca="true">IF(A146="","",IF(LEFT(R146,10)="Prohibite","STOP - prohibited practice under Art. 5. ","")&amp;IF(OR(Q146="To assess",R146="To assess",Q146="",R146=""),"Classify role and risk class. ","")&amp;IF(AND(K146="Yes",O146="Yes",P146="Yes"),"Lethal trifecta: private data + untrusted input + external action - remove one leg. ","")&amp;IF(AND(LEFT(R146,9)="High-risk",S146="Not applicable",MID(R146,13,9)="Annex III"),"Pick the Annex III area. ","")&amp;IF(AND(OR(K146="Yes",LEFT(R146,9)="High-risk"),T146&lt;&gt;"Yes"),"Impact assessment outstanding. ","")&amp;IF(AND(M146="Decides automatically",U146&lt;&gt;"Yes"),"Automated decision without defined human oversight. ","")&amp;IF(AND(J146="Production",V146&lt;&gt;"Yes"),"Production system without full logging. ","")&amp;IF(AND(X146&lt;&gt;"",X146&lt;TODAY()),"Review overdue. ","")&amp;IF(B146="","Name the system. ",""))</f>
        <v/>
      </c>
    </row>
    <row r="147" customFormat="false" ht="15" hidden="false" customHeight="false" outlineLevel="0" collapsed="false">
      <c r="A147" s="12"/>
      <c r="B147" s="12"/>
      <c r="C147" s="12"/>
      <c r="D147" s="12"/>
      <c r="E147" s="12"/>
      <c r="F147" s="12"/>
      <c r="G147" s="12"/>
      <c r="H147" s="12"/>
      <c r="I147" s="12"/>
      <c r="J147" s="12"/>
      <c r="K147" s="12"/>
      <c r="L147" s="12"/>
      <c r="M147" s="12"/>
      <c r="N147" s="12"/>
      <c r="O147" s="12"/>
      <c r="P147" s="12"/>
      <c r="Q147" s="12"/>
      <c r="R147" s="12"/>
      <c r="S147" s="12"/>
      <c r="T147" s="12"/>
      <c r="U147" s="12"/>
      <c r="V147" s="12"/>
      <c r="W147" s="13"/>
      <c r="X147" s="14" t="str">
        <f aca="false">IF(W147="","",W147+182)</f>
        <v/>
      </c>
      <c r="Y147" s="15" t="str">
        <f aca="false">IF(A147="","",IFERROR(_xlfn.MAXIFS('Risk Register'!$J:$J,'Risk Register'!$B:$B,A147,'Risk Register'!$V:$V,"&lt;&gt;Done"),0))</f>
        <v/>
      </c>
      <c r="Z147" s="15" t="str">
        <f aca="true">IF(A147="","",IF(LEFT(R147,10)="Prohibite","STOP - prohibited practice under Art. 5. ","")&amp;IF(OR(Q147="To assess",R147="To assess",Q147="",R147=""),"Classify role and risk class. ","")&amp;IF(AND(K147="Yes",O147="Yes",P147="Yes"),"Lethal trifecta: private data + untrusted input + external action - remove one leg. ","")&amp;IF(AND(LEFT(R147,9)="High-risk",S147="Not applicable",MID(R147,13,9)="Annex III"),"Pick the Annex III area. ","")&amp;IF(AND(OR(K147="Yes",LEFT(R147,9)="High-risk"),T147&lt;&gt;"Yes"),"Impact assessment outstanding. ","")&amp;IF(AND(M147="Decides automatically",U147&lt;&gt;"Yes"),"Automated decision without defined human oversight. ","")&amp;IF(AND(J147="Production",V147&lt;&gt;"Yes"),"Production system without full logging. ","")&amp;IF(AND(X147&lt;&gt;"",X147&lt;TODAY()),"Review overdue. ","")&amp;IF(B147="","Name the system. ",""))</f>
        <v/>
      </c>
    </row>
    <row r="148" customFormat="false" ht="15" hidden="false" customHeight="false" outlineLevel="0" collapsed="false">
      <c r="A148" s="12"/>
      <c r="B148" s="12"/>
      <c r="C148" s="12"/>
      <c r="D148" s="12"/>
      <c r="E148" s="12"/>
      <c r="F148" s="12"/>
      <c r="G148" s="12"/>
      <c r="H148" s="12"/>
      <c r="I148" s="12"/>
      <c r="J148" s="12"/>
      <c r="K148" s="12"/>
      <c r="L148" s="12"/>
      <c r="M148" s="12"/>
      <c r="N148" s="12"/>
      <c r="O148" s="12"/>
      <c r="P148" s="12"/>
      <c r="Q148" s="12"/>
      <c r="R148" s="12"/>
      <c r="S148" s="12"/>
      <c r="T148" s="12"/>
      <c r="U148" s="12"/>
      <c r="V148" s="12"/>
      <c r="W148" s="13"/>
      <c r="X148" s="14" t="str">
        <f aca="false">IF(W148="","",W148+182)</f>
        <v/>
      </c>
      <c r="Y148" s="15" t="str">
        <f aca="false">IF(A148="","",IFERROR(_xlfn.MAXIFS('Risk Register'!$J:$J,'Risk Register'!$B:$B,A148,'Risk Register'!$V:$V,"&lt;&gt;Done"),0))</f>
        <v/>
      </c>
      <c r="Z148" s="15" t="str">
        <f aca="true">IF(A148="","",IF(LEFT(R148,10)="Prohibite","STOP - prohibited practice under Art. 5. ","")&amp;IF(OR(Q148="To assess",R148="To assess",Q148="",R148=""),"Classify role and risk class. ","")&amp;IF(AND(K148="Yes",O148="Yes",P148="Yes"),"Lethal trifecta: private data + untrusted input + external action - remove one leg. ","")&amp;IF(AND(LEFT(R148,9)="High-risk",S148="Not applicable",MID(R148,13,9)="Annex III"),"Pick the Annex III area. ","")&amp;IF(AND(OR(K148="Yes",LEFT(R148,9)="High-risk"),T148&lt;&gt;"Yes"),"Impact assessment outstanding. ","")&amp;IF(AND(M148="Decides automatically",U148&lt;&gt;"Yes"),"Automated decision without defined human oversight. ","")&amp;IF(AND(J148="Production",V148&lt;&gt;"Yes"),"Production system without full logging. ","")&amp;IF(AND(X148&lt;&gt;"",X148&lt;TODAY()),"Review overdue. ","")&amp;IF(B148="","Name the system. ",""))</f>
        <v/>
      </c>
    </row>
    <row r="149" customFormat="false" ht="15" hidden="false" customHeight="false" outlineLevel="0" collapsed="false">
      <c r="A149" s="12"/>
      <c r="B149" s="12"/>
      <c r="C149" s="12"/>
      <c r="D149" s="12"/>
      <c r="E149" s="12"/>
      <c r="F149" s="12"/>
      <c r="G149" s="12"/>
      <c r="H149" s="12"/>
      <c r="I149" s="12"/>
      <c r="J149" s="12"/>
      <c r="K149" s="12"/>
      <c r="L149" s="12"/>
      <c r="M149" s="12"/>
      <c r="N149" s="12"/>
      <c r="O149" s="12"/>
      <c r="P149" s="12"/>
      <c r="Q149" s="12"/>
      <c r="R149" s="12"/>
      <c r="S149" s="12"/>
      <c r="T149" s="12"/>
      <c r="U149" s="12"/>
      <c r="V149" s="12"/>
      <c r="W149" s="13"/>
      <c r="X149" s="14" t="str">
        <f aca="false">IF(W149="","",W149+182)</f>
        <v/>
      </c>
      <c r="Y149" s="15" t="str">
        <f aca="false">IF(A149="","",IFERROR(_xlfn.MAXIFS('Risk Register'!$J:$J,'Risk Register'!$B:$B,A149,'Risk Register'!$V:$V,"&lt;&gt;Done"),0))</f>
        <v/>
      </c>
      <c r="Z149" s="15" t="str">
        <f aca="true">IF(A149="","",IF(LEFT(R149,10)="Prohibite","STOP - prohibited practice under Art. 5. ","")&amp;IF(OR(Q149="To assess",R149="To assess",Q149="",R149=""),"Classify role and risk class. ","")&amp;IF(AND(K149="Yes",O149="Yes",P149="Yes"),"Lethal trifecta: private data + untrusted input + external action - remove one leg. ","")&amp;IF(AND(LEFT(R149,9)="High-risk",S149="Not applicable",MID(R149,13,9)="Annex III"),"Pick the Annex III area. ","")&amp;IF(AND(OR(K149="Yes",LEFT(R149,9)="High-risk"),T149&lt;&gt;"Yes"),"Impact assessment outstanding. ","")&amp;IF(AND(M149="Decides automatically",U149&lt;&gt;"Yes"),"Automated decision without defined human oversight. ","")&amp;IF(AND(J149="Production",V149&lt;&gt;"Yes"),"Production system without full logging. ","")&amp;IF(AND(X149&lt;&gt;"",X149&lt;TODAY()),"Review overdue. ","")&amp;IF(B149="","Name the system. ",""))</f>
        <v/>
      </c>
    </row>
    <row r="150" customFormat="false" ht="15" hidden="false" customHeight="false" outlineLevel="0" collapsed="false">
      <c r="A150" s="12"/>
      <c r="B150" s="12"/>
      <c r="C150" s="12"/>
      <c r="D150" s="12"/>
      <c r="E150" s="12"/>
      <c r="F150" s="12"/>
      <c r="G150" s="12"/>
      <c r="H150" s="12"/>
      <c r="I150" s="12"/>
      <c r="J150" s="12"/>
      <c r="K150" s="12"/>
      <c r="L150" s="12"/>
      <c r="M150" s="12"/>
      <c r="N150" s="12"/>
      <c r="O150" s="12"/>
      <c r="P150" s="12"/>
      <c r="Q150" s="12"/>
      <c r="R150" s="12"/>
      <c r="S150" s="12"/>
      <c r="T150" s="12"/>
      <c r="U150" s="12"/>
      <c r="V150" s="12"/>
      <c r="W150" s="13"/>
      <c r="X150" s="14" t="str">
        <f aca="false">IF(W150="","",W150+182)</f>
        <v/>
      </c>
      <c r="Y150" s="15" t="str">
        <f aca="false">IF(A150="","",IFERROR(_xlfn.MAXIFS('Risk Register'!$J:$J,'Risk Register'!$B:$B,A150,'Risk Register'!$V:$V,"&lt;&gt;Done"),0))</f>
        <v/>
      </c>
      <c r="Z150" s="15" t="str">
        <f aca="true">IF(A150="","",IF(LEFT(R150,10)="Prohibite","STOP - prohibited practice under Art. 5. ","")&amp;IF(OR(Q150="To assess",R150="To assess",Q150="",R150=""),"Classify role and risk class. ","")&amp;IF(AND(K150="Yes",O150="Yes",P150="Yes"),"Lethal trifecta: private data + untrusted input + external action - remove one leg. ","")&amp;IF(AND(LEFT(R150,9)="High-risk",S150="Not applicable",MID(R150,13,9)="Annex III"),"Pick the Annex III area. ","")&amp;IF(AND(OR(K150="Yes",LEFT(R150,9)="High-risk"),T150&lt;&gt;"Yes"),"Impact assessment outstanding. ","")&amp;IF(AND(M150="Decides automatically",U150&lt;&gt;"Yes"),"Automated decision without defined human oversight. ","")&amp;IF(AND(J150="Production",V150&lt;&gt;"Yes"),"Production system without full logging. ","")&amp;IF(AND(X150&lt;&gt;"",X150&lt;TODAY()),"Review overdue. ","")&amp;IF(B150="","Name the system. ",""))</f>
        <v/>
      </c>
    </row>
    <row r="151" customFormat="false" ht="15" hidden="false" customHeight="false" outlineLevel="0" collapsed="false">
      <c r="A151" s="12"/>
      <c r="B151" s="12"/>
      <c r="C151" s="12"/>
      <c r="D151" s="12"/>
      <c r="E151" s="12"/>
      <c r="F151" s="12"/>
      <c r="G151" s="12"/>
      <c r="H151" s="12"/>
      <c r="I151" s="12"/>
      <c r="J151" s="12"/>
      <c r="K151" s="12"/>
      <c r="L151" s="12"/>
      <c r="M151" s="12"/>
      <c r="N151" s="12"/>
      <c r="O151" s="12"/>
      <c r="P151" s="12"/>
      <c r="Q151" s="12"/>
      <c r="R151" s="12"/>
      <c r="S151" s="12"/>
      <c r="T151" s="12"/>
      <c r="U151" s="12"/>
      <c r="V151" s="12"/>
      <c r="W151" s="13"/>
      <c r="X151" s="14" t="str">
        <f aca="false">IF(W151="","",W151+182)</f>
        <v/>
      </c>
      <c r="Y151" s="15" t="str">
        <f aca="false">IF(A151="","",IFERROR(_xlfn.MAXIFS('Risk Register'!$J:$J,'Risk Register'!$B:$B,A151,'Risk Register'!$V:$V,"&lt;&gt;Done"),0))</f>
        <v/>
      </c>
      <c r="Z151" s="15" t="str">
        <f aca="true">IF(A151="","",IF(LEFT(R151,10)="Prohibite","STOP - prohibited practice under Art. 5. ","")&amp;IF(OR(Q151="To assess",R151="To assess",Q151="",R151=""),"Classify role and risk class. ","")&amp;IF(AND(K151="Yes",O151="Yes",P151="Yes"),"Lethal trifecta: private data + untrusted input + external action - remove one leg. ","")&amp;IF(AND(LEFT(R151,9)="High-risk",S151="Not applicable",MID(R151,13,9)="Annex III"),"Pick the Annex III area. ","")&amp;IF(AND(OR(K151="Yes",LEFT(R151,9)="High-risk"),T151&lt;&gt;"Yes"),"Impact assessment outstanding. ","")&amp;IF(AND(M151="Decides automatically",U151&lt;&gt;"Yes"),"Automated decision without defined human oversight. ","")&amp;IF(AND(J151="Production",V151&lt;&gt;"Yes"),"Production system without full logging. ","")&amp;IF(AND(X151&lt;&gt;"",X151&lt;TODAY()),"Review overdue. ","")&amp;IF(B151="","Name the system. ",""))</f>
        <v/>
      </c>
    </row>
    <row r="152" customFormat="false" ht="15" hidden="false" customHeight="false" outlineLevel="0" collapsed="false">
      <c r="A152" s="12"/>
      <c r="B152" s="12"/>
      <c r="C152" s="12"/>
      <c r="D152" s="12"/>
      <c r="E152" s="12"/>
      <c r="F152" s="12"/>
      <c r="G152" s="12"/>
      <c r="H152" s="12"/>
      <c r="I152" s="12"/>
      <c r="J152" s="12"/>
      <c r="K152" s="12"/>
      <c r="L152" s="12"/>
      <c r="M152" s="12"/>
      <c r="N152" s="12"/>
      <c r="O152" s="12"/>
      <c r="P152" s="12"/>
      <c r="Q152" s="12"/>
      <c r="R152" s="12"/>
      <c r="S152" s="12"/>
      <c r="T152" s="12"/>
      <c r="U152" s="12"/>
      <c r="V152" s="12"/>
      <c r="W152" s="13"/>
      <c r="X152" s="14" t="str">
        <f aca="false">IF(W152="","",W152+182)</f>
        <v/>
      </c>
      <c r="Y152" s="15" t="str">
        <f aca="false">IF(A152="","",IFERROR(_xlfn.MAXIFS('Risk Register'!$J:$J,'Risk Register'!$B:$B,A152,'Risk Register'!$V:$V,"&lt;&gt;Done"),0))</f>
        <v/>
      </c>
      <c r="Z152" s="15" t="str">
        <f aca="true">IF(A152="","",IF(LEFT(R152,10)="Prohibite","STOP - prohibited practice under Art. 5. ","")&amp;IF(OR(Q152="To assess",R152="To assess",Q152="",R152=""),"Classify role and risk class. ","")&amp;IF(AND(K152="Yes",O152="Yes",P152="Yes"),"Lethal trifecta: private data + untrusted input + external action - remove one leg. ","")&amp;IF(AND(LEFT(R152,9)="High-risk",S152="Not applicable",MID(R152,13,9)="Annex III"),"Pick the Annex III area. ","")&amp;IF(AND(OR(K152="Yes",LEFT(R152,9)="High-risk"),T152&lt;&gt;"Yes"),"Impact assessment outstanding. ","")&amp;IF(AND(M152="Decides automatically",U152&lt;&gt;"Yes"),"Automated decision without defined human oversight. ","")&amp;IF(AND(J152="Production",V152&lt;&gt;"Yes"),"Production system without full logging. ","")&amp;IF(AND(X152&lt;&gt;"",X152&lt;TODAY()),"Review overdue. ","")&amp;IF(B152="","Name the system. ",""))</f>
        <v/>
      </c>
    </row>
    <row r="153" customFormat="false" ht="15" hidden="false" customHeight="false" outlineLevel="0" collapsed="false">
      <c r="A153" s="12"/>
      <c r="B153" s="12"/>
      <c r="C153" s="12"/>
      <c r="D153" s="12"/>
      <c r="E153" s="12"/>
      <c r="F153" s="12"/>
      <c r="G153" s="12"/>
      <c r="H153" s="12"/>
      <c r="I153" s="12"/>
      <c r="J153" s="12"/>
      <c r="K153" s="12"/>
      <c r="L153" s="12"/>
      <c r="M153" s="12"/>
      <c r="N153" s="12"/>
      <c r="O153" s="12"/>
      <c r="P153" s="12"/>
      <c r="Q153" s="12"/>
      <c r="R153" s="12"/>
      <c r="S153" s="12"/>
      <c r="T153" s="12"/>
      <c r="U153" s="12"/>
      <c r="V153" s="12"/>
      <c r="W153" s="13"/>
      <c r="X153" s="14" t="str">
        <f aca="false">IF(W153="","",W153+182)</f>
        <v/>
      </c>
      <c r="Y153" s="15" t="str">
        <f aca="false">IF(A153="","",IFERROR(_xlfn.MAXIFS('Risk Register'!$J:$J,'Risk Register'!$B:$B,A153,'Risk Register'!$V:$V,"&lt;&gt;Done"),0))</f>
        <v/>
      </c>
      <c r="Z153" s="15" t="str">
        <f aca="true">IF(A153="","",IF(LEFT(R153,10)="Prohibite","STOP - prohibited practice under Art. 5. ","")&amp;IF(OR(Q153="To assess",R153="To assess",Q153="",R153=""),"Classify role and risk class. ","")&amp;IF(AND(K153="Yes",O153="Yes",P153="Yes"),"Lethal trifecta: private data + untrusted input + external action - remove one leg. ","")&amp;IF(AND(LEFT(R153,9)="High-risk",S153="Not applicable",MID(R153,13,9)="Annex III"),"Pick the Annex III area. ","")&amp;IF(AND(OR(K153="Yes",LEFT(R153,9)="High-risk"),T153&lt;&gt;"Yes"),"Impact assessment outstanding. ","")&amp;IF(AND(M153="Decides automatically",U153&lt;&gt;"Yes"),"Automated decision without defined human oversight. ","")&amp;IF(AND(J153="Production",V153&lt;&gt;"Yes"),"Production system without full logging. ","")&amp;IF(AND(X153&lt;&gt;"",X153&lt;TODAY()),"Review overdue. ","")&amp;IF(B153="","Name the system. ",""))</f>
        <v/>
      </c>
    </row>
    <row r="154" customFormat="false" ht="15" hidden="false" customHeight="false" outlineLevel="0" collapsed="false">
      <c r="A154" s="12"/>
      <c r="B154" s="12"/>
      <c r="C154" s="12"/>
      <c r="D154" s="12"/>
      <c r="E154" s="12"/>
      <c r="F154" s="12"/>
      <c r="G154" s="12"/>
      <c r="H154" s="12"/>
      <c r="I154" s="12"/>
      <c r="J154" s="12"/>
      <c r="K154" s="12"/>
      <c r="L154" s="12"/>
      <c r="M154" s="12"/>
      <c r="N154" s="12"/>
      <c r="O154" s="12"/>
      <c r="P154" s="12"/>
      <c r="Q154" s="12"/>
      <c r="R154" s="12"/>
      <c r="S154" s="12"/>
      <c r="T154" s="12"/>
      <c r="U154" s="12"/>
      <c r="V154" s="12"/>
      <c r="W154" s="13"/>
      <c r="X154" s="14" t="str">
        <f aca="false">IF(W154="","",W154+182)</f>
        <v/>
      </c>
      <c r="Y154" s="15" t="str">
        <f aca="false">IF(A154="","",IFERROR(_xlfn.MAXIFS('Risk Register'!$J:$J,'Risk Register'!$B:$B,A154,'Risk Register'!$V:$V,"&lt;&gt;Done"),0))</f>
        <v/>
      </c>
      <c r="Z154" s="15" t="str">
        <f aca="true">IF(A154="","",IF(LEFT(R154,10)="Prohibite","STOP - prohibited practice under Art. 5. ","")&amp;IF(OR(Q154="To assess",R154="To assess",Q154="",R154=""),"Classify role and risk class. ","")&amp;IF(AND(K154="Yes",O154="Yes",P154="Yes"),"Lethal trifecta: private data + untrusted input + external action - remove one leg. ","")&amp;IF(AND(LEFT(R154,9)="High-risk",S154="Not applicable",MID(R154,13,9)="Annex III"),"Pick the Annex III area. ","")&amp;IF(AND(OR(K154="Yes",LEFT(R154,9)="High-risk"),T154&lt;&gt;"Yes"),"Impact assessment outstanding. ","")&amp;IF(AND(M154="Decides automatically",U154&lt;&gt;"Yes"),"Automated decision without defined human oversight. ","")&amp;IF(AND(J154="Production",V154&lt;&gt;"Yes"),"Production system without full logging. ","")&amp;IF(AND(X154&lt;&gt;"",X154&lt;TODAY()),"Review overdue. ","")&amp;IF(B154="","Name the system. ",""))</f>
        <v/>
      </c>
    </row>
    <row r="155" customFormat="false" ht="15" hidden="false" customHeight="false" outlineLevel="0" collapsed="false">
      <c r="A155" s="12"/>
      <c r="B155" s="12"/>
      <c r="C155" s="12"/>
      <c r="D155" s="12"/>
      <c r="E155" s="12"/>
      <c r="F155" s="12"/>
      <c r="G155" s="12"/>
      <c r="H155" s="12"/>
      <c r="I155" s="12"/>
      <c r="J155" s="12"/>
      <c r="K155" s="12"/>
      <c r="L155" s="12"/>
      <c r="M155" s="12"/>
      <c r="N155" s="12"/>
      <c r="O155" s="12"/>
      <c r="P155" s="12"/>
      <c r="Q155" s="12"/>
      <c r="R155" s="12"/>
      <c r="S155" s="12"/>
      <c r="T155" s="12"/>
      <c r="U155" s="12"/>
      <c r="V155" s="12"/>
      <c r="W155" s="13"/>
      <c r="X155" s="14" t="str">
        <f aca="false">IF(W155="","",W155+182)</f>
        <v/>
      </c>
      <c r="Y155" s="15" t="str">
        <f aca="false">IF(A155="","",IFERROR(_xlfn.MAXIFS('Risk Register'!$J:$J,'Risk Register'!$B:$B,A155,'Risk Register'!$V:$V,"&lt;&gt;Done"),0))</f>
        <v/>
      </c>
      <c r="Z155" s="15" t="str">
        <f aca="true">IF(A155="","",IF(LEFT(R155,10)="Prohibite","STOP - prohibited practice under Art. 5. ","")&amp;IF(OR(Q155="To assess",R155="To assess",Q155="",R155=""),"Classify role and risk class. ","")&amp;IF(AND(K155="Yes",O155="Yes",P155="Yes"),"Lethal trifecta: private data + untrusted input + external action - remove one leg. ","")&amp;IF(AND(LEFT(R155,9)="High-risk",S155="Not applicable",MID(R155,13,9)="Annex III"),"Pick the Annex III area. ","")&amp;IF(AND(OR(K155="Yes",LEFT(R155,9)="High-risk"),T155&lt;&gt;"Yes"),"Impact assessment outstanding. ","")&amp;IF(AND(M155="Decides automatically",U155&lt;&gt;"Yes"),"Automated decision without defined human oversight. ","")&amp;IF(AND(J155="Production",V155&lt;&gt;"Yes"),"Production system without full logging. ","")&amp;IF(AND(X155&lt;&gt;"",X155&lt;TODAY()),"Review overdue. ","")&amp;IF(B155="","Name the system. ",""))</f>
        <v/>
      </c>
    </row>
  </sheetData>
  <autoFilter ref="A5:Z155"/>
  <conditionalFormatting sqref="Z6:Z155">
    <cfRule type="expression" priority="2" aboveAverage="0" equalAverage="0" bottom="0" percent="0" rank="0" text="" dxfId="8">
      <formula>LEN(Z6)&gt;0</formula>
    </cfRule>
  </conditionalFormatting>
  <dataValidations count="14">
    <dataValidation allowBlank="true" error="Pick a value from the list" errorStyle="stop" errorTitle="Not in list" operator="between" showDropDown="false" showErrorMessage="false" showInputMessage="false" sqref="G6:G155" type="list">
      <formula1>Lists!$C$6:$C$13</formula1>
      <formula2>0</formula2>
    </dataValidation>
    <dataValidation allowBlank="true" error="Pick a value from the list" errorStyle="stop" errorTitle="Not in list" operator="between" showDropDown="false" showErrorMessage="false" showInputMessage="false" sqref="H6:H155" type="list">
      <formula1>Lists!$D$6:$D$11</formula1>
      <formula2>0</formula2>
    </dataValidation>
    <dataValidation allowBlank="true" error="Pick a value from the list" errorStyle="stop" errorTitle="Not in list" operator="between" showDropDown="false" showErrorMessage="false" showInputMessage="false" sqref="J6:J155" type="list">
      <formula1>Lists!$E$6:$E$9</formula1>
      <formula2>0</formula2>
    </dataValidation>
    <dataValidation allowBlank="true" error="Pick a value from the list" errorStyle="stop" errorTitle="Not in list" operator="between" showDropDown="false" showErrorMessage="false" showInputMessage="false" sqref="K6:K155" type="list">
      <formula1>Lists!$A$6:$A$7</formula1>
      <formula2>0</formula2>
    </dataValidation>
    <dataValidation allowBlank="true" error="Pick a value from the list" errorStyle="stop" errorTitle="Not in list" operator="between" showDropDown="false" showErrorMessage="false" showInputMessage="false" sqref="L6:L155" type="list">
      <formula1>Lists!$A$6:$A$7</formula1>
      <formula2>0</formula2>
    </dataValidation>
    <dataValidation allowBlank="true" error="Pick a value from the list" errorStyle="stop" errorTitle="Not in list" operator="between" showDropDown="false" showErrorMessage="false" showInputMessage="false" sqref="M6:M155" type="list">
      <formula1>Lists!$F$6:$F$8</formula1>
      <formula2>0</formula2>
    </dataValidation>
    <dataValidation allowBlank="true" error="Pick a value from the list" errorStyle="stop" errorTitle="Not in list" operator="between" showDropDown="false" showErrorMessage="false" showInputMessage="false" sqref="O6:O155" type="list">
      <formula1>Lists!$A$6:$A$7</formula1>
      <formula2>0</formula2>
    </dataValidation>
    <dataValidation allowBlank="true" error="Pick a value from the list" errorStyle="stop" errorTitle="Not in list" operator="between" showDropDown="false" showErrorMessage="false" showInputMessage="false" sqref="P6:P155" type="list">
      <formula1>Lists!$A$6:$A$7</formula1>
      <formula2>0</formula2>
    </dataValidation>
    <dataValidation allowBlank="true" error="Pick a value from the list" errorStyle="stop" errorTitle="Not in list" operator="between" showDropDown="false" showErrorMessage="false" showInputMessage="false" sqref="Q6:Q155" type="list">
      <formula1>Lists!$G$6:$G$13</formula1>
      <formula2>0</formula2>
    </dataValidation>
    <dataValidation allowBlank="true" error="Pick a value from the list" errorStyle="stop" errorTitle="Not in list" operator="between" showDropDown="false" showErrorMessage="false" showInputMessage="false" sqref="R6:R155" type="list">
      <formula1>Lists!$H$6:$H$11</formula1>
      <formula2>0</formula2>
    </dataValidation>
    <dataValidation allowBlank="true" error="Pick a value from the list" errorStyle="stop" errorTitle="Not in list" operator="between" showDropDown="false" showErrorMessage="false" showInputMessage="false" sqref="S6:S155" type="list">
      <formula1>Lists!$I$6:$I$14</formula1>
      <formula2>0</formula2>
    </dataValidation>
    <dataValidation allowBlank="true" error="Pick a value from the list" errorStyle="stop" errorTitle="Not in list" operator="between" showDropDown="false" showErrorMessage="false" showInputMessage="false" sqref="T6:T155" type="list">
      <formula1>Lists!$J$6:$J$8</formula1>
      <formula2>0</formula2>
    </dataValidation>
    <dataValidation allowBlank="true" error="Pick a value from the list" errorStyle="stop" errorTitle="Not in list" operator="between" showDropDown="false" showErrorMessage="false" showInputMessage="false" sqref="U6:U155" type="list">
      <formula1>Lists!$B$6:$B$8</formula1>
      <formula2>0</formula2>
    </dataValidation>
    <dataValidation allowBlank="true" error="Pick a value from the list" errorStyle="stop" errorTitle="Not in list" operator="between" showDropDown="false" showErrorMessage="false" showInputMessage="false" sqref="V6:V155" type="list">
      <formula1>Lists!$B$6:$B$8</formula1>
      <formula2>0</formula2>
    </dataValidation>
  </dataValidation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1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24"/>
    <col collapsed="false" customWidth="true" hidden="false" outlineLevel="0" max="4" min="4" style="0" width="28"/>
    <col collapsed="false" customWidth="true" hidden="false" outlineLevel="0" max="7" min="5" style="0" width="30"/>
    <col collapsed="false" customWidth="true" hidden="false" outlineLevel="0" max="10" min="8" style="0" width="10"/>
    <col collapsed="false" customWidth="true" hidden="false" outlineLevel="0" max="11" min="11" style="0" width="11"/>
    <col collapsed="false" customWidth="true" hidden="false" outlineLevel="0" max="12" min="12" style="0" width="30"/>
    <col collapsed="false" customWidth="true" hidden="false" outlineLevel="0" max="13" min="13" style="0" width="28"/>
    <col collapsed="false" customWidth="true" hidden="false" outlineLevel="0" max="16" min="14" style="0" width="10"/>
    <col collapsed="false" customWidth="true" hidden="false" outlineLevel="0" max="17" min="17" style="0" width="11"/>
    <col collapsed="false" customWidth="true" hidden="false" outlineLevel="0" max="18" min="18" style="0" width="12"/>
    <col collapsed="false" customWidth="true" hidden="false" outlineLevel="0" max="19" min="19" style="0" width="32"/>
    <col collapsed="false" customWidth="true" hidden="false" outlineLevel="0" max="20" min="20" style="0" width="16"/>
    <col collapsed="false" customWidth="true" hidden="false" outlineLevel="0" max="21" min="21" style="0" width="13"/>
    <col collapsed="false" customWidth="true" hidden="false" outlineLevel="0" max="22" min="22" style="0" width="12"/>
    <col collapsed="false" customWidth="true" hidden="false" outlineLevel="0" max="23" min="23" style="0" width="22"/>
    <col collapsed="false" customWidth="true" hidden="false" outlineLevel="0" max="24" min="24" style="0" width="10"/>
  </cols>
  <sheetData>
    <row r="1" customFormat="false" ht="48" hidden="false" customHeight="true" outlineLevel="0" collapsed="false">
      <c r="B1" s="1" t="s">
        <v>82</v>
      </c>
    </row>
    <row r="2" customFormat="false" ht="18" hidden="false" customHeight="true" outlineLevel="0" collapsed="false">
      <c r="B2" s="2" t="s">
        <v>1</v>
      </c>
    </row>
    <row r="3" customFormat="false" ht="3.75" hidden="false" customHeight="true" outlineLevel="0" collapsed="false">
      <c r="A3" s="3"/>
      <c r="B3" s="3"/>
      <c r="C3" s="3"/>
      <c r="D3" s="3"/>
      <c r="E3" s="3"/>
      <c r="F3" s="3"/>
      <c r="G3" s="3"/>
      <c r="H3" s="3"/>
      <c r="I3" s="3"/>
      <c r="J3" s="3"/>
      <c r="K3" s="3"/>
      <c r="L3" s="3"/>
      <c r="M3" s="3"/>
      <c r="N3" s="3"/>
      <c r="O3" s="3"/>
      <c r="P3" s="3"/>
      <c r="Q3" s="3"/>
      <c r="R3" s="3"/>
      <c r="S3" s="3"/>
      <c r="T3" s="3"/>
      <c r="U3" s="3"/>
      <c r="V3" s="3"/>
      <c r="W3" s="3"/>
      <c r="X3" s="3"/>
    </row>
    <row r="5" customFormat="false" ht="57.75" hidden="false" customHeight="true" outlineLevel="0" collapsed="false">
      <c r="A5" s="7" t="s">
        <v>83</v>
      </c>
      <c r="B5" s="7" t="s">
        <v>84</v>
      </c>
      <c r="C5" s="7" t="s">
        <v>38</v>
      </c>
      <c r="D5" s="7" t="s">
        <v>85</v>
      </c>
      <c r="E5" s="7" t="s">
        <v>86</v>
      </c>
      <c r="F5" s="7" t="s">
        <v>87</v>
      </c>
      <c r="G5" s="7" t="s">
        <v>88</v>
      </c>
      <c r="H5" s="7" t="s">
        <v>89</v>
      </c>
      <c r="I5" s="7" t="s">
        <v>90</v>
      </c>
      <c r="J5" s="7" t="s">
        <v>91</v>
      </c>
      <c r="K5" s="7" t="s">
        <v>92</v>
      </c>
      <c r="L5" s="7" t="s">
        <v>93</v>
      </c>
      <c r="M5" s="7" t="s">
        <v>94</v>
      </c>
      <c r="N5" s="7" t="s">
        <v>95</v>
      </c>
      <c r="O5" s="7" t="s">
        <v>96</v>
      </c>
      <c r="P5" s="7" t="s">
        <v>97</v>
      </c>
      <c r="Q5" s="7" t="s">
        <v>98</v>
      </c>
      <c r="R5" s="7" t="s">
        <v>99</v>
      </c>
      <c r="S5" s="7" t="s">
        <v>100</v>
      </c>
      <c r="T5" s="7" t="s">
        <v>101</v>
      </c>
      <c r="U5" s="7" t="s">
        <v>102</v>
      </c>
      <c r="V5" s="7" t="s">
        <v>46</v>
      </c>
      <c r="W5" s="7" t="s">
        <v>103</v>
      </c>
      <c r="X5" s="7" t="s">
        <v>104</v>
      </c>
    </row>
    <row r="6" customFormat="false" ht="32.8" hidden="false" customHeight="false" outlineLevel="0" collapsed="false">
      <c r="A6" s="12" t="s">
        <v>105</v>
      </c>
      <c r="B6" s="12" t="s">
        <v>63</v>
      </c>
      <c r="C6" s="15" t="str">
        <f aca="false">IF(B6="","",IFERROR(INDEX('AI Inventory'!$B:$B,MATCH(B6,'AI Inventory'!$A:$A,0)),"ID not in inventory"))</f>
        <v>Customer support assistant</v>
      </c>
      <c r="D6" s="12" t="s">
        <v>106</v>
      </c>
      <c r="E6" s="12" t="s">
        <v>107</v>
      </c>
      <c r="F6" s="12" t="s">
        <v>108</v>
      </c>
      <c r="G6" s="12" t="s">
        <v>109</v>
      </c>
      <c r="H6" s="12" t="s">
        <v>110</v>
      </c>
      <c r="I6" s="12" t="s">
        <v>111</v>
      </c>
      <c r="J6" s="15" t="n">
        <f aca="false">IF(OR(H6="",I6=""),"",VALUE(H6)*VALUE(I6))</f>
        <v>15</v>
      </c>
      <c r="K6" s="15" t="str">
        <f aca="false">IF(J6="","",IF(J6&gt;=15,"High",IF(J6&gt;=8,"Medium","Low")))</f>
        <v>High</v>
      </c>
      <c r="L6" s="12" t="s">
        <v>112</v>
      </c>
      <c r="M6" s="12" t="s">
        <v>113</v>
      </c>
      <c r="N6" s="12" t="s">
        <v>114</v>
      </c>
      <c r="O6" s="12" t="s">
        <v>115</v>
      </c>
      <c r="P6" s="15" t="n">
        <f aca="false">IF(OR(N6="",O6=""),"",VALUE(N6)*VALUE(O6))</f>
        <v>8</v>
      </c>
      <c r="Q6" s="15" t="str">
        <f aca="false">IF(P6="","",IF(P6&gt;=15,"High",IF(P6&gt;=8,"Medium","Low")))</f>
        <v>Medium</v>
      </c>
      <c r="R6" s="12" t="s">
        <v>116</v>
      </c>
      <c r="S6" s="12" t="s">
        <v>117</v>
      </c>
      <c r="T6" s="12" t="s">
        <v>66</v>
      </c>
      <c r="U6" s="13" t="n">
        <v>46371</v>
      </c>
      <c r="V6" s="12" t="s">
        <v>80</v>
      </c>
      <c r="W6" s="12"/>
      <c r="X6" s="15" t="str">
        <f aca="true">IF(OR(U6="",V6="Done"),"",IF(U6&lt;TODAY(),"OVERDUE",""))</f>
        <v/>
      </c>
    </row>
    <row r="7" customFormat="false" ht="15" hidden="false" customHeight="false" outlineLevel="0" collapsed="false">
      <c r="A7" s="12"/>
      <c r="B7" s="12"/>
      <c r="C7" s="15" t="str">
        <f aca="false">IF(B7="","",IFERROR(INDEX('AI Inventory'!$B:$B,MATCH(B7,'AI Inventory'!$A:$A,0)),"ID not in inventory"))</f>
        <v/>
      </c>
      <c r="D7" s="12"/>
      <c r="E7" s="12"/>
      <c r="F7" s="12"/>
      <c r="G7" s="12"/>
      <c r="H7" s="12"/>
      <c r="I7" s="12"/>
      <c r="J7" s="15" t="str">
        <f aca="false">IF(OR(H7="",I7=""),"",VALUE(H7)*VALUE(I7))</f>
        <v/>
      </c>
      <c r="K7" s="15" t="str">
        <f aca="false">IF(J7="","",IF(J7&gt;=15,"High",IF(J7&gt;=8,"Medium","Low")))</f>
        <v/>
      </c>
      <c r="L7" s="12"/>
      <c r="M7" s="12"/>
      <c r="N7" s="12"/>
      <c r="O7" s="12"/>
      <c r="P7" s="15" t="str">
        <f aca="false">IF(OR(N7="",O7=""),"",VALUE(N7)*VALUE(O7))</f>
        <v/>
      </c>
      <c r="Q7" s="15" t="str">
        <f aca="false">IF(P7="","",IF(P7&gt;=15,"High",IF(P7&gt;=8,"Medium","Low")))</f>
        <v/>
      </c>
      <c r="R7" s="12"/>
      <c r="S7" s="12"/>
      <c r="T7" s="12"/>
      <c r="U7" s="13"/>
      <c r="V7" s="12"/>
      <c r="W7" s="12"/>
      <c r="X7" s="15" t="str">
        <f aca="true">IF(OR(U7="",V7="Done"),"",IF(U7&lt;TODAY(),"OVERDUE",""))</f>
        <v/>
      </c>
    </row>
    <row r="8" customFormat="false" ht="15" hidden="false" customHeight="false" outlineLevel="0" collapsed="false">
      <c r="A8" s="12"/>
      <c r="B8" s="12"/>
      <c r="C8" s="15" t="str">
        <f aca="false">IF(B8="","",IFERROR(INDEX('AI Inventory'!$B:$B,MATCH(B8,'AI Inventory'!$A:$A,0)),"ID not in inventory"))</f>
        <v/>
      </c>
      <c r="D8" s="12"/>
      <c r="E8" s="12"/>
      <c r="F8" s="12"/>
      <c r="G8" s="12"/>
      <c r="H8" s="12"/>
      <c r="I8" s="12"/>
      <c r="J8" s="15" t="str">
        <f aca="false">IF(OR(H8="",I8=""),"",VALUE(H8)*VALUE(I8))</f>
        <v/>
      </c>
      <c r="K8" s="15" t="str">
        <f aca="false">IF(J8="","",IF(J8&gt;=15,"High",IF(J8&gt;=8,"Medium","Low")))</f>
        <v/>
      </c>
      <c r="L8" s="12"/>
      <c r="M8" s="12"/>
      <c r="N8" s="12"/>
      <c r="O8" s="12"/>
      <c r="P8" s="15" t="str">
        <f aca="false">IF(OR(N8="",O8=""),"",VALUE(N8)*VALUE(O8))</f>
        <v/>
      </c>
      <c r="Q8" s="15" t="str">
        <f aca="false">IF(P8="","",IF(P8&gt;=15,"High",IF(P8&gt;=8,"Medium","Low")))</f>
        <v/>
      </c>
      <c r="R8" s="12"/>
      <c r="S8" s="12"/>
      <c r="T8" s="12"/>
      <c r="U8" s="13"/>
      <c r="V8" s="12"/>
      <c r="W8" s="12"/>
      <c r="X8" s="15" t="str">
        <f aca="true">IF(OR(U8="",V8="Done"),"",IF(U8&lt;TODAY(),"OVERDUE",""))</f>
        <v/>
      </c>
    </row>
    <row r="9" customFormat="false" ht="15" hidden="false" customHeight="false" outlineLevel="0" collapsed="false">
      <c r="A9" s="12"/>
      <c r="B9" s="12"/>
      <c r="C9" s="15" t="str">
        <f aca="false">IF(B9="","",IFERROR(INDEX('AI Inventory'!$B:$B,MATCH(B9,'AI Inventory'!$A:$A,0)),"ID not in inventory"))</f>
        <v/>
      </c>
      <c r="D9" s="12"/>
      <c r="E9" s="12"/>
      <c r="F9" s="12"/>
      <c r="G9" s="12"/>
      <c r="H9" s="12"/>
      <c r="I9" s="12"/>
      <c r="J9" s="15" t="str">
        <f aca="false">IF(OR(H9="",I9=""),"",VALUE(H9)*VALUE(I9))</f>
        <v/>
      </c>
      <c r="K9" s="15" t="str">
        <f aca="false">IF(J9="","",IF(J9&gt;=15,"High",IF(J9&gt;=8,"Medium","Low")))</f>
        <v/>
      </c>
      <c r="L9" s="12"/>
      <c r="M9" s="12"/>
      <c r="N9" s="12"/>
      <c r="O9" s="12"/>
      <c r="P9" s="15" t="str">
        <f aca="false">IF(OR(N9="",O9=""),"",VALUE(N9)*VALUE(O9))</f>
        <v/>
      </c>
      <c r="Q9" s="15" t="str">
        <f aca="false">IF(P9="","",IF(P9&gt;=15,"High",IF(P9&gt;=8,"Medium","Low")))</f>
        <v/>
      </c>
      <c r="R9" s="12"/>
      <c r="S9" s="12"/>
      <c r="T9" s="12"/>
      <c r="U9" s="13"/>
      <c r="V9" s="12"/>
      <c r="W9" s="12"/>
      <c r="X9" s="15" t="str">
        <f aca="true">IF(OR(U9="",V9="Done"),"",IF(U9&lt;TODAY(),"OVERDUE",""))</f>
        <v/>
      </c>
    </row>
    <row r="10" customFormat="false" ht="15" hidden="false" customHeight="false" outlineLevel="0" collapsed="false">
      <c r="A10" s="12"/>
      <c r="B10" s="12"/>
      <c r="C10" s="15" t="str">
        <f aca="false">IF(B10="","",IFERROR(INDEX('AI Inventory'!$B:$B,MATCH(B10,'AI Inventory'!$A:$A,0)),"ID not in inventory"))</f>
        <v/>
      </c>
      <c r="D10" s="12"/>
      <c r="E10" s="12"/>
      <c r="F10" s="12"/>
      <c r="G10" s="12"/>
      <c r="H10" s="12"/>
      <c r="I10" s="12"/>
      <c r="J10" s="15" t="str">
        <f aca="false">IF(OR(H10="",I10=""),"",VALUE(H10)*VALUE(I10))</f>
        <v/>
      </c>
      <c r="K10" s="15" t="str">
        <f aca="false">IF(J10="","",IF(J10&gt;=15,"High",IF(J10&gt;=8,"Medium","Low")))</f>
        <v/>
      </c>
      <c r="L10" s="12"/>
      <c r="M10" s="12"/>
      <c r="N10" s="12"/>
      <c r="O10" s="12"/>
      <c r="P10" s="15" t="str">
        <f aca="false">IF(OR(N10="",O10=""),"",VALUE(N10)*VALUE(O10))</f>
        <v/>
      </c>
      <c r="Q10" s="15" t="str">
        <f aca="false">IF(P10="","",IF(P10&gt;=15,"High",IF(P10&gt;=8,"Medium","Low")))</f>
        <v/>
      </c>
      <c r="R10" s="12"/>
      <c r="S10" s="12"/>
      <c r="T10" s="12"/>
      <c r="U10" s="13"/>
      <c r="V10" s="12"/>
      <c r="W10" s="12"/>
      <c r="X10" s="15" t="str">
        <f aca="true">IF(OR(U10="",V10="Done"),"",IF(U10&lt;TODAY(),"OVERDUE",""))</f>
        <v/>
      </c>
    </row>
    <row r="11" customFormat="false" ht="15" hidden="false" customHeight="false" outlineLevel="0" collapsed="false">
      <c r="A11" s="12"/>
      <c r="B11" s="12"/>
      <c r="C11" s="15" t="str">
        <f aca="false">IF(B11="","",IFERROR(INDEX('AI Inventory'!$B:$B,MATCH(B11,'AI Inventory'!$A:$A,0)),"ID not in inventory"))</f>
        <v/>
      </c>
      <c r="D11" s="12"/>
      <c r="E11" s="12"/>
      <c r="F11" s="12"/>
      <c r="G11" s="12"/>
      <c r="H11" s="12"/>
      <c r="I11" s="12"/>
      <c r="J11" s="15" t="str">
        <f aca="false">IF(OR(H11="",I11=""),"",VALUE(H11)*VALUE(I11))</f>
        <v/>
      </c>
      <c r="K11" s="15" t="str">
        <f aca="false">IF(J11="","",IF(J11&gt;=15,"High",IF(J11&gt;=8,"Medium","Low")))</f>
        <v/>
      </c>
      <c r="L11" s="12"/>
      <c r="M11" s="12"/>
      <c r="N11" s="12"/>
      <c r="O11" s="12"/>
      <c r="P11" s="15" t="str">
        <f aca="false">IF(OR(N11="",O11=""),"",VALUE(N11)*VALUE(O11))</f>
        <v/>
      </c>
      <c r="Q11" s="15" t="str">
        <f aca="false">IF(P11="","",IF(P11&gt;=15,"High",IF(P11&gt;=8,"Medium","Low")))</f>
        <v/>
      </c>
      <c r="R11" s="12"/>
      <c r="S11" s="12"/>
      <c r="T11" s="12"/>
      <c r="U11" s="13"/>
      <c r="V11" s="12"/>
      <c r="W11" s="12"/>
      <c r="X11" s="15" t="str">
        <f aca="true">IF(OR(U11="",V11="Done"),"",IF(U11&lt;TODAY(),"OVERDUE",""))</f>
        <v/>
      </c>
    </row>
    <row r="12" customFormat="false" ht="15" hidden="false" customHeight="false" outlineLevel="0" collapsed="false">
      <c r="A12" s="12"/>
      <c r="B12" s="12"/>
      <c r="C12" s="15" t="str">
        <f aca="false">IF(B12="","",IFERROR(INDEX('AI Inventory'!$B:$B,MATCH(B12,'AI Inventory'!$A:$A,0)),"ID not in inventory"))</f>
        <v/>
      </c>
      <c r="D12" s="12"/>
      <c r="E12" s="12"/>
      <c r="F12" s="12"/>
      <c r="G12" s="12"/>
      <c r="H12" s="12"/>
      <c r="I12" s="12"/>
      <c r="J12" s="15" t="str">
        <f aca="false">IF(OR(H12="",I12=""),"",VALUE(H12)*VALUE(I12))</f>
        <v/>
      </c>
      <c r="K12" s="15" t="str">
        <f aca="false">IF(J12="","",IF(J12&gt;=15,"High",IF(J12&gt;=8,"Medium","Low")))</f>
        <v/>
      </c>
      <c r="L12" s="12"/>
      <c r="M12" s="12"/>
      <c r="N12" s="12"/>
      <c r="O12" s="12"/>
      <c r="P12" s="15" t="str">
        <f aca="false">IF(OR(N12="",O12=""),"",VALUE(N12)*VALUE(O12))</f>
        <v/>
      </c>
      <c r="Q12" s="15" t="str">
        <f aca="false">IF(P12="","",IF(P12&gt;=15,"High",IF(P12&gt;=8,"Medium","Low")))</f>
        <v/>
      </c>
      <c r="R12" s="12"/>
      <c r="S12" s="12"/>
      <c r="T12" s="12"/>
      <c r="U12" s="13"/>
      <c r="V12" s="12"/>
      <c r="W12" s="12"/>
      <c r="X12" s="15" t="str">
        <f aca="true">IF(OR(U12="",V12="Done"),"",IF(U12&lt;TODAY(),"OVERDUE",""))</f>
        <v/>
      </c>
    </row>
    <row r="13" customFormat="false" ht="15" hidden="false" customHeight="false" outlineLevel="0" collapsed="false">
      <c r="A13" s="12"/>
      <c r="B13" s="12"/>
      <c r="C13" s="15" t="str">
        <f aca="false">IF(B13="","",IFERROR(INDEX('AI Inventory'!$B:$B,MATCH(B13,'AI Inventory'!$A:$A,0)),"ID not in inventory"))</f>
        <v/>
      </c>
      <c r="D13" s="12"/>
      <c r="E13" s="12"/>
      <c r="F13" s="12"/>
      <c r="G13" s="12"/>
      <c r="H13" s="12"/>
      <c r="I13" s="12"/>
      <c r="J13" s="15" t="str">
        <f aca="false">IF(OR(H13="",I13=""),"",VALUE(H13)*VALUE(I13))</f>
        <v/>
      </c>
      <c r="K13" s="15" t="str">
        <f aca="false">IF(J13="","",IF(J13&gt;=15,"High",IF(J13&gt;=8,"Medium","Low")))</f>
        <v/>
      </c>
      <c r="L13" s="12"/>
      <c r="M13" s="12"/>
      <c r="N13" s="12"/>
      <c r="O13" s="12"/>
      <c r="P13" s="15" t="str">
        <f aca="false">IF(OR(N13="",O13=""),"",VALUE(N13)*VALUE(O13))</f>
        <v/>
      </c>
      <c r="Q13" s="15" t="str">
        <f aca="false">IF(P13="","",IF(P13&gt;=15,"High",IF(P13&gt;=8,"Medium","Low")))</f>
        <v/>
      </c>
      <c r="R13" s="12"/>
      <c r="S13" s="12"/>
      <c r="T13" s="12"/>
      <c r="U13" s="13"/>
      <c r="V13" s="12"/>
      <c r="W13" s="12"/>
      <c r="X13" s="15" t="str">
        <f aca="true">IF(OR(U13="",V13="Done"),"",IF(U13&lt;TODAY(),"OVERDUE",""))</f>
        <v/>
      </c>
    </row>
    <row r="14" customFormat="false" ht="15" hidden="false" customHeight="false" outlineLevel="0" collapsed="false">
      <c r="A14" s="12"/>
      <c r="B14" s="12"/>
      <c r="C14" s="15" t="str">
        <f aca="false">IF(B14="","",IFERROR(INDEX('AI Inventory'!$B:$B,MATCH(B14,'AI Inventory'!$A:$A,0)),"ID not in inventory"))</f>
        <v/>
      </c>
      <c r="D14" s="12"/>
      <c r="E14" s="12"/>
      <c r="F14" s="12"/>
      <c r="G14" s="12"/>
      <c r="H14" s="12"/>
      <c r="I14" s="12"/>
      <c r="J14" s="15" t="str">
        <f aca="false">IF(OR(H14="",I14=""),"",VALUE(H14)*VALUE(I14))</f>
        <v/>
      </c>
      <c r="K14" s="15" t="str">
        <f aca="false">IF(J14="","",IF(J14&gt;=15,"High",IF(J14&gt;=8,"Medium","Low")))</f>
        <v/>
      </c>
      <c r="L14" s="12"/>
      <c r="M14" s="12"/>
      <c r="N14" s="12"/>
      <c r="O14" s="12"/>
      <c r="P14" s="15" t="str">
        <f aca="false">IF(OR(N14="",O14=""),"",VALUE(N14)*VALUE(O14))</f>
        <v/>
      </c>
      <c r="Q14" s="15" t="str">
        <f aca="false">IF(P14="","",IF(P14&gt;=15,"High",IF(P14&gt;=8,"Medium","Low")))</f>
        <v/>
      </c>
      <c r="R14" s="12"/>
      <c r="S14" s="12"/>
      <c r="T14" s="12"/>
      <c r="U14" s="13"/>
      <c r="V14" s="12"/>
      <c r="W14" s="12"/>
      <c r="X14" s="15" t="str">
        <f aca="true">IF(OR(U14="",V14="Done"),"",IF(U14&lt;TODAY(),"OVERDUE",""))</f>
        <v/>
      </c>
    </row>
    <row r="15" customFormat="false" ht="15" hidden="false" customHeight="false" outlineLevel="0" collapsed="false">
      <c r="A15" s="12"/>
      <c r="B15" s="12"/>
      <c r="C15" s="15" t="str">
        <f aca="false">IF(B15="","",IFERROR(INDEX('AI Inventory'!$B:$B,MATCH(B15,'AI Inventory'!$A:$A,0)),"ID not in inventory"))</f>
        <v/>
      </c>
      <c r="D15" s="12"/>
      <c r="E15" s="12"/>
      <c r="F15" s="12"/>
      <c r="G15" s="12"/>
      <c r="H15" s="12"/>
      <c r="I15" s="12"/>
      <c r="J15" s="15" t="str">
        <f aca="false">IF(OR(H15="",I15=""),"",VALUE(H15)*VALUE(I15))</f>
        <v/>
      </c>
      <c r="K15" s="15" t="str">
        <f aca="false">IF(J15="","",IF(J15&gt;=15,"High",IF(J15&gt;=8,"Medium","Low")))</f>
        <v/>
      </c>
      <c r="L15" s="12"/>
      <c r="M15" s="12"/>
      <c r="N15" s="12"/>
      <c r="O15" s="12"/>
      <c r="P15" s="15" t="str">
        <f aca="false">IF(OR(N15="",O15=""),"",VALUE(N15)*VALUE(O15))</f>
        <v/>
      </c>
      <c r="Q15" s="15" t="str">
        <f aca="false">IF(P15="","",IF(P15&gt;=15,"High",IF(P15&gt;=8,"Medium","Low")))</f>
        <v/>
      </c>
      <c r="R15" s="12"/>
      <c r="S15" s="12"/>
      <c r="T15" s="12"/>
      <c r="U15" s="13"/>
      <c r="V15" s="12"/>
      <c r="W15" s="12"/>
      <c r="X15" s="15" t="str">
        <f aca="true">IF(OR(U15="",V15="Done"),"",IF(U15&lt;TODAY(),"OVERDUE",""))</f>
        <v/>
      </c>
    </row>
    <row r="16" customFormat="false" ht="15" hidden="false" customHeight="false" outlineLevel="0" collapsed="false">
      <c r="A16" s="12"/>
      <c r="B16" s="12"/>
      <c r="C16" s="15" t="str">
        <f aca="false">IF(B16="","",IFERROR(INDEX('AI Inventory'!$B:$B,MATCH(B16,'AI Inventory'!$A:$A,0)),"ID not in inventory"))</f>
        <v/>
      </c>
      <c r="D16" s="12"/>
      <c r="E16" s="12"/>
      <c r="F16" s="12"/>
      <c r="G16" s="12"/>
      <c r="H16" s="12"/>
      <c r="I16" s="12"/>
      <c r="J16" s="15" t="str">
        <f aca="false">IF(OR(H16="",I16=""),"",VALUE(H16)*VALUE(I16))</f>
        <v/>
      </c>
      <c r="K16" s="15" t="str">
        <f aca="false">IF(J16="","",IF(J16&gt;=15,"High",IF(J16&gt;=8,"Medium","Low")))</f>
        <v/>
      </c>
      <c r="L16" s="12"/>
      <c r="M16" s="12"/>
      <c r="N16" s="12"/>
      <c r="O16" s="12"/>
      <c r="P16" s="15" t="str">
        <f aca="false">IF(OR(N16="",O16=""),"",VALUE(N16)*VALUE(O16))</f>
        <v/>
      </c>
      <c r="Q16" s="15" t="str">
        <f aca="false">IF(P16="","",IF(P16&gt;=15,"High",IF(P16&gt;=8,"Medium","Low")))</f>
        <v/>
      </c>
      <c r="R16" s="12"/>
      <c r="S16" s="12"/>
      <c r="T16" s="12"/>
      <c r="U16" s="13"/>
      <c r="V16" s="12"/>
      <c r="W16" s="12"/>
      <c r="X16" s="15" t="str">
        <f aca="true">IF(OR(U16="",V16="Done"),"",IF(U16&lt;TODAY(),"OVERDUE",""))</f>
        <v/>
      </c>
    </row>
    <row r="17" customFormat="false" ht="15" hidden="false" customHeight="false" outlineLevel="0" collapsed="false">
      <c r="A17" s="12"/>
      <c r="B17" s="12"/>
      <c r="C17" s="15" t="str">
        <f aca="false">IF(B17="","",IFERROR(INDEX('AI Inventory'!$B:$B,MATCH(B17,'AI Inventory'!$A:$A,0)),"ID not in inventory"))</f>
        <v/>
      </c>
      <c r="D17" s="12"/>
      <c r="E17" s="12"/>
      <c r="F17" s="12"/>
      <c r="G17" s="12"/>
      <c r="H17" s="12"/>
      <c r="I17" s="12"/>
      <c r="J17" s="15" t="str">
        <f aca="false">IF(OR(H17="",I17=""),"",VALUE(H17)*VALUE(I17))</f>
        <v/>
      </c>
      <c r="K17" s="15" t="str">
        <f aca="false">IF(J17="","",IF(J17&gt;=15,"High",IF(J17&gt;=8,"Medium","Low")))</f>
        <v/>
      </c>
      <c r="L17" s="12"/>
      <c r="M17" s="12"/>
      <c r="N17" s="12"/>
      <c r="O17" s="12"/>
      <c r="P17" s="15" t="str">
        <f aca="false">IF(OR(N17="",O17=""),"",VALUE(N17)*VALUE(O17))</f>
        <v/>
      </c>
      <c r="Q17" s="15" t="str">
        <f aca="false">IF(P17="","",IF(P17&gt;=15,"High",IF(P17&gt;=8,"Medium","Low")))</f>
        <v/>
      </c>
      <c r="R17" s="12"/>
      <c r="S17" s="12"/>
      <c r="T17" s="12"/>
      <c r="U17" s="13"/>
      <c r="V17" s="12"/>
      <c r="W17" s="12"/>
      <c r="X17" s="15" t="str">
        <f aca="true">IF(OR(U17="",V17="Done"),"",IF(U17&lt;TODAY(),"OVERDUE",""))</f>
        <v/>
      </c>
    </row>
    <row r="18" customFormat="false" ht="15" hidden="false" customHeight="false" outlineLevel="0" collapsed="false">
      <c r="A18" s="12"/>
      <c r="B18" s="12"/>
      <c r="C18" s="15" t="str">
        <f aca="false">IF(B18="","",IFERROR(INDEX('AI Inventory'!$B:$B,MATCH(B18,'AI Inventory'!$A:$A,0)),"ID not in inventory"))</f>
        <v/>
      </c>
      <c r="D18" s="12"/>
      <c r="E18" s="12"/>
      <c r="F18" s="12"/>
      <c r="G18" s="12"/>
      <c r="H18" s="12"/>
      <c r="I18" s="12"/>
      <c r="J18" s="15" t="str">
        <f aca="false">IF(OR(H18="",I18=""),"",VALUE(H18)*VALUE(I18))</f>
        <v/>
      </c>
      <c r="K18" s="15" t="str">
        <f aca="false">IF(J18="","",IF(J18&gt;=15,"High",IF(J18&gt;=8,"Medium","Low")))</f>
        <v/>
      </c>
      <c r="L18" s="12"/>
      <c r="M18" s="12"/>
      <c r="N18" s="12"/>
      <c r="O18" s="12"/>
      <c r="P18" s="15" t="str">
        <f aca="false">IF(OR(N18="",O18=""),"",VALUE(N18)*VALUE(O18))</f>
        <v/>
      </c>
      <c r="Q18" s="15" t="str">
        <f aca="false">IF(P18="","",IF(P18&gt;=15,"High",IF(P18&gt;=8,"Medium","Low")))</f>
        <v/>
      </c>
      <c r="R18" s="12"/>
      <c r="S18" s="12"/>
      <c r="T18" s="12"/>
      <c r="U18" s="13"/>
      <c r="V18" s="12"/>
      <c r="W18" s="12"/>
      <c r="X18" s="15" t="str">
        <f aca="true">IF(OR(U18="",V18="Done"),"",IF(U18&lt;TODAY(),"OVERDUE",""))</f>
        <v/>
      </c>
    </row>
    <row r="19" customFormat="false" ht="15" hidden="false" customHeight="false" outlineLevel="0" collapsed="false">
      <c r="A19" s="12"/>
      <c r="B19" s="12"/>
      <c r="C19" s="15" t="str">
        <f aca="false">IF(B19="","",IFERROR(INDEX('AI Inventory'!$B:$B,MATCH(B19,'AI Inventory'!$A:$A,0)),"ID not in inventory"))</f>
        <v/>
      </c>
      <c r="D19" s="12"/>
      <c r="E19" s="12"/>
      <c r="F19" s="12"/>
      <c r="G19" s="12"/>
      <c r="H19" s="12"/>
      <c r="I19" s="12"/>
      <c r="J19" s="15" t="str">
        <f aca="false">IF(OR(H19="",I19=""),"",VALUE(H19)*VALUE(I19))</f>
        <v/>
      </c>
      <c r="K19" s="15" t="str">
        <f aca="false">IF(J19="","",IF(J19&gt;=15,"High",IF(J19&gt;=8,"Medium","Low")))</f>
        <v/>
      </c>
      <c r="L19" s="12"/>
      <c r="M19" s="12"/>
      <c r="N19" s="12"/>
      <c r="O19" s="12"/>
      <c r="P19" s="15" t="str">
        <f aca="false">IF(OR(N19="",O19=""),"",VALUE(N19)*VALUE(O19))</f>
        <v/>
      </c>
      <c r="Q19" s="15" t="str">
        <f aca="false">IF(P19="","",IF(P19&gt;=15,"High",IF(P19&gt;=8,"Medium","Low")))</f>
        <v/>
      </c>
      <c r="R19" s="12"/>
      <c r="S19" s="12"/>
      <c r="T19" s="12"/>
      <c r="U19" s="13"/>
      <c r="V19" s="12"/>
      <c r="W19" s="12"/>
      <c r="X19" s="15" t="str">
        <f aca="true">IF(OR(U19="",V19="Done"),"",IF(U19&lt;TODAY(),"OVERDUE",""))</f>
        <v/>
      </c>
    </row>
    <row r="20" customFormat="false" ht="15" hidden="false" customHeight="false" outlineLevel="0" collapsed="false">
      <c r="A20" s="12"/>
      <c r="B20" s="12"/>
      <c r="C20" s="15" t="str">
        <f aca="false">IF(B20="","",IFERROR(INDEX('AI Inventory'!$B:$B,MATCH(B20,'AI Inventory'!$A:$A,0)),"ID not in inventory"))</f>
        <v/>
      </c>
      <c r="D20" s="12"/>
      <c r="E20" s="12"/>
      <c r="F20" s="12"/>
      <c r="G20" s="12"/>
      <c r="H20" s="12"/>
      <c r="I20" s="12"/>
      <c r="J20" s="15" t="str">
        <f aca="false">IF(OR(H20="",I20=""),"",VALUE(H20)*VALUE(I20))</f>
        <v/>
      </c>
      <c r="K20" s="15" t="str">
        <f aca="false">IF(J20="","",IF(J20&gt;=15,"High",IF(J20&gt;=8,"Medium","Low")))</f>
        <v/>
      </c>
      <c r="L20" s="12"/>
      <c r="M20" s="12"/>
      <c r="N20" s="12"/>
      <c r="O20" s="12"/>
      <c r="P20" s="15" t="str">
        <f aca="false">IF(OR(N20="",O20=""),"",VALUE(N20)*VALUE(O20))</f>
        <v/>
      </c>
      <c r="Q20" s="15" t="str">
        <f aca="false">IF(P20="","",IF(P20&gt;=15,"High",IF(P20&gt;=8,"Medium","Low")))</f>
        <v/>
      </c>
      <c r="R20" s="12"/>
      <c r="S20" s="12"/>
      <c r="T20" s="12"/>
      <c r="U20" s="13"/>
      <c r="V20" s="12"/>
      <c r="W20" s="12"/>
      <c r="X20" s="15" t="str">
        <f aca="true">IF(OR(U20="",V20="Done"),"",IF(U20&lt;TODAY(),"OVERDUE",""))</f>
        <v/>
      </c>
    </row>
    <row r="21" customFormat="false" ht="15" hidden="false" customHeight="false" outlineLevel="0" collapsed="false">
      <c r="A21" s="12"/>
      <c r="B21" s="12"/>
      <c r="C21" s="15" t="str">
        <f aca="false">IF(B21="","",IFERROR(INDEX('AI Inventory'!$B:$B,MATCH(B21,'AI Inventory'!$A:$A,0)),"ID not in inventory"))</f>
        <v/>
      </c>
      <c r="D21" s="12"/>
      <c r="E21" s="12"/>
      <c r="F21" s="12"/>
      <c r="G21" s="12"/>
      <c r="H21" s="12"/>
      <c r="I21" s="12"/>
      <c r="J21" s="15" t="str">
        <f aca="false">IF(OR(H21="",I21=""),"",VALUE(H21)*VALUE(I21))</f>
        <v/>
      </c>
      <c r="K21" s="15" t="str">
        <f aca="false">IF(J21="","",IF(J21&gt;=15,"High",IF(J21&gt;=8,"Medium","Low")))</f>
        <v/>
      </c>
      <c r="L21" s="12"/>
      <c r="M21" s="12"/>
      <c r="N21" s="12"/>
      <c r="O21" s="12"/>
      <c r="P21" s="15" t="str">
        <f aca="false">IF(OR(N21="",O21=""),"",VALUE(N21)*VALUE(O21))</f>
        <v/>
      </c>
      <c r="Q21" s="15" t="str">
        <f aca="false">IF(P21="","",IF(P21&gt;=15,"High",IF(P21&gt;=8,"Medium","Low")))</f>
        <v/>
      </c>
      <c r="R21" s="12"/>
      <c r="S21" s="12"/>
      <c r="T21" s="12"/>
      <c r="U21" s="13"/>
      <c r="V21" s="12"/>
      <c r="W21" s="12"/>
      <c r="X21" s="15" t="str">
        <f aca="true">IF(OR(U21="",V21="Done"),"",IF(U21&lt;TODAY(),"OVERDUE",""))</f>
        <v/>
      </c>
    </row>
    <row r="22" customFormat="false" ht="15" hidden="false" customHeight="false" outlineLevel="0" collapsed="false">
      <c r="A22" s="12"/>
      <c r="B22" s="12"/>
      <c r="C22" s="15" t="str">
        <f aca="false">IF(B22="","",IFERROR(INDEX('AI Inventory'!$B:$B,MATCH(B22,'AI Inventory'!$A:$A,0)),"ID not in inventory"))</f>
        <v/>
      </c>
      <c r="D22" s="12"/>
      <c r="E22" s="12"/>
      <c r="F22" s="12"/>
      <c r="G22" s="12"/>
      <c r="H22" s="12"/>
      <c r="I22" s="12"/>
      <c r="J22" s="15" t="str">
        <f aca="false">IF(OR(H22="",I22=""),"",VALUE(H22)*VALUE(I22))</f>
        <v/>
      </c>
      <c r="K22" s="15" t="str">
        <f aca="false">IF(J22="","",IF(J22&gt;=15,"High",IF(J22&gt;=8,"Medium","Low")))</f>
        <v/>
      </c>
      <c r="L22" s="12"/>
      <c r="M22" s="12"/>
      <c r="N22" s="12"/>
      <c r="O22" s="12"/>
      <c r="P22" s="15" t="str">
        <f aca="false">IF(OR(N22="",O22=""),"",VALUE(N22)*VALUE(O22))</f>
        <v/>
      </c>
      <c r="Q22" s="15" t="str">
        <f aca="false">IF(P22="","",IF(P22&gt;=15,"High",IF(P22&gt;=8,"Medium","Low")))</f>
        <v/>
      </c>
      <c r="R22" s="12"/>
      <c r="S22" s="12"/>
      <c r="T22" s="12"/>
      <c r="U22" s="13"/>
      <c r="V22" s="12"/>
      <c r="W22" s="12"/>
      <c r="X22" s="15" t="str">
        <f aca="true">IF(OR(U22="",V22="Done"),"",IF(U22&lt;TODAY(),"OVERDUE",""))</f>
        <v/>
      </c>
    </row>
    <row r="23" customFormat="false" ht="15" hidden="false" customHeight="false" outlineLevel="0" collapsed="false">
      <c r="A23" s="12"/>
      <c r="B23" s="12"/>
      <c r="C23" s="15" t="str">
        <f aca="false">IF(B23="","",IFERROR(INDEX('AI Inventory'!$B:$B,MATCH(B23,'AI Inventory'!$A:$A,0)),"ID not in inventory"))</f>
        <v/>
      </c>
      <c r="D23" s="12"/>
      <c r="E23" s="12"/>
      <c r="F23" s="12"/>
      <c r="G23" s="12"/>
      <c r="H23" s="12"/>
      <c r="I23" s="12"/>
      <c r="J23" s="15" t="str">
        <f aca="false">IF(OR(H23="",I23=""),"",VALUE(H23)*VALUE(I23))</f>
        <v/>
      </c>
      <c r="K23" s="15" t="str">
        <f aca="false">IF(J23="","",IF(J23&gt;=15,"High",IF(J23&gt;=8,"Medium","Low")))</f>
        <v/>
      </c>
      <c r="L23" s="12"/>
      <c r="M23" s="12"/>
      <c r="N23" s="12"/>
      <c r="O23" s="12"/>
      <c r="P23" s="15" t="str">
        <f aca="false">IF(OR(N23="",O23=""),"",VALUE(N23)*VALUE(O23))</f>
        <v/>
      </c>
      <c r="Q23" s="15" t="str">
        <f aca="false">IF(P23="","",IF(P23&gt;=15,"High",IF(P23&gt;=8,"Medium","Low")))</f>
        <v/>
      </c>
      <c r="R23" s="12"/>
      <c r="S23" s="12"/>
      <c r="T23" s="12"/>
      <c r="U23" s="13"/>
      <c r="V23" s="12"/>
      <c r="W23" s="12"/>
      <c r="X23" s="15" t="str">
        <f aca="true">IF(OR(U23="",V23="Done"),"",IF(U23&lt;TODAY(),"OVERDUE",""))</f>
        <v/>
      </c>
    </row>
    <row r="24" customFormat="false" ht="15" hidden="false" customHeight="false" outlineLevel="0" collapsed="false">
      <c r="A24" s="12"/>
      <c r="B24" s="12"/>
      <c r="C24" s="15" t="str">
        <f aca="false">IF(B24="","",IFERROR(INDEX('AI Inventory'!$B:$B,MATCH(B24,'AI Inventory'!$A:$A,0)),"ID not in inventory"))</f>
        <v/>
      </c>
      <c r="D24" s="12"/>
      <c r="E24" s="12"/>
      <c r="F24" s="12"/>
      <c r="G24" s="12"/>
      <c r="H24" s="12"/>
      <c r="I24" s="12"/>
      <c r="J24" s="15" t="str">
        <f aca="false">IF(OR(H24="",I24=""),"",VALUE(H24)*VALUE(I24))</f>
        <v/>
      </c>
      <c r="K24" s="15" t="str">
        <f aca="false">IF(J24="","",IF(J24&gt;=15,"High",IF(J24&gt;=8,"Medium","Low")))</f>
        <v/>
      </c>
      <c r="L24" s="12"/>
      <c r="M24" s="12"/>
      <c r="N24" s="12"/>
      <c r="O24" s="12"/>
      <c r="P24" s="15" t="str">
        <f aca="false">IF(OR(N24="",O24=""),"",VALUE(N24)*VALUE(O24))</f>
        <v/>
      </c>
      <c r="Q24" s="15" t="str">
        <f aca="false">IF(P24="","",IF(P24&gt;=15,"High",IF(P24&gt;=8,"Medium","Low")))</f>
        <v/>
      </c>
      <c r="R24" s="12"/>
      <c r="S24" s="12"/>
      <c r="T24" s="12"/>
      <c r="U24" s="13"/>
      <c r="V24" s="12"/>
      <c r="W24" s="12"/>
      <c r="X24" s="15" t="str">
        <f aca="true">IF(OR(U24="",V24="Done"),"",IF(U24&lt;TODAY(),"OVERDUE",""))</f>
        <v/>
      </c>
    </row>
    <row r="25" customFormat="false" ht="15" hidden="false" customHeight="false" outlineLevel="0" collapsed="false">
      <c r="A25" s="12"/>
      <c r="B25" s="12"/>
      <c r="C25" s="15" t="str">
        <f aca="false">IF(B25="","",IFERROR(INDEX('AI Inventory'!$B:$B,MATCH(B25,'AI Inventory'!$A:$A,0)),"ID not in inventory"))</f>
        <v/>
      </c>
      <c r="D25" s="12"/>
      <c r="E25" s="12"/>
      <c r="F25" s="12"/>
      <c r="G25" s="12"/>
      <c r="H25" s="12"/>
      <c r="I25" s="12"/>
      <c r="J25" s="15" t="str">
        <f aca="false">IF(OR(H25="",I25=""),"",VALUE(H25)*VALUE(I25))</f>
        <v/>
      </c>
      <c r="K25" s="15" t="str">
        <f aca="false">IF(J25="","",IF(J25&gt;=15,"High",IF(J25&gt;=8,"Medium","Low")))</f>
        <v/>
      </c>
      <c r="L25" s="12"/>
      <c r="M25" s="12"/>
      <c r="N25" s="12"/>
      <c r="O25" s="12"/>
      <c r="P25" s="15" t="str">
        <f aca="false">IF(OR(N25="",O25=""),"",VALUE(N25)*VALUE(O25))</f>
        <v/>
      </c>
      <c r="Q25" s="15" t="str">
        <f aca="false">IF(P25="","",IF(P25&gt;=15,"High",IF(P25&gt;=8,"Medium","Low")))</f>
        <v/>
      </c>
      <c r="R25" s="12"/>
      <c r="S25" s="12"/>
      <c r="T25" s="12"/>
      <c r="U25" s="13"/>
      <c r="V25" s="12"/>
      <c r="W25" s="12"/>
      <c r="X25" s="15" t="str">
        <f aca="true">IF(OR(U25="",V25="Done"),"",IF(U25&lt;TODAY(),"OVERDUE",""))</f>
        <v/>
      </c>
    </row>
    <row r="26" customFormat="false" ht="15" hidden="false" customHeight="false" outlineLevel="0" collapsed="false">
      <c r="A26" s="12"/>
      <c r="B26" s="12"/>
      <c r="C26" s="15" t="str">
        <f aca="false">IF(B26="","",IFERROR(INDEX('AI Inventory'!$B:$B,MATCH(B26,'AI Inventory'!$A:$A,0)),"ID not in inventory"))</f>
        <v/>
      </c>
      <c r="D26" s="12"/>
      <c r="E26" s="12"/>
      <c r="F26" s="12"/>
      <c r="G26" s="12"/>
      <c r="H26" s="12"/>
      <c r="I26" s="12"/>
      <c r="J26" s="15" t="str">
        <f aca="false">IF(OR(H26="",I26=""),"",VALUE(H26)*VALUE(I26))</f>
        <v/>
      </c>
      <c r="K26" s="15" t="str">
        <f aca="false">IF(J26="","",IF(J26&gt;=15,"High",IF(J26&gt;=8,"Medium","Low")))</f>
        <v/>
      </c>
      <c r="L26" s="12"/>
      <c r="M26" s="12"/>
      <c r="N26" s="12"/>
      <c r="O26" s="12"/>
      <c r="P26" s="15" t="str">
        <f aca="false">IF(OR(N26="",O26=""),"",VALUE(N26)*VALUE(O26))</f>
        <v/>
      </c>
      <c r="Q26" s="15" t="str">
        <f aca="false">IF(P26="","",IF(P26&gt;=15,"High",IF(P26&gt;=8,"Medium","Low")))</f>
        <v/>
      </c>
      <c r="R26" s="12"/>
      <c r="S26" s="12"/>
      <c r="T26" s="12"/>
      <c r="U26" s="13"/>
      <c r="V26" s="12"/>
      <c r="W26" s="12"/>
      <c r="X26" s="15" t="str">
        <f aca="true">IF(OR(U26="",V26="Done"),"",IF(U26&lt;TODAY(),"OVERDUE",""))</f>
        <v/>
      </c>
    </row>
    <row r="27" customFormat="false" ht="15" hidden="false" customHeight="false" outlineLevel="0" collapsed="false">
      <c r="A27" s="12"/>
      <c r="B27" s="12"/>
      <c r="C27" s="15" t="str">
        <f aca="false">IF(B27="","",IFERROR(INDEX('AI Inventory'!$B:$B,MATCH(B27,'AI Inventory'!$A:$A,0)),"ID not in inventory"))</f>
        <v/>
      </c>
      <c r="D27" s="12"/>
      <c r="E27" s="12"/>
      <c r="F27" s="12"/>
      <c r="G27" s="12"/>
      <c r="H27" s="12"/>
      <c r="I27" s="12"/>
      <c r="J27" s="15" t="str">
        <f aca="false">IF(OR(H27="",I27=""),"",VALUE(H27)*VALUE(I27))</f>
        <v/>
      </c>
      <c r="K27" s="15" t="str">
        <f aca="false">IF(J27="","",IF(J27&gt;=15,"High",IF(J27&gt;=8,"Medium","Low")))</f>
        <v/>
      </c>
      <c r="L27" s="12"/>
      <c r="M27" s="12"/>
      <c r="N27" s="12"/>
      <c r="O27" s="12"/>
      <c r="P27" s="15" t="str">
        <f aca="false">IF(OR(N27="",O27=""),"",VALUE(N27)*VALUE(O27))</f>
        <v/>
      </c>
      <c r="Q27" s="15" t="str">
        <f aca="false">IF(P27="","",IF(P27&gt;=15,"High",IF(P27&gt;=8,"Medium","Low")))</f>
        <v/>
      </c>
      <c r="R27" s="12"/>
      <c r="S27" s="12"/>
      <c r="T27" s="12"/>
      <c r="U27" s="13"/>
      <c r="V27" s="12"/>
      <c r="W27" s="12"/>
      <c r="X27" s="15" t="str">
        <f aca="true">IF(OR(U27="",V27="Done"),"",IF(U27&lt;TODAY(),"OVERDUE",""))</f>
        <v/>
      </c>
    </row>
    <row r="28" customFormat="false" ht="15" hidden="false" customHeight="false" outlineLevel="0" collapsed="false">
      <c r="A28" s="12"/>
      <c r="B28" s="12"/>
      <c r="C28" s="15" t="str">
        <f aca="false">IF(B28="","",IFERROR(INDEX('AI Inventory'!$B:$B,MATCH(B28,'AI Inventory'!$A:$A,0)),"ID not in inventory"))</f>
        <v/>
      </c>
      <c r="D28" s="12"/>
      <c r="E28" s="12"/>
      <c r="F28" s="12"/>
      <c r="G28" s="12"/>
      <c r="H28" s="12"/>
      <c r="I28" s="12"/>
      <c r="J28" s="15" t="str">
        <f aca="false">IF(OR(H28="",I28=""),"",VALUE(H28)*VALUE(I28))</f>
        <v/>
      </c>
      <c r="K28" s="15" t="str">
        <f aca="false">IF(J28="","",IF(J28&gt;=15,"High",IF(J28&gt;=8,"Medium","Low")))</f>
        <v/>
      </c>
      <c r="L28" s="12"/>
      <c r="M28" s="12"/>
      <c r="N28" s="12"/>
      <c r="O28" s="12"/>
      <c r="P28" s="15" t="str">
        <f aca="false">IF(OR(N28="",O28=""),"",VALUE(N28)*VALUE(O28))</f>
        <v/>
      </c>
      <c r="Q28" s="15" t="str">
        <f aca="false">IF(P28="","",IF(P28&gt;=15,"High",IF(P28&gt;=8,"Medium","Low")))</f>
        <v/>
      </c>
      <c r="R28" s="12"/>
      <c r="S28" s="12"/>
      <c r="T28" s="12"/>
      <c r="U28" s="13"/>
      <c r="V28" s="12"/>
      <c r="W28" s="12"/>
      <c r="X28" s="15" t="str">
        <f aca="true">IF(OR(U28="",V28="Done"),"",IF(U28&lt;TODAY(),"OVERDUE",""))</f>
        <v/>
      </c>
    </row>
    <row r="29" customFormat="false" ht="15" hidden="false" customHeight="false" outlineLevel="0" collapsed="false">
      <c r="A29" s="12"/>
      <c r="B29" s="12"/>
      <c r="C29" s="15" t="str">
        <f aca="false">IF(B29="","",IFERROR(INDEX('AI Inventory'!$B:$B,MATCH(B29,'AI Inventory'!$A:$A,0)),"ID not in inventory"))</f>
        <v/>
      </c>
      <c r="D29" s="12"/>
      <c r="E29" s="12"/>
      <c r="F29" s="12"/>
      <c r="G29" s="12"/>
      <c r="H29" s="12"/>
      <c r="I29" s="12"/>
      <c r="J29" s="15" t="str">
        <f aca="false">IF(OR(H29="",I29=""),"",VALUE(H29)*VALUE(I29))</f>
        <v/>
      </c>
      <c r="K29" s="15" t="str">
        <f aca="false">IF(J29="","",IF(J29&gt;=15,"High",IF(J29&gt;=8,"Medium","Low")))</f>
        <v/>
      </c>
      <c r="L29" s="12"/>
      <c r="M29" s="12"/>
      <c r="N29" s="12"/>
      <c r="O29" s="12"/>
      <c r="P29" s="15" t="str">
        <f aca="false">IF(OR(N29="",O29=""),"",VALUE(N29)*VALUE(O29))</f>
        <v/>
      </c>
      <c r="Q29" s="15" t="str">
        <f aca="false">IF(P29="","",IF(P29&gt;=15,"High",IF(P29&gt;=8,"Medium","Low")))</f>
        <v/>
      </c>
      <c r="R29" s="12"/>
      <c r="S29" s="12"/>
      <c r="T29" s="12"/>
      <c r="U29" s="13"/>
      <c r="V29" s="12"/>
      <c r="W29" s="12"/>
      <c r="X29" s="15" t="str">
        <f aca="true">IF(OR(U29="",V29="Done"),"",IF(U29&lt;TODAY(),"OVERDUE",""))</f>
        <v/>
      </c>
    </row>
    <row r="30" customFormat="false" ht="15" hidden="false" customHeight="false" outlineLevel="0" collapsed="false">
      <c r="A30" s="12"/>
      <c r="B30" s="12"/>
      <c r="C30" s="15" t="str">
        <f aca="false">IF(B30="","",IFERROR(INDEX('AI Inventory'!$B:$B,MATCH(B30,'AI Inventory'!$A:$A,0)),"ID not in inventory"))</f>
        <v/>
      </c>
      <c r="D30" s="12"/>
      <c r="E30" s="12"/>
      <c r="F30" s="12"/>
      <c r="G30" s="12"/>
      <c r="H30" s="12"/>
      <c r="I30" s="12"/>
      <c r="J30" s="15" t="str">
        <f aca="false">IF(OR(H30="",I30=""),"",VALUE(H30)*VALUE(I30))</f>
        <v/>
      </c>
      <c r="K30" s="15" t="str">
        <f aca="false">IF(J30="","",IF(J30&gt;=15,"High",IF(J30&gt;=8,"Medium","Low")))</f>
        <v/>
      </c>
      <c r="L30" s="12"/>
      <c r="M30" s="12"/>
      <c r="N30" s="12"/>
      <c r="O30" s="12"/>
      <c r="P30" s="15" t="str">
        <f aca="false">IF(OR(N30="",O30=""),"",VALUE(N30)*VALUE(O30))</f>
        <v/>
      </c>
      <c r="Q30" s="15" t="str">
        <f aca="false">IF(P30="","",IF(P30&gt;=15,"High",IF(P30&gt;=8,"Medium","Low")))</f>
        <v/>
      </c>
      <c r="R30" s="12"/>
      <c r="S30" s="12"/>
      <c r="T30" s="12"/>
      <c r="U30" s="13"/>
      <c r="V30" s="12"/>
      <c r="W30" s="12"/>
      <c r="X30" s="15" t="str">
        <f aca="true">IF(OR(U30="",V30="Done"),"",IF(U30&lt;TODAY(),"OVERDUE",""))</f>
        <v/>
      </c>
    </row>
    <row r="31" customFormat="false" ht="15" hidden="false" customHeight="false" outlineLevel="0" collapsed="false">
      <c r="A31" s="12"/>
      <c r="B31" s="12"/>
      <c r="C31" s="15" t="str">
        <f aca="false">IF(B31="","",IFERROR(INDEX('AI Inventory'!$B:$B,MATCH(B31,'AI Inventory'!$A:$A,0)),"ID not in inventory"))</f>
        <v/>
      </c>
      <c r="D31" s="12"/>
      <c r="E31" s="12"/>
      <c r="F31" s="12"/>
      <c r="G31" s="12"/>
      <c r="H31" s="12"/>
      <c r="I31" s="12"/>
      <c r="J31" s="15" t="str">
        <f aca="false">IF(OR(H31="",I31=""),"",VALUE(H31)*VALUE(I31))</f>
        <v/>
      </c>
      <c r="K31" s="15" t="str">
        <f aca="false">IF(J31="","",IF(J31&gt;=15,"High",IF(J31&gt;=8,"Medium","Low")))</f>
        <v/>
      </c>
      <c r="L31" s="12"/>
      <c r="M31" s="12"/>
      <c r="N31" s="12"/>
      <c r="O31" s="12"/>
      <c r="P31" s="15" t="str">
        <f aca="false">IF(OR(N31="",O31=""),"",VALUE(N31)*VALUE(O31))</f>
        <v/>
      </c>
      <c r="Q31" s="15" t="str">
        <f aca="false">IF(P31="","",IF(P31&gt;=15,"High",IF(P31&gt;=8,"Medium","Low")))</f>
        <v/>
      </c>
      <c r="R31" s="12"/>
      <c r="S31" s="12"/>
      <c r="T31" s="12"/>
      <c r="U31" s="13"/>
      <c r="V31" s="12"/>
      <c r="W31" s="12"/>
      <c r="X31" s="15" t="str">
        <f aca="true">IF(OR(U31="",V31="Done"),"",IF(U31&lt;TODAY(),"OVERDUE",""))</f>
        <v/>
      </c>
    </row>
    <row r="32" customFormat="false" ht="15" hidden="false" customHeight="false" outlineLevel="0" collapsed="false">
      <c r="A32" s="12"/>
      <c r="B32" s="12"/>
      <c r="C32" s="15" t="str">
        <f aca="false">IF(B32="","",IFERROR(INDEX('AI Inventory'!$B:$B,MATCH(B32,'AI Inventory'!$A:$A,0)),"ID not in inventory"))</f>
        <v/>
      </c>
      <c r="D32" s="12"/>
      <c r="E32" s="12"/>
      <c r="F32" s="12"/>
      <c r="G32" s="12"/>
      <c r="H32" s="12"/>
      <c r="I32" s="12"/>
      <c r="J32" s="15" t="str">
        <f aca="false">IF(OR(H32="",I32=""),"",VALUE(H32)*VALUE(I32))</f>
        <v/>
      </c>
      <c r="K32" s="15" t="str">
        <f aca="false">IF(J32="","",IF(J32&gt;=15,"High",IF(J32&gt;=8,"Medium","Low")))</f>
        <v/>
      </c>
      <c r="L32" s="12"/>
      <c r="M32" s="12"/>
      <c r="N32" s="12"/>
      <c r="O32" s="12"/>
      <c r="P32" s="15" t="str">
        <f aca="false">IF(OR(N32="",O32=""),"",VALUE(N32)*VALUE(O32))</f>
        <v/>
      </c>
      <c r="Q32" s="15" t="str">
        <f aca="false">IF(P32="","",IF(P32&gt;=15,"High",IF(P32&gt;=8,"Medium","Low")))</f>
        <v/>
      </c>
      <c r="R32" s="12"/>
      <c r="S32" s="12"/>
      <c r="T32" s="12"/>
      <c r="U32" s="13"/>
      <c r="V32" s="12"/>
      <c r="W32" s="12"/>
      <c r="X32" s="15" t="str">
        <f aca="true">IF(OR(U32="",V32="Done"),"",IF(U32&lt;TODAY(),"OVERDUE",""))</f>
        <v/>
      </c>
    </row>
    <row r="33" customFormat="false" ht="15" hidden="false" customHeight="false" outlineLevel="0" collapsed="false">
      <c r="A33" s="12"/>
      <c r="B33" s="12"/>
      <c r="C33" s="15" t="str">
        <f aca="false">IF(B33="","",IFERROR(INDEX('AI Inventory'!$B:$B,MATCH(B33,'AI Inventory'!$A:$A,0)),"ID not in inventory"))</f>
        <v/>
      </c>
      <c r="D33" s="12"/>
      <c r="E33" s="12"/>
      <c r="F33" s="12"/>
      <c r="G33" s="12"/>
      <c r="H33" s="12"/>
      <c r="I33" s="12"/>
      <c r="J33" s="15" t="str">
        <f aca="false">IF(OR(H33="",I33=""),"",VALUE(H33)*VALUE(I33))</f>
        <v/>
      </c>
      <c r="K33" s="15" t="str">
        <f aca="false">IF(J33="","",IF(J33&gt;=15,"High",IF(J33&gt;=8,"Medium","Low")))</f>
        <v/>
      </c>
      <c r="L33" s="12"/>
      <c r="M33" s="12"/>
      <c r="N33" s="12"/>
      <c r="O33" s="12"/>
      <c r="P33" s="15" t="str">
        <f aca="false">IF(OR(N33="",O33=""),"",VALUE(N33)*VALUE(O33))</f>
        <v/>
      </c>
      <c r="Q33" s="15" t="str">
        <f aca="false">IF(P33="","",IF(P33&gt;=15,"High",IF(P33&gt;=8,"Medium","Low")))</f>
        <v/>
      </c>
      <c r="R33" s="12"/>
      <c r="S33" s="12"/>
      <c r="T33" s="12"/>
      <c r="U33" s="13"/>
      <c r="V33" s="12"/>
      <c r="W33" s="12"/>
      <c r="X33" s="15" t="str">
        <f aca="true">IF(OR(U33="",V33="Done"),"",IF(U33&lt;TODAY(),"OVERDUE",""))</f>
        <v/>
      </c>
    </row>
    <row r="34" customFormat="false" ht="15" hidden="false" customHeight="false" outlineLevel="0" collapsed="false">
      <c r="A34" s="12"/>
      <c r="B34" s="12"/>
      <c r="C34" s="15" t="str">
        <f aca="false">IF(B34="","",IFERROR(INDEX('AI Inventory'!$B:$B,MATCH(B34,'AI Inventory'!$A:$A,0)),"ID not in inventory"))</f>
        <v/>
      </c>
      <c r="D34" s="12"/>
      <c r="E34" s="12"/>
      <c r="F34" s="12"/>
      <c r="G34" s="12"/>
      <c r="H34" s="12"/>
      <c r="I34" s="12"/>
      <c r="J34" s="15" t="str">
        <f aca="false">IF(OR(H34="",I34=""),"",VALUE(H34)*VALUE(I34))</f>
        <v/>
      </c>
      <c r="K34" s="15" t="str">
        <f aca="false">IF(J34="","",IF(J34&gt;=15,"High",IF(J34&gt;=8,"Medium","Low")))</f>
        <v/>
      </c>
      <c r="L34" s="12"/>
      <c r="M34" s="12"/>
      <c r="N34" s="12"/>
      <c r="O34" s="12"/>
      <c r="P34" s="15" t="str">
        <f aca="false">IF(OR(N34="",O34=""),"",VALUE(N34)*VALUE(O34))</f>
        <v/>
      </c>
      <c r="Q34" s="15" t="str">
        <f aca="false">IF(P34="","",IF(P34&gt;=15,"High",IF(P34&gt;=8,"Medium","Low")))</f>
        <v/>
      </c>
      <c r="R34" s="12"/>
      <c r="S34" s="12"/>
      <c r="T34" s="12"/>
      <c r="U34" s="13"/>
      <c r="V34" s="12"/>
      <c r="W34" s="12"/>
      <c r="X34" s="15" t="str">
        <f aca="true">IF(OR(U34="",V34="Done"),"",IF(U34&lt;TODAY(),"OVERDUE",""))</f>
        <v/>
      </c>
    </row>
    <row r="35" customFormat="false" ht="15" hidden="false" customHeight="false" outlineLevel="0" collapsed="false">
      <c r="A35" s="12"/>
      <c r="B35" s="12"/>
      <c r="C35" s="15" t="str">
        <f aca="false">IF(B35="","",IFERROR(INDEX('AI Inventory'!$B:$B,MATCH(B35,'AI Inventory'!$A:$A,0)),"ID not in inventory"))</f>
        <v/>
      </c>
      <c r="D35" s="12"/>
      <c r="E35" s="12"/>
      <c r="F35" s="12"/>
      <c r="G35" s="12"/>
      <c r="H35" s="12"/>
      <c r="I35" s="12"/>
      <c r="J35" s="15" t="str">
        <f aca="false">IF(OR(H35="",I35=""),"",VALUE(H35)*VALUE(I35))</f>
        <v/>
      </c>
      <c r="K35" s="15" t="str">
        <f aca="false">IF(J35="","",IF(J35&gt;=15,"High",IF(J35&gt;=8,"Medium","Low")))</f>
        <v/>
      </c>
      <c r="L35" s="12"/>
      <c r="M35" s="12"/>
      <c r="N35" s="12"/>
      <c r="O35" s="12"/>
      <c r="P35" s="15" t="str">
        <f aca="false">IF(OR(N35="",O35=""),"",VALUE(N35)*VALUE(O35))</f>
        <v/>
      </c>
      <c r="Q35" s="15" t="str">
        <f aca="false">IF(P35="","",IF(P35&gt;=15,"High",IF(P35&gt;=8,"Medium","Low")))</f>
        <v/>
      </c>
      <c r="R35" s="12"/>
      <c r="S35" s="12"/>
      <c r="T35" s="12"/>
      <c r="U35" s="13"/>
      <c r="V35" s="12"/>
      <c r="W35" s="12"/>
      <c r="X35" s="15" t="str">
        <f aca="true">IF(OR(U35="",V35="Done"),"",IF(U35&lt;TODAY(),"OVERDUE",""))</f>
        <v/>
      </c>
    </row>
    <row r="36" customFormat="false" ht="15" hidden="false" customHeight="false" outlineLevel="0" collapsed="false">
      <c r="A36" s="12"/>
      <c r="B36" s="12"/>
      <c r="C36" s="15" t="str">
        <f aca="false">IF(B36="","",IFERROR(INDEX('AI Inventory'!$B:$B,MATCH(B36,'AI Inventory'!$A:$A,0)),"ID not in inventory"))</f>
        <v/>
      </c>
      <c r="D36" s="12"/>
      <c r="E36" s="12"/>
      <c r="F36" s="12"/>
      <c r="G36" s="12"/>
      <c r="H36" s="12"/>
      <c r="I36" s="12"/>
      <c r="J36" s="15" t="str">
        <f aca="false">IF(OR(H36="",I36=""),"",VALUE(H36)*VALUE(I36))</f>
        <v/>
      </c>
      <c r="K36" s="15" t="str">
        <f aca="false">IF(J36="","",IF(J36&gt;=15,"High",IF(J36&gt;=8,"Medium","Low")))</f>
        <v/>
      </c>
      <c r="L36" s="12"/>
      <c r="M36" s="12"/>
      <c r="N36" s="12"/>
      <c r="O36" s="12"/>
      <c r="P36" s="15" t="str">
        <f aca="false">IF(OR(N36="",O36=""),"",VALUE(N36)*VALUE(O36))</f>
        <v/>
      </c>
      <c r="Q36" s="15" t="str">
        <f aca="false">IF(P36="","",IF(P36&gt;=15,"High",IF(P36&gt;=8,"Medium","Low")))</f>
        <v/>
      </c>
      <c r="R36" s="12"/>
      <c r="S36" s="12"/>
      <c r="T36" s="12"/>
      <c r="U36" s="13"/>
      <c r="V36" s="12"/>
      <c r="W36" s="12"/>
      <c r="X36" s="15" t="str">
        <f aca="true">IF(OR(U36="",V36="Done"),"",IF(U36&lt;TODAY(),"OVERDUE",""))</f>
        <v/>
      </c>
    </row>
    <row r="37" customFormat="false" ht="15" hidden="false" customHeight="false" outlineLevel="0" collapsed="false">
      <c r="A37" s="12"/>
      <c r="B37" s="12"/>
      <c r="C37" s="15" t="str">
        <f aca="false">IF(B37="","",IFERROR(INDEX('AI Inventory'!$B:$B,MATCH(B37,'AI Inventory'!$A:$A,0)),"ID not in inventory"))</f>
        <v/>
      </c>
      <c r="D37" s="12"/>
      <c r="E37" s="12"/>
      <c r="F37" s="12"/>
      <c r="G37" s="12"/>
      <c r="H37" s="12"/>
      <c r="I37" s="12"/>
      <c r="J37" s="15" t="str">
        <f aca="false">IF(OR(H37="",I37=""),"",VALUE(H37)*VALUE(I37))</f>
        <v/>
      </c>
      <c r="K37" s="15" t="str">
        <f aca="false">IF(J37="","",IF(J37&gt;=15,"High",IF(J37&gt;=8,"Medium","Low")))</f>
        <v/>
      </c>
      <c r="L37" s="12"/>
      <c r="M37" s="12"/>
      <c r="N37" s="12"/>
      <c r="O37" s="12"/>
      <c r="P37" s="15" t="str">
        <f aca="false">IF(OR(N37="",O37=""),"",VALUE(N37)*VALUE(O37))</f>
        <v/>
      </c>
      <c r="Q37" s="15" t="str">
        <f aca="false">IF(P37="","",IF(P37&gt;=15,"High",IF(P37&gt;=8,"Medium","Low")))</f>
        <v/>
      </c>
      <c r="R37" s="12"/>
      <c r="S37" s="12"/>
      <c r="T37" s="12"/>
      <c r="U37" s="13"/>
      <c r="V37" s="12"/>
      <c r="W37" s="12"/>
      <c r="X37" s="15" t="str">
        <f aca="true">IF(OR(U37="",V37="Done"),"",IF(U37&lt;TODAY(),"OVERDUE",""))</f>
        <v/>
      </c>
    </row>
    <row r="38" customFormat="false" ht="15" hidden="false" customHeight="false" outlineLevel="0" collapsed="false">
      <c r="A38" s="12"/>
      <c r="B38" s="12"/>
      <c r="C38" s="15" t="str">
        <f aca="false">IF(B38="","",IFERROR(INDEX('AI Inventory'!$B:$B,MATCH(B38,'AI Inventory'!$A:$A,0)),"ID not in inventory"))</f>
        <v/>
      </c>
      <c r="D38" s="12"/>
      <c r="E38" s="12"/>
      <c r="F38" s="12"/>
      <c r="G38" s="12"/>
      <c r="H38" s="12"/>
      <c r="I38" s="12"/>
      <c r="J38" s="15" t="str">
        <f aca="false">IF(OR(H38="",I38=""),"",VALUE(H38)*VALUE(I38))</f>
        <v/>
      </c>
      <c r="K38" s="15" t="str">
        <f aca="false">IF(J38="","",IF(J38&gt;=15,"High",IF(J38&gt;=8,"Medium","Low")))</f>
        <v/>
      </c>
      <c r="L38" s="12"/>
      <c r="M38" s="12"/>
      <c r="N38" s="12"/>
      <c r="O38" s="12"/>
      <c r="P38" s="15" t="str">
        <f aca="false">IF(OR(N38="",O38=""),"",VALUE(N38)*VALUE(O38))</f>
        <v/>
      </c>
      <c r="Q38" s="15" t="str">
        <f aca="false">IF(P38="","",IF(P38&gt;=15,"High",IF(P38&gt;=8,"Medium","Low")))</f>
        <v/>
      </c>
      <c r="R38" s="12"/>
      <c r="S38" s="12"/>
      <c r="T38" s="12"/>
      <c r="U38" s="13"/>
      <c r="V38" s="12"/>
      <c r="W38" s="12"/>
      <c r="X38" s="15" t="str">
        <f aca="true">IF(OR(U38="",V38="Done"),"",IF(U38&lt;TODAY(),"OVERDUE",""))</f>
        <v/>
      </c>
    </row>
    <row r="39" customFormat="false" ht="15" hidden="false" customHeight="false" outlineLevel="0" collapsed="false">
      <c r="A39" s="12"/>
      <c r="B39" s="12"/>
      <c r="C39" s="15" t="str">
        <f aca="false">IF(B39="","",IFERROR(INDEX('AI Inventory'!$B:$B,MATCH(B39,'AI Inventory'!$A:$A,0)),"ID not in inventory"))</f>
        <v/>
      </c>
      <c r="D39" s="12"/>
      <c r="E39" s="12"/>
      <c r="F39" s="12"/>
      <c r="G39" s="12"/>
      <c r="H39" s="12"/>
      <c r="I39" s="12"/>
      <c r="J39" s="15" t="str">
        <f aca="false">IF(OR(H39="",I39=""),"",VALUE(H39)*VALUE(I39))</f>
        <v/>
      </c>
      <c r="K39" s="15" t="str">
        <f aca="false">IF(J39="","",IF(J39&gt;=15,"High",IF(J39&gt;=8,"Medium","Low")))</f>
        <v/>
      </c>
      <c r="L39" s="12"/>
      <c r="M39" s="12"/>
      <c r="N39" s="12"/>
      <c r="O39" s="12"/>
      <c r="P39" s="15" t="str">
        <f aca="false">IF(OR(N39="",O39=""),"",VALUE(N39)*VALUE(O39))</f>
        <v/>
      </c>
      <c r="Q39" s="15" t="str">
        <f aca="false">IF(P39="","",IF(P39&gt;=15,"High",IF(P39&gt;=8,"Medium","Low")))</f>
        <v/>
      </c>
      <c r="R39" s="12"/>
      <c r="S39" s="12"/>
      <c r="T39" s="12"/>
      <c r="U39" s="13"/>
      <c r="V39" s="12"/>
      <c r="W39" s="12"/>
      <c r="X39" s="15" t="str">
        <f aca="true">IF(OR(U39="",V39="Done"),"",IF(U39&lt;TODAY(),"OVERDUE",""))</f>
        <v/>
      </c>
    </row>
    <row r="40" customFormat="false" ht="15" hidden="false" customHeight="false" outlineLevel="0" collapsed="false">
      <c r="A40" s="12"/>
      <c r="B40" s="12"/>
      <c r="C40" s="15" t="str">
        <f aca="false">IF(B40="","",IFERROR(INDEX('AI Inventory'!$B:$B,MATCH(B40,'AI Inventory'!$A:$A,0)),"ID not in inventory"))</f>
        <v/>
      </c>
      <c r="D40" s="12"/>
      <c r="E40" s="12"/>
      <c r="F40" s="12"/>
      <c r="G40" s="12"/>
      <c r="H40" s="12"/>
      <c r="I40" s="12"/>
      <c r="J40" s="15" t="str">
        <f aca="false">IF(OR(H40="",I40=""),"",VALUE(H40)*VALUE(I40))</f>
        <v/>
      </c>
      <c r="K40" s="15" t="str">
        <f aca="false">IF(J40="","",IF(J40&gt;=15,"High",IF(J40&gt;=8,"Medium","Low")))</f>
        <v/>
      </c>
      <c r="L40" s="12"/>
      <c r="M40" s="12"/>
      <c r="N40" s="12"/>
      <c r="O40" s="12"/>
      <c r="P40" s="15" t="str">
        <f aca="false">IF(OR(N40="",O40=""),"",VALUE(N40)*VALUE(O40))</f>
        <v/>
      </c>
      <c r="Q40" s="15" t="str">
        <f aca="false">IF(P40="","",IF(P40&gt;=15,"High",IF(P40&gt;=8,"Medium","Low")))</f>
        <v/>
      </c>
      <c r="R40" s="12"/>
      <c r="S40" s="12"/>
      <c r="T40" s="12"/>
      <c r="U40" s="13"/>
      <c r="V40" s="12"/>
      <c r="W40" s="12"/>
      <c r="X40" s="15" t="str">
        <f aca="true">IF(OR(U40="",V40="Done"),"",IF(U40&lt;TODAY(),"OVERDUE",""))</f>
        <v/>
      </c>
    </row>
    <row r="41" customFormat="false" ht="15" hidden="false" customHeight="false" outlineLevel="0" collapsed="false">
      <c r="A41" s="12"/>
      <c r="B41" s="12"/>
      <c r="C41" s="15" t="str">
        <f aca="false">IF(B41="","",IFERROR(INDEX('AI Inventory'!$B:$B,MATCH(B41,'AI Inventory'!$A:$A,0)),"ID not in inventory"))</f>
        <v/>
      </c>
      <c r="D41" s="12"/>
      <c r="E41" s="12"/>
      <c r="F41" s="12"/>
      <c r="G41" s="12"/>
      <c r="H41" s="12"/>
      <c r="I41" s="12"/>
      <c r="J41" s="15" t="str">
        <f aca="false">IF(OR(H41="",I41=""),"",VALUE(H41)*VALUE(I41))</f>
        <v/>
      </c>
      <c r="K41" s="15" t="str">
        <f aca="false">IF(J41="","",IF(J41&gt;=15,"High",IF(J41&gt;=8,"Medium","Low")))</f>
        <v/>
      </c>
      <c r="L41" s="12"/>
      <c r="M41" s="12"/>
      <c r="N41" s="12"/>
      <c r="O41" s="12"/>
      <c r="P41" s="15" t="str">
        <f aca="false">IF(OR(N41="",O41=""),"",VALUE(N41)*VALUE(O41))</f>
        <v/>
      </c>
      <c r="Q41" s="15" t="str">
        <f aca="false">IF(P41="","",IF(P41&gt;=15,"High",IF(P41&gt;=8,"Medium","Low")))</f>
        <v/>
      </c>
      <c r="R41" s="12"/>
      <c r="S41" s="12"/>
      <c r="T41" s="12"/>
      <c r="U41" s="13"/>
      <c r="V41" s="12"/>
      <c r="W41" s="12"/>
      <c r="X41" s="15" t="str">
        <f aca="true">IF(OR(U41="",V41="Done"),"",IF(U41&lt;TODAY(),"OVERDUE",""))</f>
        <v/>
      </c>
    </row>
    <row r="42" customFormat="false" ht="15" hidden="false" customHeight="false" outlineLevel="0" collapsed="false">
      <c r="A42" s="12"/>
      <c r="B42" s="12"/>
      <c r="C42" s="15" t="str">
        <f aca="false">IF(B42="","",IFERROR(INDEX('AI Inventory'!$B:$B,MATCH(B42,'AI Inventory'!$A:$A,0)),"ID not in inventory"))</f>
        <v/>
      </c>
      <c r="D42" s="12"/>
      <c r="E42" s="12"/>
      <c r="F42" s="12"/>
      <c r="G42" s="12"/>
      <c r="H42" s="12"/>
      <c r="I42" s="12"/>
      <c r="J42" s="15" t="str">
        <f aca="false">IF(OR(H42="",I42=""),"",VALUE(H42)*VALUE(I42))</f>
        <v/>
      </c>
      <c r="K42" s="15" t="str">
        <f aca="false">IF(J42="","",IF(J42&gt;=15,"High",IF(J42&gt;=8,"Medium","Low")))</f>
        <v/>
      </c>
      <c r="L42" s="12"/>
      <c r="M42" s="12"/>
      <c r="N42" s="12"/>
      <c r="O42" s="12"/>
      <c r="P42" s="15" t="str">
        <f aca="false">IF(OR(N42="",O42=""),"",VALUE(N42)*VALUE(O42))</f>
        <v/>
      </c>
      <c r="Q42" s="15" t="str">
        <f aca="false">IF(P42="","",IF(P42&gt;=15,"High",IF(P42&gt;=8,"Medium","Low")))</f>
        <v/>
      </c>
      <c r="R42" s="12"/>
      <c r="S42" s="12"/>
      <c r="T42" s="12"/>
      <c r="U42" s="13"/>
      <c r="V42" s="12"/>
      <c r="W42" s="12"/>
      <c r="X42" s="15" t="str">
        <f aca="true">IF(OR(U42="",V42="Done"),"",IF(U42&lt;TODAY(),"OVERDUE",""))</f>
        <v/>
      </c>
    </row>
    <row r="43" customFormat="false" ht="15" hidden="false" customHeight="false" outlineLevel="0" collapsed="false">
      <c r="A43" s="12"/>
      <c r="B43" s="12"/>
      <c r="C43" s="15" t="str">
        <f aca="false">IF(B43="","",IFERROR(INDEX('AI Inventory'!$B:$B,MATCH(B43,'AI Inventory'!$A:$A,0)),"ID not in inventory"))</f>
        <v/>
      </c>
      <c r="D43" s="12"/>
      <c r="E43" s="12"/>
      <c r="F43" s="12"/>
      <c r="G43" s="12"/>
      <c r="H43" s="12"/>
      <c r="I43" s="12"/>
      <c r="J43" s="15" t="str">
        <f aca="false">IF(OR(H43="",I43=""),"",VALUE(H43)*VALUE(I43))</f>
        <v/>
      </c>
      <c r="K43" s="15" t="str">
        <f aca="false">IF(J43="","",IF(J43&gt;=15,"High",IF(J43&gt;=8,"Medium","Low")))</f>
        <v/>
      </c>
      <c r="L43" s="12"/>
      <c r="M43" s="12"/>
      <c r="N43" s="12"/>
      <c r="O43" s="12"/>
      <c r="P43" s="15" t="str">
        <f aca="false">IF(OR(N43="",O43=""),"",VALUE(N43)*VALUE(O43))</f>
        <v/>
      </c>
      <c r="Q43" s="15" t="str">
        <f aca="false">IF(P43="","",IF(P43&gt;=15,"High",IF(P43&gt;=8,"Medium","Low")))</f>
        <v/>
      </c>
      <c r="R43" s="12"/>
      <c r="S43" s="12"/>
      <c r="T43" s="12"/>
      <c r="U43" s="13"/>
      <c r="V43" s="12"/>
      <c r="W43" s="12"/>
      <c r="X43" s="15" t="str">
        <f aca="true">IF(OR(U43="",V43="Done"),"",IF(U43&lt;TODAY(),"OVERDUE",""))</f>
        <v/>
      </c>
    </row>
    <row r="44" customFormat="false" ht="15" hidden="false" customHeight="false" outlineLevel="0" collapsed="false">
      <c r="A44" s="12"/>
      <c r="B44" s="12"/>
      <c r="C44" s="15" t="str">
        <f aca="false">IF(B44="","",IFERROR(INDEX('AI Inventory'!$B:$B,MATCH(B44,'AI Inventory'!$A:$A,0)),"ID not in inventory"))</f>
        <v/>
      </c>
      <c r="D44" s="12"/>
      <c r="E44" s="12"/>
      <c r="F44" s="12"/>
      <c r="G44" s="12"/>
      <c r="H44" s="12"/>
      <c r="I44" s="12"/>
      <c r="J44" s="15" t="str">
        <f aca="false">IF(OR(H44="",I44=""),"",VALUE(H44)*VALUE(I44))</f>
        <v/>
      </c>
      <c r="K44" s="15" t="str">
        <f aca="false">IF(J44="","",IF(J44&gt;=15,"High",IF(J44&gt;=8,"Medium","Low")))</f>
        <v/>
      </c>
      <c r="L44" s="12"/>
      <c r="M44" s="12"/>
      <c r="N44" s="12"/>
      <c r="O44" s="12"/>
      <c r="P44" s="15" t="str">
        <f aca="false">IF(OR(N44="",O44=""),"",VALUE(N44)*VALUE(O44))</f>
        <v/>
      </c>
      <c r="Q44" s="15" t="str">
        <f aca="false">IF(P44="","",IF(P44&gt;=15,"High",IF(P44&gt;=8,"Medium","Low")))</f>
        <v/>
      </c>
      <c r="R44" s="12"/>
      <c r="S44" s="12"/>
      <c r="T44" s="12"/>
      <c r="U44" s="13"/>
      <c r="V44" s="12"/>
      <c r="W44" s="12"/>
      <c r="X44" s="15" t="str">
        <f aca="true">IF(OR(U44="",V44="Done"),"",IF(U44&lt;TODAY(),"OVERDUE",""))</f>
        <v/>
      </c>
    </row>
    <row r="45" customFormat="false" ht="15" hidden="false" customHeight="false" outlineLevel="0" collapsed="false">
      <c r="A45" s="12"/>
      <c r="B45" s="12"/>
      <c r="C45" s="15" t="str">
        <f aca="false">IF(B45="","",IFERROR(INDEX('AI Inventory'!$B:$B,MATCH(B45,'AI Inventory'!$A:$A,0)),"ID not in inventory"))</f>
        <v/>
      </c>
      <c r="D45" s="12"/>
      <c r="E45" s="12"/>
      <c r="F45" s="12"/>
      <c r="G45" s="12"/>
      <c r="H45" s="12"/>
      <c r="I45" s="12"/>
      <c r="J45" s="15" t="str">
        <f aca="false">IF(OR(H45="",I45=""),"",VALUE(H45)*VALUE(I45))</f>
        <v/>
      </c>
      <c r="K45" s="15" t="str">
        <f aca="false">IF(J45="","",IF(J45&gt;=15,"High",IF(J45&gt;=8,"Medium","Low")))</f>
        <v/>
      </c>
      <c r="L45" s="12"/>
      <c r="M45" s="12"/>
      <c r="N45" s="12"/>
      <c r="O45" s="12"/>
      <c r="P45" s="15" t="str">
        <f aca="false">IF(OR(N45="",O45=""),"",VALUE(N45)*VALUE(O45))</f>
        <v/>
      </c>
      <c r="Q45" s="15" t="str">
        <f aca="false">IF(P45="","",IF(P45&gt;=15,"High",IF(P45&gt;=8,"Medium","Low")))</f>
        <v/>
      </c>
      <c r="R45" s="12"/>
      <c r="S45" s="12"/>
      <c r="T45" s="12"/>
      <c r="U45" s="13"/>
      <c r="V45" s="12"/>
      <c r="W45" s="12"/>
      <c r="X45" s="15" t="str">
        <f aca="true">IF(OR(U45="",V45="Done"),"",IF(U45&lt;TODAY(),"OVERDUE",""))</f>
        <v/>
      </c>
    </row>
    <row r="46" customFormat="false" ht="15" hidden="false" customHeight="false" outlineLevel="0" collapsed="false">
      <c r="A46" s="12"/>
      <c r="B46" s="12"/>
      <c r="C46" s="15" t="str">
        <f aca="false">IF(B46="","",IFERROR(INDEX('AI Inventory'!$B:$B,MATCH(B46,'AI Inventory'!$A:$A,0)),"ID not in inventory"))</f>
        <v/>
      </c>
      <c r="D46" s="12"/>
      <c r="E46" s="12"/>
      <c r="F46" s="12"/>
      <c r="G46" s="12"/>
      <c r="H46" s="12"/>
      <c r="I46" s="12"/>
      <c r="J46" s="15" t="str">
        <f aca="false">IF(OR(H46="",I46=""),"",VALUE(H46)*VALUE(I46))</f>
        <v/>
      </c>
      <c r="K46" s="15" t="str">
        <f aca="false">IF(J46="","",IF(J46&gt;=15,"High",IF(J46&gt;=8,"Medium","Low")))</f>
        <v/>
      </c>
      <c r="L46" s="12"/>
      <c r="M46" s="12"/>
      <c r="N46" s="12"/>
      <c r="O46" s="12"/>
      <c r="P46" s="15" t="str">
        <f aca="false">IF(OR(N46="",O46=""),"",VALUE(N46)*VALUE(O46))</f>
        <v/>
      </c>
      <c r="Q46" s="15" t="str">
        <f aca="false">IF(P46="","",IF(P46&gt;=15,"High",IF(P46&gt;=8,"Medium","Low")))</f>
        <v/>
      </c>
      <c r="R46" s="12"/>
      <c r="S46" s="12"/>
      <c r="T46" s="12"/>
      <c r="U46" s="13"/>
      <c r="V46" s="12"/>
      <c r="W46" s="12"/>
      <c r="X46" s="15" t="str">
        <f aca="true">IF(OR(U46="",V46="Done"),"",IF(U46&lt;TODAY(),"OVERDUE",""))</f>
        <v/>
      </c>
    </row>
    <row r="47" customFormat="false" ht="15" hidden="false" customHeight="false" outlineLevel="0" collapsed="false">
      <c r="A47" s="12"/>
      <c r="B47" s="12"/>
      <c r="C47" s="15" t="str">
        <f aca="false">IF(B47="","",IFERROR(INDEX('AI Inventory'!$B:$B,MATCH(B47,'AI Inventory'!$A:$A,0)),"ID not in inventory"))</f>
        <v/>
      </c>
      <c r="D47" s="12"/>
      <c r="E47" s="12"/>
      <c r="F47" s="12"/>
      <c r="G47" s="12"/>
      <c r="H47" s="12"/>
      <c r="I47" s="12"/>
      <c r="J47" s="15" t="str">
        <f aca="false">IF(OR(H47="",I47=""),"",VALUE(H47)*VALUE(I47))</f>
        <v/>
      </c>
      <c r="K47" s="15" t="str">
        <f aca="false">IF(J47="","",IF(J47&gt;=15,"High",IF(J47&gt;=8,"Medium","Low")))</f>
        <v/>
      </c>
      <c r="L47" s="12"/>
      <c r="M47" s="12"/>
      <c r="N47" s="12"/>
      <c r="O47" s="12"/>
      <c r="P47" s="15" t="str">
        <f aca="false">IF(OR(N47="",O47=""),"",VALUE(N47)*VALUE(O47))</f>
        <v/>
      </c>
      <c r="Q47" s="15" t="str">
        <f aca="false">IF(P47="","",IF(P47&gt;=15,"High",IF(P47&gt;=8,"Medium","Low")))</f>
        <v/>
      </c>
      <c r="R47" s="12"/>
      <c r="S47" s="12"/>
      <c r="T47" s="12"/>
      <c r="U47" s="13"/>
      <c r="V47" s="12"/>
      <c r="W47" s="12"/>
      <c r="X47" s="15" t="str">
        <f aca="true">IF(OR(U47="",V47="Done"),"",IF(U47&lt;TODAY(),"OVERDUE",""))</f>
        <v/>
      </c>
    </row>
    <row r="48" customFormat="false" ht="15" hidden="false" customHeight="false" outlineLevel="0" collapsed="false">
      <c r="A48" s="12"/>
      <c r="B48" s="12"/>
      <c r="C48" s="15" t="str">
        <f aca="false">IF(B48="","",IFERROR(INDEX('AI Inventory'!$B:$B,MATCH(B48,'AI Inventory'!$A:$A,0)),"ID not in inventory"))</f>
        <v/>
      </c>
      <c r="D48" s="12"/>
      <c r="E48" s="12"/>
      <c r="F48" s="12"/>
      <c r="G48" s="12"/>
      <c r="H48" s="12"/>
      <c r="I48" s="12"/>
      <c r="J48" s="15" t="str">
        <f aca="false">IF(OR(H48="",I48=""),"",VALUE(H48)*VALUE(I48))</f>
        <v/>
      </c>
      <c r="K48" s="15" t="str">
        <f aca="false">IF(J48="","",IF(J48&gt;=15,"High",IF(J48&gt;=8,"Medium","Low")))</f>
        <v/>
      </c>
      <c r="L48" s="12"/>
      <c r="M48" s="12"/>
      <c r="N48" s="12"/>
      <c r="O48" s="12"/>
      <c r="P48" s="15" t="str">
        <f aca="false">IF(OR(N48="",O48=""),"",VALUE(N48)*VALUE(O48))</f>
        <v/>
      </c>
      <c r="Q48" s="15" t="str">
        <f aca="false">IF(P48="","",IF(P48&gt;=15,"High",IF(P48&gt;=8,"Medium","Low")))</f>
        <v/>
      </c>
      <c r="R48" s="12"/>
      <c r="S48" s="12"/>
      <c r="T48" s="12"/>
      <c r="U48" s="13"/>
      <c r="V48" s="12"/>
      <c r="W48" s="12"/>
      <c r="X48" s="15" t="str">
        <f aca="true">IF(OR(U48="",V48="Done"),"",IF(U48&lt;TODAY(),"OVERDUE",""))</f>
        <v/>
      </c>
    </row>
    <row r="49" customFormat="false" ht="15" hidden="false" customHeight="false" outlineLevel="0" collapsed="false">
      <c r="A49" s="12"/>
      <c r="B49" s="12"/>
      <c r="C49" s="15" t="str">
        <f aca="false">IF(B49="","",IFERROR(INDEX('AI Inventory'!$B:$B,MATCH(B49,'AI Inventory'!$A:$A,0)),"ID not in inventory"))</f>
        <v/>
      </c>
      <c r="D49" s="12"/>
      <c r="E49" s="12"/>
      <c r="F49" s="12"/>
      <c r="G49" s="12"/>
      <c r="H49" s="12"/>
      <c r="I49" s="12"/>
      <c r="J49" s="15" t="str">
        <f aca="false">IF(OR(H49="",I49=""),"",VALUE(H49)*VALUE(I49))</f>
        <v/>
      </c>
      <c r="K49" s="15" t="str">
        <f aca="false">IF(J49="","",IF(J49&gt;=15,"High",IF(J49&gt;=8,"Medium","Low")))</f>
        <v/>
      </c>
      <c r="L49" s="12"/>
      <c r="M49" s="12"/>
      <c r="N49" s="12"/>
      <c r="O49" s="12"/>
      <c r="P49" s="15" t="str">
        <f aca="false">IF(OR(N49="",O49=""),"",VALUE(N49)*VALUE(O49))</f>
        <v/>
      </c>
      <c r="Q49" s="15" t="str">
        <f aca="false">IF(P49="","",IF(P49&gt;=15,"High",IF(P49&gt;=8,"Medium","Low")))</f>
        <v/>
      </c>
      <c r="R49" s="12"/>
      <c r="S49" s="12"/>
      <c r="T49" s="12"/>
      <c r="U49" s="13"/>
      <c r="V49" s="12"/>
      <c r="W49" s="12"/>
      <c r="X49" s="15" t="str">
        <f aca="true">IF(OR(U49="",V49="Done"),"",IF(U49&lt;TODAY(),"OVERDUE",""))</f>
        <v/>
      </c>
    </row>
    <row r="50" customFormat="false" ht="15" hidden="false" customHeight="false" outlineLevel="0" collapsed="false">
      <c r="A50" s="12"/>
      <c r="B50" s="12"/>
      <c r="C50" s="15" t="str">
        <f aca="false">IF(B50="","",IFERROR(INDEX('AI Inventory'!$B:$B,MATCH(B50,'AI Inventory'!$A:$A,0)),"ID not in inventory"))</f>
        <v/>
      </c>
      <c r="D50" s="12"/>
      <c r="E50" s="12"/>
      <c r="F50" s="12"/>
      <c r="G50" s="12"/>
      <c r="H50" s="12"/>
      <c r="I50" s="12"/>
      <c r="J50" s="15" t="str">
        <f aca="false">IF(OR(H50="",I50=""),"",VALUE(H50)*VALUE(I50))</f>
        <v/>
      </c>
      <c r="K50" s="15" t="str">
        <f aca="false">IF(J50="","",IF(J50&gt;=15,"High",IF(J50&gt;=8,"Medium","Low")))</f>
        <v/>
      </c>
      <c r="L50" s="12"/>
      <c r="M50" s="12"/>
      <c r="N50" s="12"/>
      <c r="O50" s="12"/>
      <c r="P50" s="15" t="str">
        <f aca="false">IF(OR(N50="",O50=""),"",VALUE(N50)*VALUE(O50))</f>
        <v/>
      </c>
      <c r="Q50" s="15" t="str">
        <f aca="false">IF(P50="","",IF(P50&gt;=15,"High",IF(P50&gt;=8,"Medium","Low")))</f>
        <v/>
      </c>
      <c r="R50" s="12"/>
      <c r="S50" s="12"/>
      <c r="T50" s="12"/>
      <c r="U50" s="13"/>
      <c r="V50" s="12"/>
      <c r="W50" s="12"/>
      <c r="X50" s="15" t="str">
        <f aca="true">IF(OR(U50="",V50="Done"),"",IF(U50&lt;TODAY(),"OVERDUE",""))</f>
        <v/>
      </c>
    </row>
    <row r="51" customFormat="false" ht="15" hidden="false" customHeight="false" outlineLevel="0" collapsed="false">
      <c r="A51" s="12"/>
      <c r="B51" s="12"/>
      <c r="C51" s="15" t="str">
        <f aca="false">IF(B51="","",IFERROR(INDEX('AI Inventory'!$B:$B,MATCH(B51,'AI Inventory'!$A:$A,0)),"ID not in inventory"))</f>
        <v/>
      </c>
      <c r="D51" s="12"/>
      <c r="E51" s="12"/>
      <c r="F51" s="12"/>
      <c r="G51" s="12"/>
      <c r="H51" s="12"/>
      <c r="I51" s="12"/>
      <c r="J51" s="15" t="str">
        <f aca="false">IF(OR(H51="",I51=""),"",VALUE(H51)*VALUE(I51))</f>
        <v/>
      </c>
      <c r="K51" s="15" t="str">
        <f aca="false">IF(J51="","",IF(J51&gt;=15,"High",IF(J51&gt;=8,"Medium","Low")))</f>
        <v/>
      </c>
      <c r="L51" s="12"/>
      <c r="M51" s="12"/>
      <c r="N51" s="12"/>
      <c r="O51" s="12"/>
      <c r="P51" s="15" t="str">
        <f aca="false">IF(OR(N51="",O51=""),"",VALUE(N51)*VALUE(O51))</f>
        <v/>
      </c>
      <c r="Q51" s="15" t="str">
        <f aca="false">IF(P51="","",IF(P51&gt;=15,"High",IF(P51&gt;=8,"Medium","Low")))</f>
        <v/>
      </c>
      <c r="R51" s="12"/>
      <c r="S51" s="12"/>
      <c r="T51" s="12"/>
      <c r="U51" s="13"/>
      <c r="V51" s="12"/>
      <c r="W51" s="12"/>
      <c r="X51" s="15" t="str">
        <f aca="true">IF(OR(U51="",V51="Done"),"",IF(U51&lt;TODAY(),"OVERDUE",""))</f>
        <v/>
      </c>
    </row>
    <row r="52" customFormat="false" ht="15" hidden="false" customHeight="false" outlineLevel="0" collapsed="false">
      <c r="A52" s="12"/>
      <c r="B52" s="12"/>
      <c r="C52" s="15" t="str">
        <f aca="false">IF(B52="","",IFERROR(INDEX('AI Inventory'!$B:$B,MATCH(B52,'AI Inventory'!$A:$A,0)),"ID not in inventory"))</f>
        <v/>
      </c>
      <c r="D52" s="12"/>
      <c r="E52" s="12"/>
      <c r="F52" s="12"/>
      <c r="G52" s="12"/>
      <c r="H52" s="12"/>
      <c r="I52" s="12"/>
      <c r="J52" s="15" t="str">
        <f aca="false">IF(OR(H52="",I52=""),"",VALUE(H52)*VALUE(I52))</f>
        <v/>
      </c>
      <c r="K52" s="15" t="str">
        <f aca="false">IF(J52="","",IF(J52&gt;=15,"High",IF(J52&gt;=8,"Medium","Low")))</f>
        <v/>
      </c>
      <c r="L52" s="12"/>
      <c r="M52" s="12"/>
      <c r="N52" s="12"/>
      <c r="O52" s="12"/>
      <c r="P52" s="15" t="str">
        <f aca="false">IF(OR(N52="",O52=""),"",VALUE(N52)*VALUE(O52))</f>
        <v/>
      </c>
      <c r="Q52" s="15" t="str">
        <f aca="false">IF(P52="","",IF(P52&gt;=15,"High",IF(P52&gt;=8,"Medium","Low")))</f>
        <v/>
      </c>
      <c r="R52" s="12"/>
      <c r="S52" s="12"/>
      <c r="T52" s="12"/>
      <c r="U52" s="13"/>
      <c r="V52" s="12"/>
      <c r="W52" s="12"/>
      <c r="X52" s="15" t="str">
        <f aca="true">IF(OR(U52="",V52="Done"),"",IF(U52&lt;TODAY(),"OVERDUE",""))</f>
        <v/>
      </c>
    </row>
    <row r="53" customFormat="false" ht="15" hidden="false" customHeight="false" outlineLevel="0" collapsed="false">
      <c r="A53" s="12"/>
      <c r="B53" s="12"/>
      <c r="C53" s="15" t="str">
        <f aca="false">IF(B53="","",IFERROR(INDEX('AI Inventory'!$B:$B,MATCH(B53,'AI Inventory'!$A:$A,0)),"ID not in inventory"))</f>
        <v/>
      </c>
      <c r="D53" s="12"/>
      <c r="E53" s="12"/>
      <c r="F53" s="12"/>
      <c r="G53" s="12"/>
      <c r="H53" s="12"/>
      <c r="I53" s="12"/>
      <c r="J53" s="15" t="str">
        <f aca="false">IF(OR(H53="",I53=""),"",VALUE(H53)*VALUE(I53))</f>
        <v/>
      </c>
      <c r="K53" s="15" t="str">
        <f aca="false">IF(J53="","",IF(J53&gt;=15,"High",IF(J53&gt;=8,"Medium","Low")))</f>
        <v/>
      </c>
      <c r="L53" s="12"/>
      <c r="M53" s="12"/>
      <c r="N53" s="12"/>
      <c r="O53" s="12"/>
      <c r="P53" s="15" t="str">
        <f aca="false">IF(OR(N53="",O53=""),"",VALUE(N53)*VALUE(O53))</f>
        <v/>
      </c>
      <c r="Q53" s="15" t="str">
        <f aca="false">IF(P53="","",IF(P53&gt;=15,"High",IF(P53&gt;=8,"Medium","Low")))</f>
        <v/>
      </c>
      <c r="R53" s="12"/>
      <c r="S53" s="12"/>
      <c r="T53" s="12"/>
      <c r="U53" s="13"/>
      <c r="V53" s="12"/>
      <c r="W53" s="12"/>
      <c r="X53" s="15" t="str">
        <f aca="true">IF(OR(U53="",V53="Done"),"",IF(U53&lt;TODAY(),"OVERDUE",""))</f>
        <v/>
      </c>
    </row>
    <row r="54" customFormat="false" ht="15" hidden="false" customHeight="false" outlineLevel="0" collapsed="false">
      <c r="A54" s="12"/>
      <c r="B54" s="12"/>
      <c r="C54" s="15" t="str">
        <f aca="false">IF(B54="","",IFERROR(INDEX('AI Inventory'!$B:$B,MATCH(B54,'AI Inventory'!$A:$A,0)),"ID not in inventory"))</f>
        <v/>
      </c>
      <c r="D54" s="12"/>
      <c r="E54" s="12"/>
      <c r="F54" s="12"/>
      <c r="G54" s="12"/>
      <c r="H54" s="12"/>
      <c r="I54" s="12"/>
      <c r="J54" s="15" t="str">
        <f aca="false">IF(OR(H54="",I54=""),"",VALUE(H54)*VALUE(I54))</f>
        <v/>
      </c>
      <c r="K54" s="15" t="str">
        <f aca="false">IF(J54="","",IF(J54&gt;=15,"High",IF(J54&gt;=8,"Medium","Low")))</f>
        <v/>
      </c>
      <c r="L54" s="12"/>
      <c r="M54" s="12"/>
      <c r="N54" s="12"/>
      <c r="O54" s="12"/>
      <c r="P54" s="15" t="str">
        <f aca="false">IF(OR(N54="",O54=""),"",VALUE(N54)*VALUE(O54))</f>
        <v/>
      </c>
      <c r="Q54" s="15" t="str">
        <f aca="false">IF(P54="","",IF(P54&gt;=15,"High",IF(P54&gt;=8,"Medium","Low")))</f>
        <v/>
      </c>
      <c r="R54" s="12"/>
      <c r="S54" s="12"/>
      <c r="T54" s="12"/>
      <c r="U54" s="13"/>
      <c r="V54" s="12"/>
      <c r="W54" s="12"/>
      <c r="X54" s="15" t="str">
        <f aca="true">IF(OR(U54="",V54="Done"),"",IF(U54&lt;TODAY(),"OVERDUE",""))</f>
        <v/>
      </c>
    </row>
    <row r="55" customFormat="false" ht="15" hidden="false" customHeight="false" outlineLevel="0" collapsed="false">
      <c r="A55" s="12"/>
      <c r="B55" s="12"/>
      <c r="C55" s="15" t="str">
        <f aca="false">IF(B55="","",IFERROR(INDEX('AI Inventory'!$B:$B,MATCH(B55,'AI Inventory'!$A:$A,0)),"ID not in inventory"))</f>
        <v/>
      </c>
      <c r="D55" s="12"/>
      <c r="E55" s="12"/>
      <c r="F55" s="12"/>
      <c r="G55" s="12"/>
      <c r="H55" s="12"/>
      <c r="I55" s="12"/>
      <c r="J55" s="15" t="str">
        <f aca="false">IF(OR(H55="",I55=""),"",VALUE(H55)*VALUE(I55))</f>
        <v/>
      </c>
      <c r="K55" s="15" t="str">
        <f aca="false">IF(J55="","",IF(J55&gt;=15,"High",IF(J55&gt;=8,"Medium","Low")))</f>
        <v/>
      </c>
      <c r="L55" s="12"/>
      <c r="M55" s="12"/>
      <c r="N55" s="12"/>
      <c r="O55" s="12"/>
      <c r="P55" s="15" t="str">
        <f aca="false">IF(OR(N55="",O55=""),"",VALUE(N55)*VALUE(O55))</f>
        <v/>
      </c>
      <c r="Q55" s="15" t="str">
        <f aca="false">IF(P55="","",IF(P55&gt;=15,"High",IF(P55&gt;=8,"Medium","Low")))</f>
        <v/>
      </c>
      <c r="R55" s="12"/>
      <c r="S55" s="12"/>
      <c r="T55" s="12"/>
      <c r="U55" s="13"/>
      <c r="V55" s="12"/>
      <c r="W55" s="12"/>
      <c r="X55" s="15" t="str">
        <f aca="true">IF(OR(U55="",V55="Done"),"",IF(U55&lt;TODAY(),"OVERDUE",""))</f>
        <v/>
      </c>
    </row>
    <row r="56" customFormat="false" ht="15" hidden="false" customHeight="false" outlineLevel="0" collapsed="false">
      <c r="A56" s="12"/>
      <c r="B56" s="12"/>
      <c r="C56" s="15" t="str">
        <f aca="false">IF(B56="","",IFERROR(INDEX('AI Inventory'!$B:$B,MATCH(B56,'AI Inventory'!$A:$A,0)),"ID not in inventory"))</f>
        <v/>
      </c>
      <c r="D56" s="12"/>
      <c r="E56" s="12"/>
      <c r="F56" s="12"/>
      <c r="G56" s="12"/>
      <c r="H56" s="12"/>
      <c r="I56" s="12"/>
      <c r="J56" s="15" t="str">
        <f aca="false">IF(OR(H56="",I56=""),"",VALUE(H56)*VALUE(I56))</f>
        <v/>
      </c>
      <c r="K56" s="15" t="str">
        <f aca="false">IF(J56="","",IF(J56&gt;=15,"High",IF(J56&gt;=8,"Medium","Low")))</f>
        <v/>
      </c>
      <c r="L56" s="12"/>
      <c r="M56" s="12"/>
      <c r="N56" s="12"/>
      <c r="O56" s="12"/>
      <c r="P56" s="15" t="str">
        <f aca="false">IF(OR(N56="",O56=""),"",VALUE(N56)*VALUE(O56))</f>
        <v/>
      </c>
      <c r="Q56" s="15" t="str">
        <f aca="false">IF(P56="","",IF(P56&gt;=15,"High",IF(P56&gt;=8,"Medium","Low")))</f>
        <v/>
      </c>
      <c r="R56" s="12"/>
      <c r="S56" s="12"/>
      <c r="T56" s="12"/>
      <c r="U56" s="13"/>
      <c r="V56" s="12"/>
      <c r="W56" s="12"/>
      <c r="X56" s="15" t="str">
        <f aca="true">IF(OR(U56="",V56="Done"),"",IF(U56&lt;TODAY(),"OVERDUE",""))</f>
        <v/>
      </c>
    </row>
    <row r="57" customFormat="false" ht="15" hidden="false" customHeight="false" outlineLevel="0" collapsed="false">
      <c r="A57" s="12"/>
      <c r="B57" s="12"/>
      <c r="C57" s="15" t="str">
        <f aca="false">IF(B57="","",IFERROR(INDEX('AI Inventory'!$B:$B,MATCH(B57,'AI Inventory'!$A:$A,0)),"ID not in inventory"))</f>
        <v/>
      </c>
      <c r="D57" s="12"/>
      <c r="E57" s="12"/>
      <c r="F57" s="12"/>
      <c r="G57" s="12"/>
      <c r="H57" s="12"/>
      <c r="I57" s="12"/>
      <c r="J57" s="15" t="str">
        <f aca="false">IF(OR(H57="",I57=""),"",VALUE(H57)*VALUE(I57))</f>
        <v/>
      </c>
      <c r="K57" s="15" t="str">
        <f aca="false">IF(J57="","",IF(J57&gt;=15,"High",IF(J57&gt;=8,"Medium","Low")))</f>
        <v/>
      </c>
      <c r="L57" s="12"/>
      <c r="M57" s="12"/>
      <c r="N57" s="12"/>
      <c r="O57" s="12"/>
      <c r="P57" s="15" t="str">
        <f aca="false">IF(OR(N57="",O57=""),"",VALUE(N57)*VALUE(O57))</f>
        <v/>
      </c>
      <c r="Q57" s="15" t="str">
        <f aca="false">IF(P57="","",IF(P57&gt;=15,"High",IF(P57&gt;=8,"Medium","Low")))</f>
        <v/>
      </c>
      <c r="R57" s="12"/>
      <c r="S57" s="12"/>
      <c r="T57" s="12"/>
      <c r="U57" s="13"/>
      <c r="V57" s="12"/>
      <c r="W57" s="12"/>
      <c r="X57" s="15" t="str">
        <f aca="true">IF(OR(U57="",V57="Done"),"",IF(U57&lt;TODAY(),"OVERDUE",""))</f>
        <v/>
      </c>
    </row>
    <row r="58" customFormat="false" ht="15" hidden="false" customHeight="false" outlineLevel="0" collapsed="false">
      <c r="A58" s="12"/>
      <c r="B58" s="12"/>
      <c r="C58" s="15" t="str">
        <f aca="false">IF(B58="","",IFERROR(INDEX('AI Inventory'!$B:$B,MATCH(B58,'AI Inventory'!$A:$A,0)),"ID not in inventory"))</f>
        <v/>
      </c>
      <c r="D58" s="12"/>
      <c r="E58" s="12"/>
      <c r="F58" s="12"/>
      <c r="G58" s="12"/>
      <c r="H58" s="12"/>
      <c r="I58" s="12"/>
      <c r="J58" s="15" t="str">
        <f aca="false">IF(OR(H58="",I58=""),"",VALUE(H58)*VALUE(I58))</f>
        <v/>
      </c>
      <c r="K58" s="15" t="str">
        <f aca="false">IF(J58="","",IF(J58&gt;=15,"High",IF(J58&gt;=8,"Medium","Low")))</f>
        <v/>
      </c>
      <c r="L58" s="12"/>
      <c r="M58" s="12"/>
      <c r="N58" s="12"/>
      <c r="O58" s="12"/>
      <c r="P58" s="15" t="str">
        <f aca="false">IF(OR(N58="",O58=""),"",VALUE(N58)*VALUE(O58))</f>
        <v/>
      </c>
      <c r="Q58" s="15" t="str">
        <f aca="false">IF(P58="","",IF(P58&gt;=15,"High",IF(P58&gt;=8,"Medium","Low")))</f>
        <v/>
      </c>
      <c r="R58" s="12"/>
      <c r="S58" s="12"/>
      <c r="T58" s="12"/>
      <c r="U58" s="13"/>
      <c r="V58" s="12"/>
      <c r="W58" s="12"/>
      <c r="X58" s="15" t="str">
        <f aca="true">IF(OR(U58="",V58="Done"),"",IF(U58&lt;TODAY(),"OVERDUE",""))</f>
        <v/>
      </c>
    </row>
    <row r="59" customFormat="false" ht="15" hidden="false" customHeight="false" outlineLevel="0" collapsed="false">
      <c r="A59" s="12"/>
      <c r="B59" s="12"/>
      <c r="C59" s="15" t="str">
        <f aca="false">IF(B59="","",IFERROR(INDEX('AI Inventory'!$B:$B,MATCH(B59,'AI Inventory'!$A:$A,0)),"ID not in inventory"))</f>
        <v/>
      </c>
      <c r="D59" s="12"/>
      <c r="E59" s="12"/>
      <c r="F59" s="12"/>
      <c r="G59" s="12"/>
      <c r="H59" s="12"/>
      <c r="I59" s="12"/>
      <c r="J59" s="15" t="str">
        <f aca="false">IF(OR(H59="",I59=""),"",VALUE(H59)*VALUE(I59))</f>
        <v/>
      </c>
      <c r="K59" s="15" t="str">
        <f aca="false">IF(J59="","",IF(J59&gt;=15,"High",IF(J59&gt;=8,"Medium","Low")))</f>
        <v/>
      </c>
      <c r="L59" s="12"/>
      <c r="M59" s="12"/>
      <c r="N59" s="12"/>
      <c r="O59" s="12"/>
      <c r="P59" s="15" t="str">
        <f aca="false">IF(OR(N59="",O59=""),"",VALUE(N59)*VALUE(O59))</f>
        <v/>
      </c>
      <c r="Q59" s="15" t="str">
        <f aca="false">IF(P59="","",IF(P59&gt;=15,"High",IF(P59&gt;=8,"Medium","Low")))</f>
        <v/>
      </c>
      <c r="R59" s="12"/>
      <c r="S59" s="12"/>
      <c r="T59" s="12"/>
      <c r="U59" s="13"/>
      <c r="V59" s="12"/>
      <c r="W59" s="12"/>
      <c r="X59" s="15" t="str">
        <f aca="true">IF(OR(U59="",V59="Done"),"",IF(U59&lt;TODAY(),"OVERDUE",""))</f>
        <v/>
      </c>
    </row>
    <row r="60" customFormat="false" ht="15" hidden="false" customHeight="false" outlineLevel="0" collapsed="false">
      <c r="A60" s="12"/>
      <c r="B60" s="12"/>
      <c r="C60" s="15" t="str">
        <f aca="false">IF(B60="","",IFERROR(INDEX('AI Inventory'!$B:$B,MATCH(B60,'AI Inventory'!$A:$A,0)),"ID not in inventory"))</f>
        <v/>
      </c>
      <c r="D60" s="12"/>
      <c r="E60" s="12"/>
      <c r="F60" s="12"/>
      <c r="G60" s="12"/>
      <c r="H60" s="12"/>
      <c r="I60" s="12"/>
      <c r="J60" s="15" t="str">
        <f aca="false">IF(OR(H60="",I60=""),"",VALUE(H60)*VALUE(I60))</f>
        <v/>
      </c>
      <c r="K60" s="15" t="str">
        <f aca="false">IF(J60="","",IF(J60&gt;=15,"High",IF(J60&gt;=8,"Medium","Low")))</f>
        <v/>
      </c>
      <c r="L60" s="12"/>
      <c r="M60" s="12"/>
      <c r="N60" s="12"/>
      <c r="O60" s="12"/>
      <c r="P60" s="15" t="str">
        <f aca="false">IF(OR(N60="",O60=""),"",VALUE(N60)*VALUE(O60))</f>
        <v/>
      </c>
      <c r="Q60" s="15" t="str">
        <f aca="false">IF(P60="","",IF(P60&gt;=15,"High",IF(P60&gt;=8,"Medium","Low")))</f>
        <v/>
      </c>
      <c r="R60" s="12"/>
      <c r="S60" s="12"/>
      <c r="T60" s="12"/>
      <c r="U60" s="13"/>
      <c r="V60" s="12"/>
      <c r="W60" s="12"/>
      <c r="X60" s="15" t="str">
        <f aca="true">IF(OR(U60="",V60="Done"),"",IF(U60&lt;TODAY(),"OVERDUE",""))</f>
        <v/>
      </c>
    </row>
    <row r="61" customFormat="false" ht="15" hidden="false" customHeight="false" outlineLevel="0" collapsed="false">
      <c r="A61" s="12"/>
      <c r="B61" s="12"/>
      <c r="C61" s="15" t="str">
        <f aca="false">IF(B61="","",IFERROR(INDEX('AI Inventory'!$B:$B,MATCH(B61,'AI Inventory'!$A:$A,0)),"ID not in inventory"))</f>
        <v/>
      </c>
      <c r="D61" s="12"/>
      <c r="E61" s="12"/>
      <c r="F61" s="12"/>
      <c r="G61" s="12"/>
      <c r="H61" s="12"/>
      <c r="I61" s="12"/>
      <c r="J61" s="15" t="str">
        <f aca="false">IF(OR(H61="",I61=""),"",VALUE(H61)*VALUE(I61))</f>
        <v/>
      </c>
      <c r="K61" s="15" t="str">
        <f aca="false">IF(J61="","",IF(J61&gt;=15,"High",IF(J61&gt;=8,"Medium","Low")))</f>
        <v/>
      </c>
      <c r="L61" s="12"/>
      <c r="M61" s="12"/>
      <c r="N61" s="12"/>
      <c r="O61" s="12"/>
      <c r="P61" s="15" t="str">
        <f aca="false">IF(OR(N61="",O61=""),"",VALUE(N61)*VALUE(O61))</f>
        <v/>
      </c>
      <c r="Q61" s="15" t="str">
        <f aca="false">IF(P61="","",IF(P61&gt;=15,"High",IF(P61&gt;=8,"Medium","Low")))</f>
        <v/>
      </c>
      <c r="R61" s="12"/>
      <c r="S61" s="12"/>
      <c r="T61" s="12"/>
      <c r="U61" s="13"/>
      <c r="V61" s="12"/>
      <c r="W61" s="12"/>
      <c r="X61" s="15" t="str">
        <f aca="true">IF(OR(U61="",V61="Done"),"",IF(U61&lt;TODAY(),"OVERDUE",""))</f>
        <v/>
      </c>
    </row>
    <row r="62" customFormat="false" ht="15" hidden="false" customHeight="false" outlineLevel="0" collapsed="false">
      <c r="A62" s="12"/>
      <c r="B62" s="12"/>
      <c r="C62" s="15" t="str">
        <f aca="false">IF(B62="","",IFERROR(INDEX('AI Inventory'!$B:$B,MATCH(B62,'AI Inventory'!$A:$A,0)),"ID not in inventory"))</f>
        <v/>
      </c>
      <c r="D62" s="12"/>
      <c r="E62" s="12"/>
      <c r="F62" s="12"/>
      <c r="G62" s="12"/>
      <c r="H62" s="12"/>
      <c r="I62" s="12"/>
      <c r="J62" s="15" t="str">
        <f aca="false">IF(OR(H62="",I62=""),"",VALUE(H62)*VALUE(I62))</f>
        <v/>
      </c>
      <c r="K62" s="15" t="str">
        <f aca="false">IF(J62="","",IF(J62&gt;=15,"High",IF(J62&gt;=8,"Medium","Low")))</f>
        <v/>
      </c>
      <c r="L62" s="12"/>
      <c r="M62" s="12"/>
      <c r="N62" s="12"/>
      <c r="O62" s="12"/>
      <c r="P62" s="15" t="str">
        <f aca="false">IF(OR(N62="",O62=""),"",VALUE(N62)*VALUE(O62))</f>
        <v/>
      </c>
      <c r="Q62" s="15" t="str">
        <f aca="false">IF(P62="","",IF(P62&gt;=15,"High",IF(P62&gt;=8,"Medium","Low")))</f>
        <v/>
      </c>
      <c r="R62" s="12"/>
      <c r="S62" s="12"/>
      <c r="T62" s="12"/>
      <c r="U62" s="13"/>
      <c r="V62" s="12"/>
      <c r="W62" s="12"/>
      <c r="X62" s="15" t="str">
        <f aca="true">IF(OR(U62="",V62="Done"),"",IF(U62&lt;TODAY(),"OVERDUE",""))</f>
        <v/>
      </c>
    </row>
    <row r="63" customFormat="false" ht="15" hidden="false" customHeight="false" outlineLevel="0" collapsed="false">
      <c r="A63" s="12"/>
      <c r="B63" s="12"/>
      <c r="C63" s="15" t="str">
        <f aca="false">IF(B63="","",IFERROR(INDEX('AI Inventory'!$B:$B,MATCH(B63,'AI Inventory'!$A:$A,0)),"ID not in inventory"))</f>
        <v/>
      </c>
      <c r="D63" s="12"/>
      <c r="E63" s="12"/>
      <c r="F63" s="12"/>
      <c r="G63" s="12"/>
      <c r="H63" s="12"/>
      <c r="I63" s="12"/>
      <c r="J63" s="15" t="str">
        <f aca="false">IF(OR(H63="",I63=""),"",VALUE(H63)*VALUE(I63))</f>
        <v/>
      </c>
      <c r="K63" s="15" t="str">
        <f aca="false">IF(J63="","",IF(J63&gt;=15,"High",IF(J63&gt;=8,"Medium","Low")))</f>
        <v/>
      </c>
      <c r="L63" s="12"/>
      <c r="M63" s="12"/>
      <c r="N63" s="12"/>
      <c r="O63" s="12"/>
      <c r="P63" s="15" t="str">
        <f aca="false">IF(OR(N63="",O63=""),"",VALUE(N63)*VALUE(O63))</f>
        <v/>
      </c>
      <c r="Q63" s="15" t="str">
        <f aca="false">IF(P63="","",IF(P63&gt;=15,"High",IF(P63&gt;=8,"Medium","Low")))</f>
        <v/>
      </c>
      <c r="R63" s="12"/>
      <c r="S63" s="12"/>
      <c r="T63" s="12"/>
      <c r="U63" s="13"/>
      <c r="V63" s="12"/>
      <c r="W63" s="12"/>
      <c r="X63" s="15" t="str">
        <f aca="true">IF(OR(U63="",V63="Done"),"",IF(U63&lt;TODAY(),"OVERDUE",""))</f>
        <v/>
      </c>
    </row>
    <row r="64" customFormat="false" ht="15" hidden="false" customHeight="false" outlineLevel="0" collapsed="false">
      <c r="A64" s="12"/>
      <c r="B64" s="12"/>
      <c r="C64" s="15" t="str">
        <f aca="false">IF(B64="","",IFERROR(INDEX('AI Inventory'!$B:$B,MATCH(B64,'AI Inventory'!$A:$A,0)),"ID not in inventory"))</f>
        <v/>
      </c>
      <c r="D64" s="12"/>
      <c r="E64" s="12"/>
      <c r="F64" s="12"/>
      <c r="G64" s="12"/>
      <c r="H64" s="12"/>
      <c r="I64" s="12"/>
      <c r="J64" s="15" t="str">
        <f aca="false">IF(OR(H64="",I64=""),"",VALUE(H64)*VALUE(I64))</f>
        <v/>
      </c>
      <c r="K64" s="15" t="str">
        <f aca="false">IF(J64="","",IF(J64&gt;=15,"High",IF(J64&gt;=8,"Medium","Low")))</f>
        <v/>
      </c>
      <c r="L64" s="12"/>
      <c r="M64" s="12"/>
      <c r="N64" s="12"/>
      <c r="O64" s="12"/>
      <c r="P64" s="15" t="str">
        <f aca="false">IF(OR(N64="",O64=""),"",VALUE(N64)*VALUE(O64))</f>
        <v/>
      </c>
      <c r="Q64" s="15" t="str">
        <f aca="false">IF(P64="","",IF(P64&gt;=15,"High",IF(P64&gt;=8,"Medium","Low")))</f>
        <v/>
      </c>
      <c r="R64" s="12"/>
      <c r="S64" s="12"/>
      <c r="T64" s="12"/>
      <c r="U64" s="13"/>
      <c r="V64" s="12"/>
      <c r="W64" s="12"/>
      <c r="X64" s="15" t="str">
        <f aca="true">IF(OR(U64="",V64="Done"),"",IF(U64&lt;TODAY(),"OVERDUE",""))</f>
        <v/>
      </c>
    </row>
    <row r="65" customFormat="false" ht="15" hidden="false" customHeight="false" outlineLevel="0" collapsed="false">
      <c r="A65" s="12"/>
      <c r="B65" s="12"/>
      <c r="C65" s="15" t="str">
        <f aca="false">IF(B65="","",IFERROR(INDEX('AI Inventory'!$B:$B,MATCH(B65,'AI Inventory'!$A:$A,0)),"ID not in inventory"))</f>
        <v/>
      </c>
      <c r="D65" s="12"/>
      <c r="E65" s="12"/>
      <c r="F65" s="12"/>
      <c r="G65" s="12"/>
      <c r="H65" s="12"/>
      <c r="I65" s="12"/>
      <c r="J65" s="15" t="str">
        <f aca="false">IF(OR(H65="",I65=""),"",VALUE(H65)*VALUE(I65))</f>
        <v/>
      </c>
      <c r="K65" s="15" t="str">
        <f aca="false">IF(J65="","",IF(J65&gt;=15,"High",IF(J65&gt;=8,"Medium","Low")))</f>
        <v/>
      </c>
      <c r="L65" s="12"/>
      <c r="M65" s="12"/>
      <c r="N65" s="12"/>
      <c r="O65" s="12"/>
      <c r="P65" s="15" t="str">
        <f aca="false">IF(OR(N65="",O65=""),"",VALUE(N65)*VALUE(O65))</f>
        <v/>
      </c>
      <c r="Q65" s="15" t="str">
        <f aca="false">IF(P65="","",IF(P65&gt;=15,"High",IF(P65&gt;=8,"Medium","Low")))</f>
        <v/>
      </c>
      <c r="R65" s="12"/>
      <c r="S65" s="12"/>
      <c r="T65" s="12"/>
      <c r="U65" s="13"/>
      <c r="V65" s="12"/>
      <c r="W65" s="12"/>
      <c r="X65" s="15" t="str">
        <f aca="true">IF(OR(U65="",V65="Done"),"",IF(U65&lt;TODAY(),"OVERDUE",""))</f>
        <v/>
      </c>
    </row>
    <row r="66" customFormat="false" ht="15" hidden="false" customHeight="false" outlineLevel="0" collapsed="false">
      <c r="A66" s="12"/>
      <c r="B66" s="12"/>
      <c r="C66" s="15" t="str">
        <f aca="false">IF(B66="","",IFERROR(INDEX('AI Inventory'!$B:$B,MATCH(B66,'AI Inventory'!$A:$A,0)),"ID not in inventory"))</f>
        <v/>
      </c>
      <c r="D66" s="12"/>
      <c r="E66" s="12"/>
      <c r="F66" s="12"/>
      <c r="G66" s="12"/>
      <c r="H66" s="12"/>
      <c r="I66" s="12"/>
      <c r="J66" s="15" t="str">
        <f aca="false">IF(OR(H66="",I66=""),"",VALUE(H66)*VALUE(I66))</f>
        <v/>
      </c>
      <c r="K66" s="15" t="str">
        <f aca="false">IF(J66="","",IF(J66&gt;=15,"High",IF(J66&gt;=8,"Medium","Low")))</f>
        <v/>
      </c>
      <c r="L66" s="12"/>
      <c r="M66" s="12"/>
      <c r="N66" s="12"/>
      <c r="O66" s="12"/>
      <c r="P66" s="15" t="str">
        <f aca="false">IF(OR(N66="",O66=""),"",VALUE(N66)*VALUE(O66))</f>
        <v/>
      </c>
      <c r="Q66" s="15" t="str">
        <f aca="false">IF(P66="","",IF(P66&gt;=15,"High",IF(P66&gt;=8,"Medium","Low")))</f>
        <v/>
      </c>
      <c r="R66" s="12"/>
      <c r="S66" s="12"/>
      <c r="T66" s="12"/>
      <c r="U66" s="13"/>
      <c r="V66" s="12"/>
      <c r="W66" s="12"/>
      <c r="X66" s="15" t="str">
        <f aca="true">IF(OR(U66="",V66="Done"),"",IF(U66&lt;TODAY(),"OVERDUE",""))</f>
        <v/>
      </c>
    </row>
    <row r="67" customFormat="false" ht="15" hidden="false" customHeight="false" outlineLevel="0" collapsed="false">
      <c r="A67" s="12"/>
      <c r="B67" s="12"/>
      <c r="C67" s="15" t="str">
        <f aca="false">IF(B67="","",IFERROR(INDEX('AI Inventory'!$B:$B,MATCH(B67,'AI Inventory'!$A:$A,0)),"ID not in inventory"))</f>
        <v/>
      </c>
      <c r="D67" s="12"/>
      <c r="E67" s="12"/>
      <c r="F67" s="12"/>
      <c r="G67" s="12"/>
      <c r="H67" s="12"/>
      <c r="I67" s="12"/>
      <c r="J67" s="15" t="str">
        <f aca="false">IF(OR(H67="",I67=""),"",VALUE(H67)*VALUE(I67))</f>
        <v/>
      </c>
      <c r="K67" s="15" t="str">
        <f aca="false">IF(J67="","",IF(J67&gt;=15,"High",IF(J67&gt;=8,"Medium","Low")))</f>
        <v/>
      </c>
      <c r="L67" s="12"/>
      <c r="M67" s="12"/>
      <c r="N67" s="12"/>
      <c r="O67" s="12"/>
      <c r="P67" s="15" t="str">
        <f aca="false">IF(OR(N67="",O67=""),"",VALUE(N67)*VALUE(O67))</f>
        <v/>
      </c>
      <c r="Q67" s="15" t="str">
        <f aca="false">IF(P67="","",IF(P67&gt;=15,"High",IF(P67&gt;=8,"Medium","Low")))</f>
        <v/>
      </c>
      <c r="R67" s="12"/>
      <c r="S67" s="12"/>
      <c r="T67" s="12"/>
      <c r="U67" s="13"/>
      <c r="V67" s="12"/>
      <c r="W67" s="12"/>
      <c r="X67" s="15" t="str">
        <f aca="true">IF(OR(U67="",V67="Done"),"",IF(U67&lt;TODAY(),"OVERDUE",""))</f>
        <v/>
      </c>
    </row>
    <row r="68" customFormat="false" ht="15" hidden="false" customHeight="false" outlineLevel="0" collapsed="false">
      <c r="A68" s="12"/>
      <c r="B68" s="12"/>
      <c r="C68" s="15" t="str">
        <f aca="false">IF(B68="","",IFERROR(INDEX('AI Inventory'!$B:$B,MATCH(B68,'AI Inventory'!$A:$A,0)),"ID not in inventory"))</f>
        <v/>
      </c>
      <c r="D68" s="12"/>
      <c r="E68" s="12"/>
      <c r="F68" s="12"/>
      <c r="G68" s="12"/>
      <c r="H68" s="12"/>
      <c r="I68" s="12"/>
      <c r="J68" s="15" t="str">
        <f aca="false">IF(OR(H68="",I68=""),"",VALUE(H68)*VALUE(I68))</f>
        <v/>
      </c>
      <c r="K68" s="15" t="str">
        <f aca="false">IF(J68="","",IF(J68&gt;=15,"High",IF(J68&gt;=8,"Medium","Low")))</f>
        <v/>
      </c>
      <c r="L68" s="12"/>
      <c r="M68" s="12"/>
      <c r="N68" s="12"/>
      <c r="O68" s="12"/>
      <c r="P68" s="15" t="str">
        <f aca="false">IF(OR(N68="",O68=""),"",VALUE(N68)*VALUE(O68))</f>
        <v/>
      </c>
      <c r="Q68" s="15" t="str">
        <f aca="false">IF(P68="","",IF(P68&gt;=15,"High",IF(P68&gt;=8,"Medium","Low")))</f>
        <v/>
      </c>
      <c r="R68" s="12"/>
      <c r="S68" s="12"/>
      <c r="T68" s="12"/>
      <c r="U68" s="13"/>
      <c r="V68" s="12"/>
      <c r="W68" s="12"/>
      <c r="X68" s="15" t="str">
        <f aca="true">IF(OR(U68="",V68="Done"),"",IF(U68&lt;TODAY(),"OVERDUE",""))</f>
        <v/>
      </c>
    </row>
    <row r="69" customFormat="false" ht="15" hidden="false" customHeight="false" outlineLevel="0" collapsed="false">
      <c r="A69" s="12"/>
      <c r="B69" s="12"/>
      <c r="C69" s="15" t="str">
        <f aca="false">IF(B69="","",IFERROR(INDEX('AI Inventory'!$B:$B,MATCH(B69,'AI Inventory'!$A:$A,0)),"ID not in inventory"))</f>
        <v/>
      </c>
      <c r="D69" s="12"/>
      <c r="E69" s="12"/>
      <c r="F69" s="12"/>
      <c r="G69" s="12"/>
      <c r="H69" s="12"/>
      <c r="I69" s="12"/>
      <c r="J69" s="15" t="str">
        <f aca="false">IF(OR(H69="",I69=""),"",VALUE(H69)*VALUE(I69))</f>
        <v/>
      </c>
      <c r="K69" s="15" t="str">
        <f aca="false">IF(J69="","",IF(J69&gt;=15,"High",IF(J69&gt;=8,"Medium","Low")))</f>
        <v/>
      </c>
      <c r="L69" s="12"/>
      <c r="M69" s="12"/>
      <c r="N69" s="12"/>
      <c r="O69" s="12"/>
      <c r="P69" s="15" t="str">
        <f aca="false">IF(OR(N69="",O69=""),"",VALUE(N69)*VALUE(O69))</f>
        <v/>
      </c>
      <c r="Q69" s="15" t="str">
        <f aca="false">IF(P69="","",IF(P69&gt;=15,"High",IF(P69&gt;=8,"Medium","Low")))</f>
        <v/>
      </c>
      <c r="R69" s="12"/>
      <c r="S69" s="12"/>
      <c r="T69" s="12"/>
      <c r="U69" s="13"/>
      <c r="V69" s="12"/>
      <c r="W69" s="12"/>
      <c r="X69" s="15" t="str">
        <f aca="true">IF(OR(U69="",V69="Done"),"",IF(U69&lt;TODAY(),"OVERDUE",""))</f>
        <v/>
      </c>
    </row>
    <row r="70" customFormat="false" ht="15" hidden="false" customHeight="false" outlineLevel="0" collapsed="false">
      <c r="A70" s="12"/>
      <c r="B70" s="12"/>
      <c r="C70" s="15" t="str">
        <f aca="false">IF(B70="","",IFERROR(INDEX('AI Inventory'!$B:$B,MATCH(B70,'AI Inventory'!$A:$A,0)),"ID not in inventory"))</f>
        <v/>
      </c>
      <c r="D70" s="12"/>
      <c r="E70" s="12"/>
      <c r="F70" s="12"/>
      <c r="G70" s="12"/>
      <c r="H70" s="12"/>
      <c r="I70" s="12"/>
      <c r="J70" s="15" t="str">
        <f aca="false">IF(OR(H70="",I70=""),"",VALUE(H70)*VALUE(I70))</f>
        <v/>
      </c>
      <c r="K70" s="15" t="str">
        <f aca="false">IF(J70="","",IF(J70&gt;=15,"High",IF(J70&gt;=8,"Medium","Low")))</f>
        <v/>
      </c>
      <c r="L70" s="12"/>
      <c r="M70" s="12"/>
      <c r="N70" s="12"/>
      <c r="O70" s="12"/>
      <c r="P70" s="15" t="str">
        <f aca="false">IF(OR(N70="",O70=""),"",VALUE(N70)*VALUE(O70))</f>
        <v/>
      </c>
      <c r="Q70" s="15" t="str">
        <f aca="false">IF(P70="","",IF(P70&gt;=15,"High",IF(P70&gt;=8,"Medium","Low")))</f>
        <v/>
      </c>
      <c r="R70" s="12"/>
      <c r="S70" s="12"/>
      <c r="T70" s="12"/>
      <c r="U70" s="13"/>
      <c r="V70" s="12"/>
      <c r="W70" s="12"/>
      <c r="X70" s="15" t="str">
        <f aca="true">IF(OR(U70="",V70="Done"),"",IF(U70&lt;TODAY(),"OVERDUE",""))</f>
        <v/>
      </c>
    </row>
    <row r="71" customFormat="false" ht="15" hidden="false" customHeight="false" outlineLevel="0" collapsed="false">
      <c r="A71" s="12"/>
      <c r="B71" s="12"/>
      <c r="C71" s="15" t="str">
        <f aca="false">IF(B71="","",IFERROR(INDEX('AI Inventory'!$B:$B,MATCH(B71,'AI Inventory'!$A:$A,0)),"ID not in inventory"))</f>
        <v/>
      </c>
      <c r="D71" s="12"/>
      <c r="E71" s="12"/>
      <c r="F71" s="12"/>
      <c r="G71" s="12"/>
      <c r="H71" s="12"/>
      <c r="I71" s="12"/>
      <c r="J71" s="15" t="str">
        <f aca="false">IF(OR(H71="",I71=""),"",VALUE(H71)*VALUE(I71))</f>
        <v/>
      </c>
      <c r="K71" s="15" t="str">
        <f aca="false">IF(J71="","",IF(J71&gt;=15,"High",IF(J71&gt;=8,"Medium","Low")))</f>
        <v/>
      </c>
      <c r="L71" s="12"/>
      <c r="M71" s="12"/>
      <c r="N71" s="12"/>
      <c r="O71" s="12"/>
      <c r="P71" s="15" t="str">
        <f aca="false">IF(OR(N71="",O71=""),"",VALUE(N71)*VALUE(O71))</f>
        <v/>
      </c>
      <c r="Q71" s="15" t="str">
        <f aca="false">IF(P71="","",IF(P71&gt;=15,"High",IF(P71&gt;=8,"Medium","Low")))</f>
        <v/>
      </c>
      <c r="R71" s="12"/>
      <c r="S71" s="12"/>
      <c r="T71" s="12"/>
      <c r="U71" s="13"/>
      <c r="V71" s="12"/>
      <c r="W71" s="12"/>
      <c r="X71" s="15" t="str">
        <f aca="true">IF(OR(U71="",V71="Done"),"",IF(U71&lt;TODAY(),"OVERDUE",""))</f>
        <v/>
      </c>
    </row>
    <row r="72" customFormat="false" ht="15" hidden="false" customHeight="false" outlineLevel="0" collapsed="false">
      <c r="A72" s="12"/>
      <c r="B72" s="12"/>
      <c r="C72" s="15" t="str">
        <f aca="false">IF(B72="","",IFERROR(INDEX('AI Inventory'!$B:$B,MATCH(B72,'AI Inventory'!$A:$A,0)),"ID not in inventory"))</f>
        <v/>
      </c>
      <c r="D72" s="12"/>
      <c r="E72" s="12"/>
      <c r="F72" s="12"/>
      <c r="G72" s="12"/>
      <c r="H72" s="12"/>
      <c r="I72" s="12"/>
      <c r="J72" s="15" t="str">
        <f aca="false">IF(OR(H72="",I72=""),"",VALUE(H72)*VALUE(I72))</f>
        <v/>
      </c>
      <c r="K72" s="15" t="str">
        <f aca="false">IF(J72="","",IF(J72&gt;=15,"High",IF(J72&gt;=8,"Medium","Low")))</f>
        <v/>
      </c>
      <c r="L72" s="12"/>
      <c r="M72" s="12"/>
      <c r="N72" s="12"/>
      <c r="O72" s="12"/>
      <c r="P72" s="15" t="str">
        <f aca="false">IF(OR(N72="",O72=""),"",VALUE(N72)*VALUE(O72))</f>
        <v/>
      </c>
      <c r="Q72" s="15" t="str">
        <f aca="false">IF(P72="","",IF(P72&gt;=15,"High",IF(P72&gt;=8,"Medium","Low")))</f>
        <v/>
      </c>
      <c r="R72" s="12"/>
      <c r="S72" s="12"/>
      <c r="T72" s="12"/>
      <c r="U72" s="13"/>
      <c r="V72" s="12"/>
      <c r="W72" s="12"/>
      <c r="X72" s="15" t="str">
        <f aca="true">IF(OR(U72="",V72="Done"),"",IF(U72&lt;TODAY(),"OVERDUE",""))</f>
        <v/>
      </c>
    </row>
    <row r="73" customFormat="false" ht="15" hidden="false" customHeight="false" outlineLevel="0" collapsed="false">
      <c r="A73" s="12"/>
      <c r="B73" s="12"/>
      <c r="C73" s="15" t="str">
        <f aca="false">IF(B73="","",IFERROR(INDEX('AI Inventory'!$B:$B,MATCH(B73,'AI Inventory'!$A:$A,0)),"ID not in inventory"))</f>
        <v/>
      </c>
      <c r="D73" s="12"/>
      <c r="E73" s="12"/>
      <c r="F73" s="12"/>
      <c r="G73" s="12"/>
      <c r="H73" s="12"/>
      <c r="I73" s="12"/>
      <c r="J73" s="15" t="str">
        <f aca="false">IF(OR(H73="",I73=""),"",VALUE(H73)*VALUE(I73))</f>
        <v/>
      </c>
      <c r="K73" s="15" t="str">
        <f aca="false">IF(J73="","",IF(J73&gt;=15,"High",IF(J73&gt;=8,"Medium","Low")))</f>
        <v/>
      </c>
      <c r="L73" s="12"/>
      <c r="M73" s="12"/>
      <c r="N73" s="12"/>
      <c r="O73" s="12"/>
      <c r="P73" s="15" t="str">
        <f aca="false">IF(OR(N73="",O73=""),"",VALUE(N73)*VALUE(O73))</f>
        <v/>
      </c>
      <c r="Q73" s="15" t="str">
        <f aca="false">IF(P73="","",IF(P73&gt;=15,"High",IF(P73&gt;=8,"Medium","Low")))</f>
        <v/>
      </c>
      <c r="R73" s="12"/>
      <c r="S73" s="12"/>
      <c r="T73" s="12"/>
      <c r="U73" s="13"/>
      <c r="V73" s="12"/>
      <c r="W73" s="12"/>
      <c r="X73" s="15" t="str">
        <f aca="true">IF(OR(U73="",V73="Done"),"",IF(U73&lt;TODAY(),"OVERDUE",""))</f>
        <v/>
      </c>
    </row>
    <row r="74" customFormat="false" ht="15" hidden="false" customHeight="false" outlineLevel="0" collapsed="false">
      <c r="A74" s="12"/>
      <c r="B74" s="12"/>
      <c r="C74" s="15" t="str">
        <f aca="false">IF(B74="","",IFERROR(INDEX('AI Inventory'!$B:$B,MATCH(B74,'AI Inventory'!$A:$A,0)),"ID not in inventory"))</f>
        <v/>
      </c>
      <c r="D74" s="12"/>
      <c r="E74" s="12"/>
      <c r="F74" s="12"/>
      <c r="G74" s="12"/>
      <c r="H74" s="12"/>
      <c r="I74" s="12"/>
      <c r="J74" s="15" t="str">
        <f aca="false">IF(OR(H74="",I74=""),"",VALUE(H74)*VALUE(I74))</f>
        <v/>
      </c>
      <c r="K74" s="15" t="str">
        <f aca="false">IF(J74="","",IF(J74&gt;=15,"High",IF(J74&gt;=8,"Medium","Low")))</f>
        <v/>
      </c>
      <c r="L74" s="12"/>
      <c r="M74" s="12"/>
      <c r="N74" s="12"/>
      <c r="O74" s="12"/>
      <c r="P74" s="15" t="str">
        <f aca="false">IF(OR(N74="",O74=""),"",VALUE(N74)*VALUE(O74))</f>
        <v/>
      </c>
      <c r="Q74" s="15" t="str">
        <f aca="false">IF(P74="","",IF(P74&gt;=15,"High",IF(P74&gt;=8,"Medium","Low")))</f>
        <v/>
      </c>
      <c r="R74" s="12"/>
      <c r="S74" s="12"/>
      <c r="T74" s="12"/>
      <c r="U74" s="13"/>
      <c r="V74" s="12"/>
      <c r="W74" s="12"/>
      <c r="X74" s="15" t="str">
        <f aca="true">IF(OR(U74="",V74="Done"),"",IF(U74&lt;TODAY(),"OVERDUE",""))</f>
        <v/>
      </c>
    </row>
    <row r="75" customFormat="false" ht="15" hidden="false" customHeight="false" outlineLevel="0" collapsed="false">
      <c r="A75" s="12"/>
      <c r="B75" s="12"/>
      <c r="C75" s="15" t="str">
        <f aca="false">IF(B75="","",IFERROR(INDEX('AI Inventory'!$B:$B,MATCH(B75,'AI Inventory'!$A:$A,0)),"ID not in inventory"))</f>
        <v/>
      </c>
      <c r="D75" s="12"/>
      <c r="E75" s="12"/>
      <c r="F75" s="12"/>
      <c r="G75" s="12"/>
      <c r="H75" s="12"/>
      <c r="I75" s="12"/>
      <c r="J75" s="15" t="str">
        <f aca="false">IF(OR(H75="",I75=""),"",VALUE(H75)*VALUE(I75))</f>
        <v/>
      </c>
      <c r="K75" s="15" t="str">
        <f aca="false">IF(J75="","",IF(J75&gt;=15,"High",IF(J75&gt;=8,"Medium","Low")))</f>
        <v/>
      </c>
      <c r="L75" s="12"/>
      <c r="M75" s="12"/>
      <c r="N75" s="12"/>
      <c r="O75" s="12"/>
      <c r="P75" s="15" t="str">
        <f aca="false">IF(OR(N75="",O75=""),"",VALUE(N75)*VALUE(O75))</f>
        <v/>
      </c>
      <c r="Q75" s="15" t="str">
        <f aca="false">IF(P75="","",IF(P75&gt;=15,"High",IF(P75&gt;=8,"Medium","Low")))</f>
        <v/>
      </c>
      <c r="R75" s="12"/>
      <c r="S75" s="12"/>
      <c r="T75" s="12"/>
      <c r="U75" s="13"/>
      <c r="V75" s="12"/>
      <c r="W75" s="12"/>
      <c r="X75" s="15" t="str">
        <f aca="true">IF(OR(U75="",V75="Done"),"",IF(U75&lt;TODAY(),"OVERDUE",""))</f>
        <v/>
      </c>
    </row>
    <row r="76" customFormat="false" ht="15" hidden="false" customHeight="false" outlineLevel="0" collapsed="false">
      <c r="A76" s="12"/>
      <c r="B76" s="12"/>
      <c r="C76" s="15" t="str">
        <f aca="false">IF(B76="","",IFERROR(INDEX('AI Inventory'!$B:$B,MATCH(B76,'AI Inventory'!$A:$A,0)),"ID not in inventory"))</f>
        <v/>
      </c>
      <c r="D76" s="12"/>
      <c r="E76" s="12"/>
      <c r="F76" s="12"/>
      <c r="G76" s="12"/>
      <c r="H76" s="12"/>
      <c r="I76" s="12"/>
      <c r="J76" s="15" t="str">
        <f aca="false">IF(OR(H76="",I76=""),"",VALUE(H76)*VALUE(I76))</f>
        <v/>
      </c>
      <c r="K76" s="15" t="str">
        <f aca="false">IF(J76="","",IF(J76&gt;=15,"High",IF(J76&gt;=8,"Medium","Low")))</f>
        <v/>
      </c>
      <c r="L76" s="12"/>
      <c r="M76" s="12"/>
      <c r="N76" s="12"/>
      <c r="O76" s="12"/>
      <c r="P76" s="15" t="str">
        <f aca="false">IF(OR(N76="",O76=""),"",VALUE(N76)*VALUE(O76))</f>
        <v/>
      </c>
      <c r="Q76" s="15" t="str">
        <f aca="false">IF(P76="","",IF(P76&gt;=15,"High",IF(P76&gt;=8,"Medium","Low")))</f>
        <v/>
      </c>
      <c r="R76" s="12"/>
      <c r="S76" s="12"/>
      <c r="T76" s="12"/>
      <c r="U76" s="13"/>
      <c r="V76" s="12"/>
      <c r="W76" s="12"/>
      <c r="X76" s="15" t="str">
        <f aca="true">IF(OR(U76="",V76="Done"),"",IF(U76&lt;TODAY(),"OVERDUE",""))</f>
        <v/>
      </c>
    </row>
    <row r="77" customFormat="false" ht="15" hidden="false" customHeight="false" outlineLevel="0" collapsed="false">
      <c r="A77" s="12"/>
      <c r="B77" s="12"/>
      <c r="C77" s="15" t="str">
        <f aca="false">IF(B77="","",IFERROR(INDEX('AI Inventory'!$B:$B,MATCH(B77,'AI Inventory'!$A:$A,0)),"ID not in inventory"))</f>
        <v/>
      </c>
      <c r="D77" s="12"/>
      <c r="E77" s="12"/>
      <c r="F77" s="12"/>
      <c r="G77" s="12"/>
      <c r="H77" s="12"/>
      <c r="I77" s="12"/>
      <c r="J77" s="15" t="str">
        <f aca="false">IF(OR(H77="",I77=""),"",VALUE(H77)*VALUE(I77))</f>
        <v/>
      </c>
      <c r="K77" s="15" t="str">
        <f aca="false">IF(J77="","",IF(J77&gt;=15,"High",IF(J77&gt;=8,"Medium","Low")))</f>
        <v/>
      </c>
      <c r="L77" s="12"/>
      <c r="M77" s="12"/>
      <c r="N77" s="12"/>
      <c r="O77" s="12"/>
      <c r="P77" s="15" t="str">
        <f aca="false">IF(OR(N77="",O77=""),"",VALUE(N77)*VALUE(O77))</f>
        <v/>
      </c>
      <c r="Q77" s="15" t="str">
        <f aca="false">IF(P77="","",IF(P77&gt;=15,"High",IF(P77&gt;=8,"Medium","Low")))</f>
        <v/>
      </c>
      <c r="R77" s="12"/>
      <c r="S77" s="12"/>
      <c r="T77" s="12"/>
      <c r="U77" s="13"/>
      <c r="V77" s="12"/>
      <c r="W77" s="12"/>
      <c r="X77" s="15" t="str">
        <f aca="true">IF(OR(U77="",V77="Done"),"",IF(U77&lt;TODAY(),"OVERDUE",""))</f>
        <v/>
      </c>
    </row>
    <row r="78" customFormat="false" ht="15" hidden="false" customHeight="false" outlineLevel="0" collapsed="false">
      <c r="A78" s="12"/>
      <c r="B78" s="12"/>
      <c r="C78" s="15" t="str">
        <f aca="false">IF(B78="","",IFERROR(INDEX('AI Inventory'!$B:$B,MATCH(B78,'AI Inventory'!$A:$A,0)),"ID not in inventory"))</f>
        <v/>
      </c>
      <c r="D78" s="12"/>
      <c r="E78" s="12"/>
      <c r="F78" s="12"/>
      <c r="G78" s="12"/>
      <c r="H78" s="12"/>
      <c r="I78" s="12"/>
      <c r="J78" s="15" t="str">
        <f aca="false">IF(OR(H78="",I78=""),"",VALUE(H78)*VALUE(I78))</f>
        <v/>
      </c>
      <c r="K78" s="15" t="str">
        <f aca="false">IF(J78="","",IF(J78&gt;=15,"High",IF(J78&gt;=8,"Medium","Low")))</f>
        <v/>
      </c>
      <c r="L78" s="12"/>
      <c r="M78" s="12"/>
      <c r="N78" s="12"/>
      <c r="O78" s="12"/>
      <c r="P78" s="15" t="str">
        <f aca="false">IF(OR(N78="",O78=""),"",VALUE(N78)*VALUE(O78))</f>
        <v/>
      </c>
      <c r="Q78" s="15" t="str">
        <f aca="false">IF(P78="","",IF(P78&gt;=15,"High",IF(P78&gt;=8,"Medium","Low")))</f>
        <v/>
      </c>
      <c r="R78" s="12"/>
      <c r="S78" s="12"/>
      <c r="T78" s="12"/>
      <c r="U78" s="13"/>
      <c r="V78" s="12"/>
      <c r="W78" s="12"/>
      <c r="X78" s="15" t="str">
        <f aca="true">IF(OR(U78="",V78="Done"),"",IF(U78&lt;TODAY(),"OVERDUE",""))</f>
        <v/>
      </c>
    </row>
    <row r="79" customFormat="false" ht="15" hidden="false" customHeight="false" outlineLevel="0" collapsed="false">
      <c r="A79" s="12"/>
      <c r="B79" s="12"/>
      <c r="C79" s="15" t="str">
        <f aca="false">IF(B79="","",IFERROR(INDEX('AI Inventory'!$B:$B,MATCH(B79,'AI Inventory'!$A:$A,0)),"ID not in inventory"))</f>
        <v/>
      </c>
      <c r="D79" s="12"/>
      <c r="E79" s="12"/>
      <c r="F79" s="12"/>
      <c r="G79" s="12"/>
      <c r="H79" s="12"/>
      <c r="I79" s="12"/>
      <c r="J79" s="15" t="str">
        <f aca="false">IF(OR(H79="",I79=""),"",VALUE(H79)*VALUE(I79))</f>
        <v/>
      </c>
      <c r="K79" s="15" t="str">
        <f aca="false">IF(J79="","",IF(J79&gt;=15,"High",IF(J79&gt;=8,"Medium","Low")))</f>
        <v/>
      </c>
      <c r="L79" s="12"/>
      <c r="M79" s="12"/>
      <c r="N79" s="12"/>
      <c r="O79" s="12"/>
      <c r="P79" s="15" t="str">
        <f aca="false">IF(OR(N79="",O79=""),"",VALUE(N79)*VALUE(O79))</f>
        <v/>
      </c>
      <c r="Q79" s="15" t="str">
        <f aca="false">IF(P79="","",IF(P79&gt;=15,"High",IF(P79&gt;=8,"Medium","Low")))</f>
        <v/>
      </c>
      <c r="R79" s="12"/>
      <c r="S79" s="12"/>
      <c r="T79" s="12"/>
      <c r="U79" s="13"/>
      <c r="V79" s="12"/>
      <c r="W79" s="12"/>
      <c r="X79" s="15" t="str">
        <f aca="true">IF(OR(U79="",V79="Done"),"",IF(U79&lt;TODAY(),"OVERDUE",""))</f>
        <v/>
      </c>
    </row>
    <row r="80" customFormat="false" ht="15" hidden="false" customHeight="false" outlineLevel="0" collapsed="false">
      <c r="A80" s="12"/>
      <c r="B80" s="12"/>
      <c r="C80" s="15" t="str">
        <f aca="false">IF(B80="","",IFERROR(INDEX('AI Inventory'!$B:$B,MATCH(B80,'AI Inventory'!$A:$A,0)),"ID not in inventory"))</f>
        <v/>
      </c>
      <c r="D80" s="12"/>
      <c r="E80" s="12"/>
      <c r="F80" s="12"/>
      <c r="G80" s="12"/>
      <c r="H80" s="12"/>
      <c r="I80" s="12"/>
      <c r="J80" s="15" t="str">
        <f aca="false">IF(OR(H80="",I80=""),"",VALUE(H80)*VALUE(I80))</f>
        <v/>
      </c>
      <c r="K80" s="15" t="str">
        <f aca="false">IF(J80="","",IF(J80&gt;=15,"High",IF(J80&gt;=8,"Medium","Low")))</f>
        <v/>
      </c>
      <c r="L80" s="12"/>
      <c r="M80" s="12"/>
      <c r="N80" s="12"/>
      <c r="O80" s="12"/>
      <c r="P80" s="15" t="str">
        <f aca="false">IF(OR(N80="",O80=""),"",VALUE(N80)*VALUE(O80))</f>
        <v/>
      </c>
      <c r="Q80" s="15" t="str">
        <f aca="false">IF(P80="","",IF(P80&gt;=15,"High",IF(P80&gt;=8,"Medium","Low")))</f>
        <v/>
      </c>
      <c r="R80" s="12"/>
      <c r="S80" s="12"/>
      <c r="T80" s="12"/>
      <c r="U80" s="13"/>
      <c r="V80" s="12"/>
      <c r="W80" s="12"/>
      <c r="X80" s="15" t="str">
        <f aca="true">IF(OR(U80="",V80="Done"),"",IF(U80&lt;TODAY(),"OVERDUE",""))</f>
        <v/>
      </c>
    </row>
    <row r="81" customFormat="false" ht="15" hidden="false" customHeight="false" outlineLevel="0" collapsed="false">
      <c r="A81" s="12"/>
      <c r="B81" s="12"/>
      <c r="C81" s="15" t="str">
        <f aca="false">IF(B81="","",IFERROR(INDEX('AI Inventory'!$B:$B,MATCH(B81,'AI Inventory'!$A:$A,0)),"ID not in inventory"))</f>
        <v/>
      </c>
      <c r="D81" s="12"/>
      <c r="E81" s="12"/>
      <c r="F81" s="12"/>
      <c r="G81" s="12"/>
      <c r="H81" s="12"/>
      <c r="I81" s="12"/>
      <c r="J81" s="15" t="str">
        <f aca="false">IF(OR(H81="",I81=""),"",VALUE(H81)*VALUE(I81))</f>
        <v/>
      </c>
      <c r="K81" s="15" t="str">
        <f aca="false">IF(J81="","",IF(J81&gt;=15,"High",IF(J81&gt;=8,"Medium","Low")))</f>
        <v/>
      </c>
      <c r="L81" s="12"/>
      <c r="M81" s="12"/>
      <c r="N81" s="12"/>
      <c r="O81" s="12"/>
      <c r="P81" s="15" t="str">
        <f aca="false">IF(OR(N81="",O81=""),"",VALUE(N81)*VALUE(O81))</f>
        <v/>
      </c>
      <c r="Q81" s="15" t="str">
        <f aca="false">IF(P81="","",IF(P81&gt;=15,"High",IF(P81&gt;=8,"Medium","Low")))</f>
        <v/>
      </c>
      <c r="R81" s="12"/>
      <c r="S81" s="12"/>
      <c r="T81" s="12"/>
      <c r="U81" s="13"/>
      <c r="V81" s="12"/>
      <c r="W81" s="12"/>
      <c r="X81" s="15" t="str">
        <f aca="true">IF(OR(U81="",V81="Done"),"",IF(U81&lt;TODAY(),"OVERDUE",""))</f>
        <v/>
      </c>
    </row>
    <row r="82" customFormat="false" ht="15" hidden="false" customHeight="false" outlineLevel="0" collapsed="false">
      <c r="A82" s="12"/>
      <c r="B82" s="12"/>
      <c r="C82" s="15" t="str">
        <f aca="false">IF(B82="","",IFERROR(INDEX('AI Inventory'!$B:$B,MATCH(B82,'AI Inventory'!$A:$A,0)),"ID not in inventory"))</f>
        <v/>
      </c>
      <c r="D82" s="12"/>
      <c r="E82" s="12"/>
      <c r="F82" s="12"/>
      <c r="G82" s="12"/>
      <c r="H82" s="12"/>
      <c r="I82" s="12"/>
      <c r="J82" s="15" t="str">
        <f aca="false">IF(OR(H82="",I82=""),"",VALUE(H82)*VALUE(I82))</f>
        <v/>
      </c>
      <c r="K82" s="15" t="str">
        <f aca="false">IF(J82="","",IF(J82&gt;=15,"High",IF(J82&gt;=8,"Medium","Low")))</f>
        <v/>
      </c>
      <c r="L82" s="12"/>
      <c r="M82" s="12"/>
      <c r="N82" s="12"/>
      <c r="O82" s="12"/>
      <c r="P82" s="15" t="str">
        <f aca="false">IF(OR(N82="",O82=""),"",VALUE(N82)*VALUE(O82))</f>
        <v/>
      </c>
      <c r="Q82" s="15" t="str">
        <f aca="false">IF(P82="","",IF(P82&gt;=15,"High",IF(P82&gt;=8,"Medium","Low")))</f>
        <v/>
      </c>
      <c r="R82" s="12"/>
      <c r="S82" s="12"/>
      <c r="T82" s="12"/>
      <c r="U82" s="13"/>
      <c r="V82" s="12"/>
      <c r="W82" s="12"/>
      <c r="X82" s="15" t="str">
        <f aca="true">IF(OR(U82="",V82="Done"),"",IF(U82&lt;TODAY(),"OVERDUE",""))</f>
        <v/>
      </c>
    </row>
    <row r="83" customFormat="false" ht="15" hidden="false" customHeight="false" outlineLevel="0" collapsed="false">
      <c r="A83" s="12"/>
      <c r="B83" s="12"/>
      <c r="C83" s="15" t="str">
        <f aca="false">IF(B83="","",IFERROR(INDEX('AI Inventory'!$B:$B,MATCH(B83,'AI Inventory'!$A:$A,0)),"ID not in inventory"))</f>
        <v/>
      </c>
      <c r="D83" s="12"/>
      <c r="E83" s="12"/>
      <c r="F83" s="12"/>
      <c r="G83" s="12"/>
      <c r="H83" s="12"/>
      <c r="I83" s="12"/>
      <c r="J83" s="15" t="str">
        <f aca="false">IF(OR(H83="",I83=""),"",VALUE(H83)*VALUE(I83))</f>
        <v/>
      </c>
      <c r="K83" s="15" t="str">
        <f aca="false">IF(J83="","",IF(J83&gt;=15,"High",IF(J83&gt;=8,"Medium","Low")))</f>
        <v/>
      </c>
      <c r="L83" s="12"/>
      <c r="M83" s="12"/>
      <c r="N83" s="12"/>
      <c r="O83" s="12"/>
      <c r="P83" s="15" t="str">
        <f aca="false">IF(OR(N83="",O83=""),"",VALUE(N83)*VALUE(O83))</f>
        <v/>
      </c>
      <c r="Q83" s="15" t="str">
        <f aca="false">IF(P83="","",IF(P83&gt;=15,"High",IF(P83&gt;=8,"Medium","Low")))</f>
        <v/>
      </c>
      <c r="R83" s="12"/>
      <c r="S83" s="12"/>
      <c r="T83" s="12"/>
      <c r="U83" s="13"/>
      <c r="V83" s="12"/>
      <c r="W83" s="12"/>
      <c r="X83" s="15" t="str">
        <f aca="true">IF(OR(U83="",V83="Done"),"",IF(U83&lt;TODAY(),"OVERDUE",""))</f>
        <v/>
      </c>
    </row>
    <row r="84" customFormat="false" ht="15" hidden="false" customHeight="false" outlineLevel="0" collapsed="false">
      <c r="A84" s="12"/>
      <c r="B84" s="12"/>
      <c r="C84" s="15" t="str">
        <f aca="false">IF(B84="","",IFERROR(INDEX('AI Inventory'!$B:$B,MATCH(B84,'AI Inventory'!$A:$A,0)),"ID not in inventory"))</f>
        <v/>
      </c>
      <c r="D84" s="12"/>
      <c r="E84" s="12"/>
      <c r="F84" s="12"/>
      <c r="G84" s="12"/>
      <c r="H84" s="12"/>
      <c r="I84" s="12"/>
      <c r="J84" s="15" t="str">
        <f aca="false">IF(OR(H84="",I84=""),"",VALUE(H84)*VALUE(I84))</f>
        <v/>
      </c>
      <c r="K84" s="15" t="str">
        <f aca="false">IF(J84="","",IF(J84&gt;=15,"High",IF(J84&gt;=8,"Medium","Low")))</f>
        <v/>
      </c>
      <c r="L84" s="12"/>
      <c r="M84" s="12"/>
      <c r="N84" s="12"/>
      <c r="O84" s="12"/>
      <c r="P84" s="15" t="str">
        <f aca="false">IF(OR(N84="",O84=""),"",VALUE(N84)*VALUE(O84))</f>
        <v/>
      </c>
      <c r="Q84" s="15" t="str">
        <f aca="false">IF(P84="","",IF(P84&gt;=15,"High",IF(P84&gt;=8,"Medium","Low")))</f>
        <v/>
      </c>
      <c r="R84" s="12"/>
      <c r="S84" s="12"/>
      <c r="T84" s="12"/>
      <c r="U84" s="13"/>
      <c r="V84" s="12"/>
      <c r="W84" s="12"/>
      <c r="X84" s="15" t="str">
        <f aca="true">IF(OR(U84="",V84="Done"),"",IF(U84&lt;TODAY(),"OVERDUE",""))</f>
        <v/>
      </c>
    </row>
    <row r="85" customFormat="false" ht="15" hidden="false" customHeight="false" outlineLevel="0" collapsed="false">
      <c r="A85" s="12"/>
      <c r="B85" s="12"/>
      <c r="C85" s="15" t="str">
        <f aca="false">IF(B85="","",IFERROR(INDEX('AI Inventory'!$B:$B,MATCH(B85,'AI Inventory'!$A:$A,0)),"ID not in inventory"))</f>
        <v/>
      </c>
      <c r="D85" s="12"/>
      <c r="E85" s="12"/>
      <c r="F85" s="12"/>
      <c r="G85" s="12"/>
      <c r="H85" s="12"/>
      <c r="I85" s="12"/>
      <c r="J85" s="15" t="str">
        <f aca="false">IF(OR(H85="",I85=""),"",VALUE(H85)*VALUE(I85))</f>
        <v/>
      </c>
      <c r="K85" s="15" t="str">
        <f aca="false">IF(J85="","",IF(J85&gt;=15,"High",IF(J85&gt;=8,"Medium","Low")))</f>
        <v/>
      </c>
      <c r="L85" s="12"/>
      <c r="M85" s="12"/>
      <c r="N85" s="12"/>
      <c r="O85" s="12"/>
      <c r="P85" s="15" t="str">
        <f aca="false">IF(OR(N85="",O85=""),"",VALUE(N85)*VALUE(O85))</f>
        <v/>
      </c>
      <c r="Q85" s="15" t="str">
        <f aca="false">IF(P85="","",IF(P85&gt;=15,"High",IF(P85&gt;=8,"Medium","Low")))</f>
        <v/>
      </c>
      <c r="R85" s="12"/>
      <c r="S85" s="12"/>
      <c r="T85" s="12"/>
      <c r="U85" s="13"/>
      <c r="V85" s="12"/>
      <c r="W85" s="12"/>
      <c r="X85" s="15" t="str">
        <f aca="true">IF(OR(U85="",V85="Done"),"",IF(U85&lt;TODAY(),"OVERDUE",""))</f>
        <v/>
      </c>
    </row>
    <row r="86" customFormat="false" ht="15" hidden="false" customHeight="false" outlineLevel="0" collapsed="false">
      <c r="A86" s="12"/>
      <c r="B86" s="12"/>
      <c r="C86" s="15" t="str">
        <f aca="false">IF(B86="","",IFERROR(INDEX('AI Inventory'!$B:$B,MATCH(B86,'AI Inventory'!$A:$A,0)),"ID not in inventory"))</f>
        <v/>
      </c>
      <c r="D86" s="12"/>
      <c r="E86" s="12"/>
      <c r="F86" s="12"/>
      <c r="G86" s="12"/>
      <c r="H86" s="12"/>
      <c r="I86" s="12"/>
      <c r="J86" s="15" t="str">
        <f aca="false">IF(OR(H86="",I86=""),"",VALUE(H86)*VALUE(I86))</f>
        <v/>
      </c>
      <c r="K86" s="15" t="str">
        <f aca="false">IF(J86="","",IF(J86&gt;=15,"High",IF(J86&gt;=8,"Medium","Low")))</f>
        <v/>
      </c>
      <c r="L86" s="12"/>
      <c r="M86" s="12"/>
      <c r="N86" s="12"/>
      <c r="O86" s="12"/>
      <c r="P86" s="15" t="str">
        <f aca="false">IF(OR(N86="",O86=""),"",VALUE(N86)*VALUE(O86))</f>
        <v/>
      </c>
      <c r="Q86" s="15" t="str">
        <f aca="false">IF(P86="","",IF(P86&gt;=15,"High",IF(P86&gt;=8,"Medium","Low")))</f>
        <v/>
      </c>
      <c r="R86" s="12"/>
      <c r="S86" s="12"/>
      <c r="T86" s="12"/>
      <c r="U86" s="13"/>
      <c r="V86" s="12"/>
      <c r="W86" s="12"/>
      <c r="X86" s="15" t="str">
        <f aca="true">IF(OR(U86="",V86="Done"),"",IF(U86&lt;TODAY(),"OVERDUE",""))</f>
        <v/>
      </c>
    </row>
    <row r="87" customFormat="false" ht="15" hidden="false" customHeight="false" outlineLevel="0" collapsed="false">
      <c r="A87" s="12"/>
      <c r="B87" s="12"/>
      <c r="C87" s="15" t="str">
        <f aca="false">IF(B87="","",IFERROR(INDEX('AI Inventory'!$B:$B,MATCH(B87,'AI Inventory'!$A:$A,0)),"ID not in inventory"))</f>
        <v/>
      </c>
      <c r="D87" s="12"/>
      <c r="E87" s="12"/>
      <c r="F87" s="12"/>
      <c r="G87" s="12"/>
      <c r="H87" s="12"/>
      <c r="I87" s="12"/>
      <c r="J87" s="15" t="str">
        <f aca="false">IF(OR(H87="",I87=""),"",VALUE(H87)*VALUE(I87))</f>
        <v/>
      </c>
      <c r="K87" s="15" t="str">
        <f aca="false">IF(J87="","",IF(J87&gt;=15,"High",IF(J87&gt;=8,"Medium","Low")))</f>
        <v/>
      </c>
      <c r="L87" s="12"/>
      <c r="M87" s="12"/>
      <c r="N87" s="12"/>
      <c r="O87" s="12"/>
      <c r="P87" s="15" t="str">
        <f aca="false">IF(OR(N87="",O87=""),"",VALUE(N87)*VALUE(O87))</f>
        <v/>
      </c>
      <c r="Q87" s="15" t="str">
        <f aca="false">IF(P87="","",IF(P87&gt;=15,"High",IF(P87&gt;=8,"Medium","Low")))</f>
        <v/>
      </c>
      <c r="R87" s="12"/>
      <c r="S87" s="12"/>
      <c r="T87" s="12"/>
      <c r="U87" s="13"/>
      <c r="V87" s="12"/>
      <c r="W87" s="12"/>
      <c r="X87" s="15" t="str">
        <f aca="true">IF(OR(U87="",V87="Done"),"",IF(U87&lt;TODAY(),"OVERDUE",""))</f>
        <v/>
      </c>
    </row>
    <row r="88" customFormat="false" ht="15" hidden="false" customHeight="false" outlineLevel="0" collapsed="false">
      <c r="A88" s="12"/>
      <c r="B88" s="12"/>
      <c r="C88" s="15" t="str">
        <f aca="false">IF(B88="","",IFERROR(INDEX('AI Inventory'!$B:$B,MATCH(B88,'AI Inventory'!$A:$A,0)),"ID not in inventory"))</f>
        <v/>
      </c>
      <c r="D88" s="12"/>
      <c r="E88" s="12"/>
      <c r="F88" s="12"/>
      <c r="G88" s="12"/>
      <c r="H88" s="12"/>
      <c r="I88" s="12"/>
      <c r="J88" s="15" t="str">
        <f aca="false">IF(OR(H88="",I88=""),"",VALUE(H88)*VALUE(I88))</f>
        <v/>
      </c>
      <c r="K88" s="15" t="str">
        <f aca="false">IF(J88="","",IF(J88&gt;=15,"High",IF(J88&gt;=8,"Medium","Low")))</f>
        <v/>
      </c>
      <c r="L88" s="12"/>
      <c r="M88" s="12"/>
      <c r="N88" s="12"/>
      <c r="O88" s="12"/>
      <c r="P88" s="15" t="str">
        <f aca="false">IF(OR(N88="",O88=""),"",VALUE(N88)*VALUE(O88))</f>
        <v/>
      </c>
      <c r="Q88" s="15" t="str">
        <f aca="false">IF(P88="","",IF(P88&gt;=15,"High",IF(P88&gt;=8,"Medium","Low")))</f>
        <v/>
      </c>
      <c r="R88" s="12"/>
      <c r="S88" s="12"/>
      <c r="T88" s="12"/>
      <c r="U88" s="13"/>
      <c r="V88" s="12"/>
      <c r="W88" s="12"/>
      <c r="X88" s="15" t="str">
        <f aca="true">IF(OR(U88="",V88="Done"),"",IF(U88&lt;TODAY(),"OVERDUE",""))</f>
        <v/>
      </c>
    </row>
    <row r="89" customFormat="false" ht="15" hidden="false" customHeight="false" outlineLevel="0" collapsed="false">
      <c r="A89" s="12"/>
      <c r="B89" s="12"/>
      <c r="C89" s="15" t="str">
        <f aca="false">IF(B89="","",IFERROR(INDEX('AI Inventory'!$B:$B,MATCH(B89,'AI Inventory'!$A:$A,0)),"ID not in inventory"))</f>
        <v/>
      </c>
      <c r="D89" s="12"/>
      <c r="E89" s="12"/>
      <c r="F89" s="12"/>
      <c r="G89" s="12"/>
      <c r="H89" s="12"/>
      <c r="I89" s="12"/>
      <c r="J89" s="15" t="str">
        <f aca="false">IF(OR(H89="",I89=""),"",VALUE(H89)*VALUE(I89))</f>
        <v/>
      </c>
      <c r="K89" s="15" t="str">
        <f aca="false">IF(J89="","",IF(J89&gt;=15,"High",IF(J89&gt;=8,"Medium","Low")))</f>
        <v/>
      </c>
      <c r="L89" s="12"/>
      <c r="M89" s="12"/>
      <c r="N89" s="12"/>
      <c r="O89" s="12"/>
      <c r="P89" s="15" t="str">
        <f aca="false">IF(OR(N89="",O89=""),"",VALUE(N89)*VALUE(O89))</f>
        <v/>
      </c>
      <c r="Q89" s="15" t="str">
        <f aca="false">IF(P89="","",IF(P89&gt;=15,"High",IF(P89&gt;=8,"Medium","Low")))</f>
        <v/>
      </c>
      <c r="R89" s="12"/>
      <c r="S89" s="12"/>
      <c r="T89" s="12"/>
      <c r="U89" s="13"/>
      <c r="V89" s="12"/>
      <c r="W89" s="12"/>
      <c r="X89" s="15" t="str">
        <f aca="true">IF(OR(U89="",V89="Done"),"",IF(U89&lt;TODAY(),"OVERDUE",""))</f>
        <v/>
      </c>
    </row>
    <row r="90" customFormat="false" ht="15" hidden="false" customHeight="false" outlineLevel="0" collapsed="false">
      <c r="A90" s="12"/>
      <c r="B90" s="12"/>
      <c r="C90" s="15" t="str">
        <f aca="false">IF(B90="","",IFERROR(INDEX('AI Inventory'!$B:$B,MATCH(B90,'AI Inventory'!$A:$A,0)),"ID not in inventory"))</f>
        <v/>
      </c>
      <c r="D90" s="12"/>
      <c r="E90" s="12"/>
      <c r="F90" s="12"/>
      <c r="G90" s="12"/>
      <c r="H90" s="12"/>
      <c r="I90" s="12"/>
      <c r="J90" s="15" t="str">
        <f aca="false">IF(OR(H90="",I90=""),"",VALUE(H90)*VALUE(I90))</f>
        <v/>
      </c>
      <c r="K90" s="15" t="str">
        <f aca="false">IF(J90="","",IF(J90&gt;=15,"High",IF(J90&gt;=8,"Medium","Low")))</f>
        <v/>
      </c>
      <c r="L90" s="12"/>
      <c r="M90" s="12"/>
      <c r="N90" s="12"/>
      <c r="O90" s="12"/>
      <c r="P90" s="15" t="str">
        <f aca="false">IF(OR(N90="",O90=""),"",VALUE(N90)*VALUE(O90))</f>
        <v/>
      </c>
      <c r="Q90" s="15" t="str">
        <f aca="false">IF(P90="","",IF(P90&gt;=15,"High",IF(P90&gt;=8,"Medium","Low")))</f>
        <v/>
      </c>
      <c r="R90" s="12"/>
      <c r="S90" s="12"/>
      <c r="T90" s="12"/>
      <c r="U90" s="13"/>
      <c r="V90" s="12"/>
      <c r="W90" s="12"/>
      <c r="X90" s="15" t="str">
        <f aca="true">IF(OR(U90="",V90="Done"),"",IF(U90&lt;TODAY(),"OVERDUE",""))</f>
        <v/>
      </c>
    </row>
    <row r="91" customFormat="false" ht="15" hidden="false" customHeight="false" outlineLevel="0" collapsed="false">
      <c r="A91" s="12"/>
      <c r="B91" s="12"/>
      <c r="C91" s="15" t="str">
        <f aca="false">IF(B91="","",IFERROR(INDEX('AI Inventory'!$B:$B,MATCH(B91,'AI Inventory'!$A:$A,0)),"ID not in inventory"))</f>
        <v/>
      </c>
      <c r="D91" s="12"/>
      <c r="E91" s="12"/>
      <c r="F91" s="12"/>
      <c r="G91" s="12"/>
      <c r="H91" s="12"/>
      <c r="I91" s="12"/>
      <c r="J91" s="15" t="str">
        <f aca="false">IF(OR(H91="",I91=""),"",VALUE(H91)*VALUE(I91))</f>
        <v/>
      </c>
      <c r="K91" s="15" t="str">
        <f aca="false">IF(J91="","",IF(J91&gt;=15,"High",IF(J91&gt;=8,"Medium","Low")))</f>
        <v/>
      </c>
      <c r="L91" s="12"/>
      <c r="M91" s="12"/>
      <c r="N91" s="12"/>
      <c r="O91" s="12"/>
      <c r="P91" s="15" t="str">
        <f aca="false">IF(OR(N91="",O91=""),"",VALUE(N91)*VALUE(O91))</f>
        <v/>
      </c>
      <c r="Q91" s="15" t="str">
        <f aca="false">IF(P91="","",IF(P91&gt;=15,"High",IF(P91&gt;=8,"Medium","Low")))</f>
        <v/>
      </c>
      <c r="R91" s="12"/>
      <c r="S91" s="12"/>
      <c r="T91" s="12"/>
      <c r="U91" s="13"/>
      <c r="V91" s="12"/>
      <c r="W91" s="12"/>
      <c r="X91" s="15" t="str">
        <f aca="true">IF(OR(U91="",V91="Done"),"",IF(U91&lt;TODAY(),"OVERDUE",""))</f>
        <v/>
      </c>
    </row>
    <row r="92" customFormat="false" ht="15" hidden="false" customHeight="false" outlineLevel="0" collapsed="false">
      <c r="A92" s="12"/>
      <c r="B92" s="12"/>
      <c r="C92" s="15" t="str">
        <f aca="false">IF(B92="","",IFERROR(INDEX('AI Inventory'!$B:$B,MATCH(B92,'AI Inventory'!$A:$A,0)),"ID not in inventory"))</f>
        <v/>
      </c>
      <c r="D92" s="12"/>
      <c r="E92" s="12"/>
      <c r="F92" s="12"/>
      <c r="G92" s="12"/>
      <c r="H92" s="12"/>
      <c r="I92" s="12"/>
      <c r="J92" s="15" t="str">
        <f aca="false">IF(OR(H92="",I92=""),"",VALUE(H92)*VALUE(I92))</f>
        <v/>
      </c>
      <c r="K92" s="15" t="str">
        <f aca="false">IF(J92="","",IF(J92&gt;=15,"High",IF(J92&gt;=8,"Medium","Low")))</f>
        <v/>
      </c>
      <c r="L92" s="12"/>
      <c r="M92" s="12"/>
      <c r="N92" s="12"/>
      <c r="O92" s="12"/>
      <c r="P92" s="15" t="str">
        <f aca="false">IF(OR(N92="",O92=""),"",VALUE(N92)*VALUE(O92))</f>
        <v/>
      </c>
      <c r="Q92" s="15" t="str">
        <f aca="false">IF(P92="","",IF(P92&gt;=15,"High",IF(P92&gt;=8,"Medium","Low")))</f>
        <v/>
      </c>
      <c r="R92" s="12"/>
      <c r="S92" s="12"/>
      <c r="T92" s="12"/>
      <c r="U92" s="13"/>
      <c r="V92" s="12"/>
      <c r="W92" s="12"/>
      <c r="X92" s="15" t="str">
        <f aca="true">IF(OR(U92="",V92="Done"),"",IF(U92&lt;TODAY(),"OVERDUE",""))</f>
        <v/>
      </c>
    </row>
    <row r="93" customFormat="false" ht="15" hidden="false" customHeight="false" outlineLevel="0" collapsed="false">
      <c r="A93" s="12"/>
      <c r="B93" s="12"/>
      <c r="C93" s="15" t="str">
        <f aca="false">IF(B93="","",IFERROR(INDEX('AI Inventory'!$B:$B,MATCH(B93,'AI Inventory'!$A:$A,0)),"ID not in inventory"))</f>
        <v/>
      </c>
      <c r="D93" s="12"/>
      <c r="E93" s="12"/>
      <c r="F93" s="12"/>
      <c r="G93" s="12"/>
      <c r="H93" s="12"/>
      <c r="I93" s="12"/>
      <c r="J93" s="15" t="str">
        <f aca="false">IF(OR(H93="",I93=""),"",VALUE(H93)*VALUE(I93))</f>
        <v/>
      </c>
      <c r="K93" s="15" t="str">
        <f aca="false">IF(J93="","",IF(J93&gt;=15,"High",IF(J93&gt;=8,"Medium","Low")))</f>
        <v/>
      </c>
      <c r="L93" s="12"/>
      <c r="M93" s="12"/>
      <c r="N93" s="12"/>
      <c r="O93" s="12"/>
      <c r="P93" s="15" t="str">
        <f aca="false">IF(OR(N93="",O93=""),"",VALUE(N93)*VALUE(O93))</f>
        <v/>
      </c>
      <c r="Q93" s="15" t="str">
        <f aca="false">IF(P93="","",IF(P93&gt;=15,"High",IF(P93&gt;=8,"Medium","Low")))</f>
        <v/>
      </c>
      <c r="R93" s="12"/>
      <c r="S93" s="12"/>
      <c r="T93" s="12"/>
      <c r="U93" s="13"/>
      <c r="V93" s="12"/>
      <c r="W93" s="12"/>
      <c r="X93" s="15" t="str">
        <f aca="true">IF(OR(U93="",V93="Done"),"",IF(U93&lt;TODAY(),"OVERDUE",""))</f>
        <v/>
      </c>
    </row>
    <row r="94" customFormat="false" ht="15" hidden="false" customHeight="false" outlineLevel="0" collapsed="false">
      <c r="A94" s="12"/>
      <c r="B94" s="12"/>
      <c r="C94" s="15" t="str">
        <f aca="false">IF(B94="","",IFERROR(INDEX('AI Inventory'!$B:$B,MATCH(B94,'AI Inventory'!$A:$A,0)),"ID not in inventory"))</f>
        <v/>
      </c>
      <c r="D94" s="12"/>
      <c r="E94" s="12"/>
      <c r="F94" s="12"/>
      <c r="G94" s="12"/>
      <c r="H94" s="12"/>
      <c r="I94" s="12"/>
      <c r="J94" s="15" t="str">
        <f aca="false">IF(OR(H94="",I94=""),"",VALUE(H94)*VALUE(I94))</f>
        <v/>
      </c>
      <c r="K94" s="15" t="str">
        <f aca="false">IF(J94="","",IF(J94&gt;=15,"High",IF(J94&gt;=8,"Medium","Low")))</f>
        <v/>
      </c>
      <c r="L94" s="12"/>
      <c r="M94" s="12"/>
      <c r="N94" s="12"/>
      <c r="O94" s="12"/>
      <c r="P94" s="15" t="str">
        <f aca="false">IF(OR(N94="",O94=""),"",VALUE(N94)*VALUE(O94))</f>
        <v/>
      </c>
      <c r="Q94" s="15" t="str">
        <f aca="false">IF(P94="","",IF(P94&gt;=15,"High",IF(P94&gt;=8,"Medium","Low")))</f>
        <v/>
      </c>
      <c r="R94" s="12"/>
      <c r="S94" s="12"/>
      <c r="T94" s="12"/>
      <c r="U94" s="13"/>
      <c r="V94" s="12"/>
      <c r="W94" s="12"/>
      <c r="X94" s="15" t="str">
        <f aca="true">IF(OR(U94="",V94="Done"),"",IF(U94&lt;TODAY(),"OVERDUE",""))</f>
        <v/>
      </c>
    </row>
    <row r="95" customFormat="false" ht="15" hidden="false" customHeight="false" outlineLevel="0" collapsed="false">
      <c r="A95" s="12"/>
      <c r="B95" s="12"/>
      <c r="C95" s="15" t="str">
        <f aca="false">IF(B95="","",IFERROR(INDEX('AI Inventory'!$B:$B,MATCH(B95,'AI Inventory'!$A:$A,0)),"ID not in inventory"))</f>
        <v/>
      </c>
      <c r="D95" s="12"/>
      <c r="E95" s="12"/>
      <c r="F95" s="12"/>
      <c r="G95" s="12"/>
      <c r="H95" s="12"/>
      <c r="I95" s="12"/>
      <c r="J95" s="15" t="str">
        <f aca="false">IF(OR(H95="",I95=""),"",VALUE(H95)*VALUE(I95))</f>
        <v/>
      </c>
      <c r="K95" s="15" t="str">
        <f aca="false">IF(J95="","",IF(J95&gt;=15,"High",IF(J95&gt;=8,"Medium","Low")))</f>
        <v/>
      </c>
      <c r="L95" s="12"/>
      <c r="M95" s="12"/>
      <c r="N95" s="12"/>
      <c r="O95" s="12"/>
      <c r="P95" s="15" t="str">
        <f aca="false">IF(OR(N95="",O95=""),"",VALUE(N95)*VALUE(O95))</f>
        <v/>
      </c>
      <c r="Q95" s="15" t="str">
        <f aca="false">IF(P95="","",IF(P95&gt;=15,"High",IF(P95&gt;=8,"Medium","Low")))</f>
        <v/>
      </c>
      <c r="R95" s="12"/>
      <c r="S95" s="12"/>
      <c r="T95" s="12"/>
      <c r="U95" s="13"/>
      <c r="V95" s="12"/>
      <c r="W95" s="12"/>
      <c r="X95" s="15" t="str">
        <f aca="true">IF(OR(U95="",V95="Done"),"",IF(U95&lt;TODAY(),"OVERDUE",""))</f>
        <v/>
      </c>
    </row>
    <row r="96" customFormat="false" ht="15" hidden="false" customHeight="false" outlineLevel="0" collapsed="false">
      <c r="A96" s="12"/>
      <c r="B96" s="12"/>
      <c r="C96" s="15" t="str">
        <f aca="false">IF(B96="","",IFERROR(INDEX('AI Inventory'!$B:$B,MATCH(B96,'AI Inventory'!$A:$A,0)),"ID not in inventory"))</f>
        <v/>
      </c>
      <c r="D96" s="12"/>
      <c r="E96" s="12"/>
      <c r="F96" s="12"/>
      <c r="G96" s="12"/>
      <c r="H96" s="12"/>
      <c r="I96" s="12"/>
      <c r="J96" s="15" t="str">
        <f aca="false">IF(OR(H96="",I96=""),"",VALUE(H96)*VALUE(I96))</f>
        <v/>
      </c>
      <c r="K96" s="15" t="str">
        <f aca="false">IF(J96="","",IF(J96&gt;=15,"High",IF(J96&gt;=8,"Medium","Low")))</f>
        <v/>
      </c>
      <c r="L96" s="12"/>
      <c r="M96" s="12"/>
      <c r="N96" s="12"/>
      <c r="O96" s="12"/>
      <c r="P96" s="15" t="str">
        <f aca="false">IF(OR(N96="",O96=""),"",VALUE(N96)*VALUE(O96))</f>
        <v/>
      </c>
      <c r="Q96" s="15" t="str">
        <f aca="false">IF(P96="","",IF(P96&gt;=15,"High",IF(P96&gt;=8,"Medium","Low")))</f>
        <v/>
      </c>
      <c r="R96" s="12"/>
      <c r="S96" s="12"/>
      <c r="T96" s="12"/>
      <c r="U96" s="13"/>
      <c r="V96" s="12"/>
      <c r="W96" s="12"/>
      <c r="X96" s="15" t="str">
        <f aca="true">IF(OR(U96="",V96="Done"),"",IF(U96&lt;TODAY(),"OVERDUE",""))</f>
        <v/>
      </c>
    </row>
    <row r="97" customFormat="false" ht="15" hidden="false" customHeight="false" outlineLevel="0" collapsed="false">
      <c r="A97" s="12"/>
      <c r="B97" s="12"/>
      <c r="C97" s="15" t="str">
        <f aca="false">IF(B97="","",IFERROR(INDEX('AI Inventory'!$B:$B,MATCH(B97,'AI Inventory'!$A:$A,0)),"ID not in inventory"))</f>
        <v/>
      </c>
      <c r="D97" s="12"/>
      <c r="E97" s="12"/>
      <c r="F97" s="12"/>
      <c r="G97" s="12"/>
      <c r="H97" s="12"/>
      <c r="I97" s="12"/>
      <c r="J97" s="15" t="str">
        <f aca="false">IF(OR(H97="",I97=""),"",VALUE(H97)*VALUE(I97))</f>
        <v/>
      </c>
      <c r="K97" s="15" t="str">
        <f aca="false">IF(J97="","",IF(J97&gt;=15,"High",IF(J97&gt;=8,"Medium","Low")))</f>
        <v/>
      </c>
      <c r="L97" s="12"/>
      <c r="M97" s="12"/>
      <c r="N97" s="12"/>
      <c r="O97" s="12"/>
      <c r="P97" s="15" t="str">
        <f aca="false">IF(OR(N97="",O97=""),"",VALUE(N97)*VALUE(O97))</f>
        <v/>
      </c>
      <c r="Q97" s="15" t="str">
        <f aca="false">IF(P97="","",IF(P97&gt;=15,"High",IF(P97&gt;=8,"Medium","Low")))</f>
        <v/>
      </c>
      <c r="R97" s="12"/>
      <c r="S97" s="12"/>
      <c r="T97" s="12"/>
      <c r="U97" s="13"/>
      <c r="V97" s="12"/>
      <c r="W97" s="12"/>
      <c r="X97" s="15" t="str">
        <f aca="true">IF(OR(U97="",V97="Done"),"",IF(U97&lt;TODAY(),"OVERDUE",""))</f>
        <v/>
      </c>
    </row>
    <row r="98" customFormat="false" ht="15" hidden="false" customHeight="false" outlineLevel="0" collapsed="false">
      <c r="A98" s="12"/>
      <c r="B98" s="12"/>
      <c r="C98" s="15" t="str">
        <f aca="false">IF(B98="","",IFERROR(INDEX('AI Inventory'!$B:$B,MATCH(B98,'AI Inventory'!$A:$A,0)),"ID not in inventory"))</f>
        <v/>
      </c>
      <c r="D98" s="12"/>
      <c r="E98" s="12"/>
      <c r="F98" s="12"/>
      <c r="G98" s="12"/>
      <c r="H98" s="12"/>
      <c r="I98" s="12"/>
      <c r="J98" s="15" t="str">
        <f aca="false">IF(OR(H98="",I98=""),"",VALUE(H98)*VALUE(I98))</f>
        <v/>
      </c>
      <c r="K98" s="15" t="str">
        <f aca="false">IF(J98="","",IF(J98&gt;=15,"High",IF(J98&gt;=8,"Medium","Low")))</f>
        <v/>
      </c>
      <c r="L98" s="12"/>
      <c r="M98" s="12"/>
      <c r="N98" s="12"/>
      <c r="O98" s="12"/>
      <c r="P98" s="15" t="str">
        <f aca="false">IF(OR(N98="",O98=""),"",VALUE(N98)*VALUE(O98))</f>
        <v/>
      </c>
      <c r="Q98" s="15" t="str">
        <f aca="false">IF(P98="","",IF(P98&gt;=15,"High",IF(P98&gt;=8,"Medium","Low")))</f>
        <v/>
      </c>
      <c r="R98" s="12"/>
      <c r="S98" s="12"/>
      <c r="T98" s="12"/>
      <c r="U98" s="13"/>
      <c r="V98" s="12"/>
      <c r="W98" s="12"/>
      <c r="X98" s="15" t="str">
        <f aca="true">IF(OR(U98="",V98="Done"),"",IF(U98&lt;TODAY(),"OVERDUE",""))</f>
        <v/>
      </c>
    </row>
    <row r="99" customFormat="false" ht="15" hidden="false" customHeight="false" outlineLevel="0" collapsed="false">
      <c r="A99" s="12"/>
      <c r="B99" s="12"/>
      <c r="C99" s="15" t="str">
        <f aca="false">IF(B99="","",IFERROR(INDEX('AI Inventory'!$B:$B,MATCH(B99,'AI Inventory'!$A:$A,0)),"ID not in inventory"))</f>
        <v/>
      </c>
      <c r="D99" s="12"/>
      <c r="E99" s="12"/>
      <c r="F99" s="12"/>
      <c r="G99" s="12"/>
      <c r="H99" s="12"/>
      <c r="I99" s="12"/>
      <c r="J99" s="15" t="str">
        <f aca="false">IF(OR(H99="",I99=""),"",VALUE(H99)*VALUE(I99))</f>
        <v/>
      </c>
      <c r="K99" s="15" t="str">
        <f aca="false">IF(J99="","",IF(J99&gt;=15,"High",IF(J99&gt;=8,"Medium","Low")))</f>
        <v/>
      </c>
      <c r="L99" s="12"/>
      <c r="M99" s="12"/>
      <c r="N99" s="12"/>
      <c r="O99" s="12"/>
      <c r="P99" s="15" t="str">
        <f aca="false">IF(OR(N99="",O99=""),"",VALUE(N99)*VALUE(O99))</f>
        <v/>
      </c>
      <c r="Q99" s="15" t="str">
        <f aca="false">IF(P99="","",IF(P99&gt;=15,"High",IF(P99&gt;=8,"Medium","Low")))</f>
        <v/>
      </c>
      <c r="R99" s="12"/>
      <c r="S99" s="12"/>
      <c r="T99" s="12"/>
      <c r="U99" s="13"/>
      <c r="V99" s="12"/>
      <c r="W99" s="12"/>
      <c r="X99" s="15" t="str">
        <f aca="true">IF(OR(U99="",V99="Done"),"",IF(U99&lt;TODAY(),"OVERDUE",""))</f>
        <v/>
      </c>
    </row>
    <row r="100" customFormat="false" ht="15" hidden="false" customHeight="false" outlineLevel="0" collapsed="false">
      <c r="A100" s="12"/>
      <c r="B100" s="12"/>
      <c r="C100" s="15" t="str">
        <f aca="false">IF(B100="","",IFERROR(INDEX('AI Inventory'!$B:$B,MATCH(B100,'AI Inventory'!$A:$A,0)),"ID not in inventory"))</f>
        <v/>
      </c>
      <c r="D100" s="12"/>
      <c r="E100" s="12"/>
      <c r="F100" s="12"/>
      <c r="G100" s="12"/>
      <c r="H100" s="12"/>
      <c r="I100" s="12"/>
      <c r="J100" s="15" t="str">
        <f aca="false">IF(OR(H100="",I100=""),"",VALUE(H100)*VALUE(I100))</f>
        <v/>
      </c>
      <c r="K100" s="15" t="str">
        <f aca="false">IF(J100="","",IF(J100&gt;=15,"High",IF(J100&gt;=8,"Medium","Low")))</f>
        <v/>
      </c>
      <c r="L100" s="12"/>
      <c r="M100" s="12"/>
      <c r="N100" s="12"/>
      <c r="O100" s="12"/>
      <c r="P100" s="15" t="str">
        <f aca="false">IF(OR(N100="",O100=""),"",VALUE(N100)*VALUE(O100))</f>
        <v/>
      </c>
      <c r="Q100" s="15" t="str">
        <f aca="false">IF(P100="","",IF(P100&gt;=15,"High",IF(P100&gt;=8,"Medium","Low")))</f>
        <v/>
      </c>
      <c r="R100" s="12"/>
      <c r="S100" s="12"/>
      <c r="T100" s="12"/>
      <c r="U100" s="13"/>
      <c r="V100" s="12"/>
      <c r="W100" s="12"/>
      <c r="X100" s="15" t="str">
        <f aca="true">IF(OR(U100="",V100="Done"),"",IF(U100&lt;TODAY(),"OVERDUE",""))</f>
        <v/>
      </c>
    </row>
    <row r="101" customFormat="false" ht="15" hidden="false" customHeight="false" outlineLevel="0" collapsed="false">
      <c r="A101" s="12"/>
      <c r="B101" s="12"/>
      <c r="C101" s="15" t="str">
        <f aca="false">IF(B101="","",IFERROR(INDEX('AI Inventory'!$B:$B,MATCH(B101,'AI Inventory'!$A:$A,0)),"ID not in inventory"))</f>
        <v/>
      </c>
      <c r="D101" s="12"/>
      <c r="E101" s="12"/>
      <c r="F101" s="12"/>
      <c r="G101" s="12"/>
      <c r="H101" s="12"/>
      <c r="I101" s="12"/>
      <c r="J101" s="15" t="str">
        <f aca="false">IF(OR(H101="",I101=""),"",VALUE(H101)*VALUE(I101))</f>
        <v/>
      </c>
      <c r="K101" s="15" t="str">
        <f aca="false">IF(J101="","",IF(J101&gt;=15,"High",IF(J101&gt;=8,"Medium","Low")))</f>
        <v/>
      </c>
      <c r="L101" s="12"/>
      <c r="M101" s="12"/>
      <c r="N101" s="12"/>
      <c r="O101" s="12"/>
      <c r="P101" s="15" t="str">
        <f aca="false">IF(OR(N101="",O101=""),"",VALUE(N101)*VALUE(O101))</f>
        <v/>
      </c>
      <c r="Q101" s="15" t="str">
        <f aca="false">IF(P101="","",IF(P101&gt;=15,"High",IF(P101&gt;=8,"Medium","Low")))</f>
        <v/>
      </c>
      <c r="R101" s="12"/>
      <c r="S101" s="12"/>
      <c r="T101" s="12"/>
      <c r="U101" s="13"/>
      <c r="V101" s="12"/>
      <c r="W101" s="12"/>
      <c r="X101" s="15" t="str">
        <f aca="true">IF(OR(U101="",V101="Done"),"",IF(U101&lt;TODAY(),"OVERDUE",""))</f>
        <v/>
      </c>
    </row>
    <row r="102" customFormat="false" ht="15" hidden="false" customHeight="false" outlineLevel="0" collapsed="false">
      <c r="A102" s="12"/>
      <c r="B102" s="12"/>
      <c r="C102" s="15" t="str">
        <f aca="false">IF(B102="","",IFERROR(INDEX('AI Inventory'!$B:$B,MATCH(B102,'AI Inventory'!$A:$A,0)),"ID not in inventory"))</f>
        <v/>
      </c>
      <c r="D102" s="12"/>
      <c r="E102" s="12"/>
      <c r="F102" s="12"/>
      <c r="G102" s="12"/>
      <c r="H102" s="12"/>
      <c r="I102" s="12"/>
      <c r="J102" s="15" t="str">
        <f aca="false">IF(OR(H102="",I102=""),"",VALUE(H102)*VALUE(I102))</f>
        <v/>
      </c>
      <c r="K102" s="15" t="str">
        <f aca="false">IF(J102="","",IF(J102&gt;=15,"High",IF(J102&gt;=8,"Medium","Low")))</f>
        <v/>
      </c>
      <c r="L102" s="12"/>
      <c r="M102" s="12"/>
      <c r="N102" s="12"/>
      <c r="O102" s="12"/>
      <c r="P102" s="15" t="str">
        <f aca="false">IF(OR(N102="",O102=""),"",VALUE(N102)*VALUE(O102))</f>
        <v/>
      </c>
      <c r="Q102" s="15" t="str">
        <f aca="false">IF(P102="","",IF(P102&gt;=15,"High",IF(P102&gt;=8,"Medium","Low")))</f>
        <v/>
      </c>
      <c r="R102" s="12"/>
      <c r="S102" s="12"/>
      <c r="T102" s="12"/>
      <c r="U102" s="13"/>
      <c r="V102" s="12"/>
      <c r="W102" s="12"/>
      <c r="X102" s="15" t="str">
        <f aca="true">IF(OR(U102="",V102="Done"),"",IF(U102&lt;TODAY(),"OVERDUE",""))</f>
        <v/>
      </c>
    </row>
    <row r="103" customFormat="false" ht="15" hidden="false" customHeight="false" outlineLevel="0" collapsed="false">
      <c r="A103" s="12"/>
      <c r="B103" s="12"/>
      <c r="C103" s="15" t="str">
        <f aca="false">IF(B103="","",IFERROR(INDEX('AI Inventory'!$B:$B,MATCH(B103,'AI Inventory'!$A:$A,0)),"ID not in inventory"))</f>
        <v/>
      </c>
      <c r="D103" s="12"/>
      <c r="E103" s="12"/>
      <c r="F103" s="12"/>
      <c r="G103" s="12"/>
      <c r="H103" s="12"/>
      <c r="I103" s="12"/>
      <c r="J103" s="15" t="str">
        <f aca="false">IF(OR(H103="",I103=""),"",VALUE(H103)*VALUE(I103))</f>
        <v/>
      </c>
      <c r="K103" s="15" t="str">
        <f aca="false">IF(J103="","",IF(J103&gt;=15,"High",IF(J103&gt;=8,"Medium","Low")))</f>
        <v/>
      </c>
      <c r="L103" s="12"/>
      <c r="M103" s="12"/>
      <c r="N103" s="12"/>
      <c r="O103" s="12"/>
      <c r="P103" s="15" t="str">
        <f aca="false">IF(OR(N103="",O103=""),"",VALUE(N103)*VALUE(O103))</f>
        <v/>
      </c>
      <c r="Q103" s="15" t="str">
        <f aca="false">IF(P103="","",IF(P103&gt;=15,"High",IF(P103&gt;=8,"Medium","Low")))</f>
        <v/>
      </c>
      <c r="R103" s="12"/>
      <c r="S103" s="12"/>
      <c r="T103" s="12"/>
      <c r="U103" s="13"/>
      <c r="V103" s="12"/>
      <c r="W103" s="12"/>
      <c r="X103" s="15" t="str">
        <f aca="true">IF(OR(U103="",V103="Done"),"",IF(U103&lt;TODAY(),"OVERDUE",""))</f>
        <v/>
      </c>
    </row>
    <row r="104" customFormat="false" ht="15" hidden="false" customHeight="false" outlineLevel="0" collapsed="false">
      <c r="A104" s="12"/>
      <c r="B104" s="12"/>
      <c r="C104" s="15" t="str">
        <f aca="false">IF(B104="","",IFERROR(INDEX('AI Inventory'!$B:$B,MATCH(B104,'AI Inventory'!$A:$A,0)),"ID not in inventory"))</f>
        <v/>
      </c>
      <c r="D104" s="12"/>
      <c r="E104" s="12"/>
      <c r="F104" s="12"/>
      <c r="G104" s="12"/>
      <c r="H104" s="12"/>
      <c r="I104" s="12"/>
      <c r="J104" s="15" t="str">
        <f aca="false">IF(OR(H104="",I104=""),"",VALUE(H104)*VALUE(I104))</f>
        <v/>
      </c>
      <c r="K104" s="15" t="str">
        <f aca="false">IF(J104="","",IF(J104&gt;=15,"High",IF(J104&gt;=8,"Medium","Low")))</f>
        <v/>
      </c>
      <c r="L104" s="12"/>
      <c r="M104" s="12"/>
      <c r="N104" s="12"/>
      <c r="O104" s="12"/>
      <c r="P104" s="15" t="str">
        <f aca="false">IF(OR(N104="",O104=""),"",VALUE(N104)*VALUE(O104))</f>
        <v/>
      </c>
      <c r="Q104" s="15" t="str">
        <f aca="false">IF(P104="","",IF(P104&gt;=15,"High",IF(P104&gt;=8,"Medium","Low")))</f>
        <v/>
      </c>
      <c r="R104" s="12"/>
      <c r="S104" s="12"/>
      <c r="T104" s="12"/>
      <c r="U104" s="13"/>
      <c r="V104" s="12"/>
      <c r="W104" s="12"/>
      <c r="X104" s="15" t="str">
        <f aca="true">IF(OR(U104="",V104="Done"),"",IF(U104&lt;TODAY(),"OVERDUE",""))</f>
        <v/>
      </c>
    </row>
    <row r="105" customFormat="false" ht="15" hidden="false" customHeight="false" outlineLevel="0" collapsed="false">
      <c r="A105" s="12"/>
      <c r="B105" s="12"/>
      <c r="C105" s="15" t="str">
        <f aca="false">IF(B105="","",IFERROR(INDEX('AI Inventory'!$B:$B,MATCH(B105,'AI Inventory'!$A:$A,0)),"ID not in inventory"))</f>
        <v/>
      </c>
      <c r="D105" s="12"/>
      <c r="E105" s="12"/>
      <c r="F105" s="12"/>
      <c r="G105" s="12"/>
      <c r="H105" s="12"/>
      <c r="I105" s="12"/>
      <c r="J105" s="15" t="str">
        <f aca="false">IF(OR(H105="",I105=""),"",VALUE(H105)*VALUE(I105))</f>
        <v/>
      </c>
      <c r="K105" s="15" t="str">
        <f aca="false">IF(J105="","",IF(J105&gt;=15,"High",IF(J105&gt;=8,"Medium","Low")))</f>
        <v/>
      </c>
      <c r="L105" s="12"/>
      <c r="M105" s="12"/>
      <c r="N105" s="12"/>
      <c r="O105" s="12"/>
      <c r="P105" s="15" t="str">
        <f aca="false">IF(OR(N105="",O105=""),"",VALUE(N105)*VALUE(O105))</f>
        <v/>
      </c>
      <c r="Q105" s="15" t="str">
        <f aca="false">IF(P105="","",IF(P105&gt;=15,"High",IF(P105&gt;=8,"Medium","Low")))</f>
        <v/>
      </c>
      <c r="R105" s="12"/>
      <c r="S105" s="12"/>
      <c r="T105" s="12"/>
      <c r="U105" s="13"/>
      <c r="V105" s="12"/>
      <c r="W105" s="12"/>
      <c r="X105" s="15" t="str">
        <f aca="true">IF(OR(U105="",V105="Done"),"",IF(U105&lt;TODAY(),"OVERDUE",""))</f>
        <v/>
      </c>
    </row>
    <row r="106" customFormat="false" ht="15" hidden="false" customHeight="false" outlineLevel="0" collapsed="false">
      <c r="A106" s="12"/>
      <c r="B106" s="12"/>
      <c r="C106" s="15" t="str">
        <f aca="false">IF(B106="","",IFERROR(INDEX('AI Inventory'!$B:$B,MATCH(B106,'AI Inventory'!$A:$A,0)),"ID not in inventory"))</f>
        <v/>
      </c>
      <c r="D106" s="12"/>
      <c r="E106" s="12"/>
      <c r="F106" s="12"/>
      <c r="G106" s="12"/>
      <c r="H106" s="12"/>
      <c r="I106" s="12"/>
      <c r="J106" s="15" t="str">
        <f aca="false">IF(OR(H106="",I106=""),"",VALUE(H106)*VALUE(I106))</f>
        <v/>
      </c>
      <c r="K106" s="15" t="str">
        <f aca="false">IF(J106="","",IF(J106&gt;=15,"High",IF(J106&gt;=8,"Medium","Low")))</f>
        <v/>
      </c>
      <c r="L106" s="12"/>
      <c r="M106" s="12"/>
      <c r="N106" s="12"/>
      <c r="O106" s="12"/>
      <c r="P106" s="15" t="str">
        <f aca="false">IF(OR(N106="",O106=""),"",VALUE(N106)*VALUE(O106))</f>
        <v/>
      </c>
      <c r="Q106" s="15" t="str">
        <f aca="false">IF(P106="","",IF(P106&gt;=15,"High",IF(P106&gt;=8,"Medium","Low")))</f>
        <v/>
      </c>
      <c r="R106" s="12"/>
      <c r="S106" s="12"/>
      <c r="T106" s="12"/>
      <c r="U106" s="13"/>
      <c r="V106" s="12"/>
      <c r="W106" s="12"/>
      <c r="X106" s="15" t="str">
        <f aca="true">IF(OR(U106="",V106="Done"),"",IF(U106&lt;TODAY(),"OVERDUE",""))</f>
        <v/>
      </c>
    </row>
    <row r="107" customFormat="false" ht="15" hidden="false" customHeight="false" outlineLevel="0" collapsed="false">
      <c r="A107" s="12"/>
      <c r="B107" s="12"/>
      <c r="C107" s="15" t="str">
        <f aca="false">IF(B107="","",IFERROR(INDEX('AI Inventory'!$B:$B,MATCH(B107,'AI Inventory'!$A:$A,0)),"ID not in inventory"))</f>
        <v/>
      </c>
      <c r="D107" s="12"/>
      <c r="E107" s="12"/>
      <c r="F107" s="12"/>
      <c r="G107" s="12"/>
      <c r="H107" s="12"/>
      <c r="I107" s="12"/>
      <c r="J107" s="15" t="str">
        <f aca="false">IF(OR(H107="",I107=""),"",VALUE(H107)*VALUE(I107))</f>
        <v/>
      </c>
      <c r="K107" s="15" t="str">
        <f aca="false">IF(J107="","",IF(J107&gt;=15,"High",IF(J107&gt;=8,"Medium","Low")))</f>
        <v/>
      </c>
      <c r="L107" s="12"/>
      <c r="M107" s="12"/>
      <c r="N107" s="12"/>
      <c r="O107" s="12"/>
      <c r="P107" s="15" t="str">
        <f aca="false">IF(OR(N107="",O107=""),"",VALUE(N107)*VALUE(O107))</f>
        <v/>
      </c>
      <c r="Q107" s="15" t="str">
        <f aca="false">IF(P107="","",IF(P107&gt;=15,"High",IF(P107&gt;=8,"Medium","Low")))</f>
        <v/>
      </c>
      <c r="R107" s="12"/>
      <c r="S107" s="12"/>
      <c r="T107" s="12"/>
      <c r="U107" s="13"/>
      <c r="V107" s="12"/>
      <c r="W107" s="12"/>
      <c r="X107" s="15" t="str">
        <f aca="true">IF(OR(U107="",V107="Done"),"",IF(U107&lt;TODAY(),"OVERDUE",""))</f>
        <v/>
      </c>
    </row>
    <row r="108" customFormat="false" ht="15" hidden="false" customHeight="false" outlineLevel="0" collapsed="false">
      <c r="A108" s="12"/>
      <c r="B108" s="12"/>
      <c r="C108" s="15" t="str">
        <f aca="false">IF(B108="","",IFERROR(INDEX('AI Inventory'!$B:$B,MATCH(B108,'AI Inventory'!$A:$A,0)),"ID not in inventory"))</f>
        <v/>
      </c>
      <c r="D108" s="12"/>
      <c r="E108" s="12"/>
      <c r="F108" s="12"/>
      <c r="G108" s="12"/>
      <c r="H108" s="12"/>
      <c r="I108" s="12"/>
      <c r="J108" s="15" t="str">
        <f aca="false">IF(OR(H108="",I108=""),"",VALUE(H108)*VALUE(I108))</f>
        <v/>
      </c>
      <c r="K108" s="15" t="str">
        <f aca="false">IF(J108="","",IF(J108&gt;=15,"High",IF(J108&gt;=8,"Medium","Low")))</f>
        <v/>
      </c>
      <c r="L108" s="12"/>
      <c r="M108" s="12"/>
      <c r="N108" s="12"/>
      <c r="O108" s="12"/>
      <c r="P108" s="15" t="str">
        <f aca="false">IF(OR(N108="",O108=""),"",VALUE(N108)*VALUE(O108))</f>
        <v/>
      </c>
      <c r="Q108" s="15" t="str">
        <f aca="false">IF(P108="","",IF(P108&gt;=15,"High",IF(P108&gt;=8,"Medium","Low")))</f>
        <v/>
      </c>
      <c r="R108" s="12"/>
      <c r="S108" s="12"/>
      <c r="T108" s="12"/>
      <c r="U108" s="13"/>
      <c r="V108" s="12"/>
      <c r="W108" s="12"/>
      <c r="X108" s="15" t="str">
        <f aca="true">IF(OR(U108="",V108="Done"),"",IF(U108&lt;TODAY(),"OVERDUE",""))</f>
        <v/>
      </c>
    </row>
    <row r="109" customFormat="false" ht="15" hidden="false" customHeight="false" outlineLevel="0" collapsed="false">
      <c r="A109" s="12"/>
      <c r="B109" s="12"/>
      <c r="C109" s="15" t="str">
        <f aca="false">IF(B109="","",IFERROR(INDEX('AI Inventory'!$B:$B,MATCH(B109,'AI Inventory'!$A:$A,0)),"ID not in inventory"))</f>
        <v/>
      </c>
      <c r="D109" s="12"/>
      <c r="E109" s="12"/>
      <c r="F109" s="12"/>
      <c r="G109" s="12"/>
      <c r="H109" s="12"/>
      <c r="I109" s="12"/>
      <c r="J109" s="15" t="str">
        <f aca="false">IF(OR(H109="",I109=""),"",VALUE(H109)*VALUE(I109))</f>
        <v/>
      </c>
      <c r="K109" s="15" t="str">
        <f aca="false">IF(J109="","",IF(J109&gt;=15,"High",IF(J109&gt;=8,"Medium","Low")))</f>
        <v/>
      </c>
      <c r="L109" s="12"/>
      <c r="M109" s="12"/>
      <c r="N109" s="12"/>
      <c r="O109" s="12"/>
      <c r="P109" s="15" t="str">
        <f aca="false">IF(OR(N109="",O109=""),"",VALUE(N109)*VALUE(O109))</f>
        <v/>
      </c>
      <c r="Q109" s="15" t="str">
        <f aca="false">IF(P109="","",IF(P109&gt;=15,"High",IF(P109&gt;=8,"Medium","Low")))</f>
        <v/>
      </c>
      <c r="R109" s="12"/>
      <c r="S109" s="12"/>
      <c r="T109" s="12"/>
      <c r="U109" s="13"/>
      <c r="V109" s="12"/>
      <c r="W109" s="12"/>
      <c r="X109" s="15" t="str">
        <f aca="true">IF(OR(U109="",V109="Done"),"",IF(U109&lt;TODAY(),"OVERDUE",""))</f>
        <v/>
      </c>
    </row>
    <row r="110" customFormat="false" ht="15" hidden="false" customHeight="false" outlineLevel="0" collapsed="false">
      <c r="A110" s="12"/>
      <c r="B110" s="12"/>
      <c r="C110" s="15" t="str">
        <f aca="false">IF(B110="","",IFERROR(INDEX('AI Inventory'!$B:$B,MATCH(B110,'AI Inventory'!$A:$A,0)),"ID not in inventory"))</f>
        <v/>
      </c>
      <c r="D110" s="12"/>
      <c r="E110" s="12"/>
      <c r="F110" s="12"/>
      <c r="G110" s="12"/>
      <c r="H110" s="12"/>
      <c r="I110" s="12"/>
      <c r="J110" s="15" t="str">
        <f aca="false">IF(OR(H110="",I110=""),"",VALUE(H110)*VALUE(I110))</f>
        <v/>
      </c>
      <c r="K110" s="15" t="str">
        <f aca="false">IF(J110="","",IF(J110&gt;=15,"High",IF(J110&gt;=8,"Medium","Low")))</f>
        <v/>
      </c>
      <c r="L110" s="12"/>
      <c r="M110" s="12"/>
      <c r="N110" s="12"/>
      <c r="O110" s="12"/>
      <c r="P110" s="15" t="str">
        <f aca="false">IF(OR(N110="",O110=""),"",VALUE(N110)*VALUE(O110))</f>
        <v/>
      </c>
      <c r="Q110" s="15" t="str">
        <f aca="false">IF(P110="","",IF(P110&gt;=15,"High",IF(P110&gt;=8,"Medium","Low")))</f>
        <v/>
      </c>
      <c r="R110" s="12"/>
      <c r="S110" s="12"/>
      <c r="T110" s="12"/>
      <c r="U110" s="13"/>
      <c r="V110" s="12"/>
      <c r="W110" s="12"/>
      <c r="X110" s="15" t="str">
        <f aca="true">IF(OR(U110="",V110="Done"),"",IF(U110&lt;TODAY(),"OVERDUE",""))</f>
        <v/>
      </c>
    </row>
    <row r="111" customFormat="false" ht="15" hidden="false" customHeight="false" outlineLevel="0" collapsed="false">
      <c r="A111" s="12"/>
      <c r="B111" s="12"/>
      <c r="C111" s="15" t="str">
        <f aca="false">IF(B111="","",IFERROR(INDEX('AI Inventory'!$B:$B,MATCH(B111,'AI Inventory'!$A:$A,0)),"ID not in inventory"))</f>
        <v/>
      </c>
      <c r="D111" s="12"/>
      <c r="E111" s="12"/>
      <c r="F111" s="12"/>
      <c r="G111" s="12"/>
      <c r="H111" s="12"/>
      <c r="I111" s="12"/>
      <c r="J111" s="15" t="str">
        <f aca="false">IF(OR(H111="",I111=""),"",VALUE(H111)*VALUE(I111))</f>
        <v/>
      </c>
      <c r="K111" s="15" t="str">
        <f aca="false">IF(J111="","",IF(J111&gt;=15,"High",IF(J111&gt;=8,"Medium","Low")))</f>
        <v/>
      </c>
      <c r="L111" s="12"/>
      <c r="M111" s="12"/>
      <c r="N111" s="12"/>
      <c r="O111" s="12"/>
      <c r="P111" s="15" t="str">
        <f aca="false">IF(OR(N111="",O111=""),"",VALUE(N111)*VALUE(O111))</f>
        <v/>
      </c>
      <c r="Q111" s="15" t="str">
        <f aca="false">IF(P111="","",IF(P111&gt;=15,"High",IF(P111&gt;=8,"Medium","Low")))</f>
        <v/>
      </c>
      <c r="R111" s="12"/>
      <c r="S111" s="12"/>
      <c r="T111" s="12"/>
      <c r="U111" s="13"/>
      <c r="V111" s="12"/>
      <c r="W111" s="12"/>
      <c r="X111" s="15" t="str">
        <f aca="true">IF(OR(U111="",V111="Done"),"",IF(U111&lt;TODAY(),"OVERDUE",""))</f>
        <v/>
      </c>
    </row>
    <row r="112" customFormat="false" ht="15" hidden="false" customHeight="false" outlineLevel="0" collapsed="false">
      <c r="A112" s="12"/>
      <c r="B112" s="12"/>
      <c r="C112" s="15" t="str">
        <f aca="false">IF(B112="","",IFERROR(INDEX('AI Inventory'!$B:$B,MATCH(B112,'AI Inventory'!$A:$A,0)),"ID not in inventory"))</f>
        <v/>
      </c>
      <c r="D112" s="12"/>
      <c r="E112" s="12"/>
      <c r="F112" s="12"/>
      <c r="G112" s="12"/>
      <c r="H112" s="12"/>
      <c r="I112" s="12"/>
      <c r="J112" s="15" t="str">
        <f aca="false">IF(OR(H112="",I112=""),"",VALUE(H112)*VALUE(I112))</f>
        <v/>
      </c>
      <c r="K112" s="15" t="str">
        <f aca="false">IF(J112="","",IF(J112&gt;=15,"High",IF(J112&gt;=8,"Medium","Low")))</f>
        <v/>
      </c>
      <c r="L112" s="12"/>
      <c r="M112" s="12"/>
      <c r="N112" s="12"/>
      <c r="O112" s="12"/>
      <c r="P112" s="15" t="str">
        <f aca="false">IF(OR(N112="",O112=""),"",VALUE(N112)*VALUE(O112))</f>
        <v/>
      </c>
      <c r="Q112" s="15" t="str">
        <f aca="false">IF(P112="","",IF(P112&gt;=15,"High",IF(P112&gt;=8,"Medium","Low")))</f>
        <v/>
      </c>
      <c r="R112" s="12"/>
      <c r="S112" s="12"/>
      <c r="T112" s="12"/>
      <c r="U112" s="13"/>
      <c r="V112" s="12"/>
      <c r="W112" s="12"/>
      <c r="X112" s="15" t="str">
        <f aca="true">IF(OR(U112="",V112="Done"),"",IF(U112&lt;TODAY(),"OVERDUE",""))</f>
        <v/>
      </c>
    </row>
    <row r="113" customFormat="false" ht="15" hidden="false" customHeight="false" outlineLevel="0" collapsed="false">
      <c r="A113" s="12"/>
      <c r="B113" s="12"/>
      <c r="C113" s="15" t="str">
        <f aca="false">IF(B113="","",IFERROR(INDEX('AI Inventory'!$B:$B,MATCH(B113,'AI Inventory'!$A:$A,0)),"ID not in inventory"))</f>
        <v/>
      </c>
      <c r="D113" s="12"/>
      <c r="E113" s="12"/>
      <c r="F113" s="12"/>
      <c r="G113" s="12"/>
      <c r="H113" s="12"/>
      <c r="I113" s="12"/>
      <c r="J113" s="15" t="str">
        <f aca="false">IF(OR(H113="",I113=""),"",VALUE(H113)*VALUE(I113))</f>
        <v/>
      </c>
      <c r="K113" s="15" t="str">
        <f aca="false">IF(J113="","",IF(J113&gt;=15,"High",IF(J113&gt;=8,"Medium","Low")))</f>
        <v/>
      </c>
      <c r="L113" s="12"/>
      <c r="M113" s="12"/>
      <c r="N113" s="12"/>
      <c r="O113" s="12"/>
      <c r="P113" s="15" t="str">
        <f aca="false">IF(OR(N113="",O113=""),"",VALUE(N113)*VALUE(O113))</f>
        <v/>
      </c>
      <c r="Q113" s="15" t="str">
        <f aca="false">IF(P113="","",IF(P113&gt;=15,"High",IF(P113&gt;=8,"Medium","Low")))</f>
        <v/>
      </c>
      <c r="R113" s="12"/>
      <c r="S113" s="12"/>
      <c r="T113" s="12"/>
      <c r="U113" s="13"/>
      <c r="V113" s="12"/>
      <c r="W113" s="12"/>
      <c r="X113" s="15" t="str">
        <f aca="true">IF(OR(U113="",V113="Done"),"",IF(U113&lt;TODAY(),"OVERDUE",""))</f>
        <v/>
      </c>
    </row>
    <row r="114" customFormat="false" ht="15" hidden="false" customHeight="false" outlineLevel="0" collapsed="false">
      <c r="A114" s="12"/>
      <c r="B114" s="12"/>
      <c r="C114" s="15" t="str">
        <f aca="false">IF(B114="","",IFERROR(INDEX('AI Inventory'!$B:$B,MATCH(B114,'AI Inventory'!$A:$A,0)),"ID not in inventory"))</f>
        <v/>
      </c>
      <c r="D114" s="12"/>
      <c r="E114" s="12"/>
      <c r="F114" s="12"/>
      <c r="G114" s="12"/>
      <c r="H114" s="12"/>
      <c r="I114" s="12"/>
      <c r="J114" s="15" t="str">
        <f aca="false">IF(OR(H114="",I114=""),"",VALUE(H114)*VALUE(I114))</f>
        <v/>
      </c>
      <c r="K114" s="15" t="str">
        <f aca="false">IF(J114="","",IF(J114&gt;=15,"High",IF(J114&gt;=8,"Medium","Low")))</f>
        <v/>
      </c>
      <c r="L114" s="12"/>
      <c r="M114" s="12"/>
      <c r="N114" s="12"/>
      <c r="O114" s="12"/>
      <c r="P114" s="15" t="str">
        <f aca="false">IF(OR(N114="",O114=""),"",VALUE(N114)*VALUE(O114))</f>
        <v/>
      </c>
      <c r="Q114" s="15" t="str">
        <f aca="false">IF(P114="","",IF(P114&gt;=15,"High",IF(P114&gt;=8,"Medium","Low")))</f>
        <v/>
      </c>
      <c r="R114" s="12"/>
      <c r="S114" s="12"/>
      <c r="T114" s="12"/>
      <c r="U114" s="13"/>
      <c r="V114" s="12"/>
      <c r="W114" s="12"/>
      <c r="X114" s="15" t="str">
        <f aca="true">IF(OR(U114="",V114="Done"),"",IF(U114&lt;TODAY(),"OVERDUE",""))</f>
        <v/>
      </c>
    </row>
    <row r="115" customFormat="false" ht="15" hidden="false" customHeight="false" outlineLevel="0" collapsed="false">
      <c r="A115" s="12"/>
      <c r="B115" s="12"/>
      <c r="C115" s="15" t="str">
        <f aca="false">IF(B115="","",IFERROR(INDEX('AI Inventory'!$B:$B,MATCH(B115,'AI Inventory'!$A:$A,0)),"ID not in inventory"))</f>
        <v/>
      </c>
      <c r="D115" s="12"/>
      <c r="E115" s="12"/>
      <c r="F115" s="12"/>
      <c r="G115" s="12"/>
      <c r="H115" s="12"/>
      <c r="I115" s="12"/>
      <c r="J115" s="15" t="str">
        <f aca="false">IF(OR(H115="",I115=""),"",VALUE(H115)*VALUE(I115))</f>
        <v/>
      </c>
      <c r="K115" s="15" t="str">
        <f aca="false">IF(J115="","",IF(J115&gt;=15,"High",IF(J115&gt;=8,"Medium","Low")))</f>
        <v/>
      </c>
      <c r="L115" s="12"/>
      <c r="M115" s="12"/>
      <c r="N115" s="12"/>
      <c r="O115" s="12"/>
      <c r="P115" s="15" t="str">
        <f aca="false">IF(OR(N115="",O115=""),"",VALUE(N115)*VALUE(O115))</f>
        <v/>
      </c>
      <c r="Q115" s="15" t="str">
        <f aca="false">IF(P115="","",IF(P115&gt;=15,"High",IF(P115&gt;=8,"Medium","Low")))</f>
        <v/>
      </c>
      <c r="R115" s="12"/>
      <c r="S115" s="12"/>
      <c r="T115" s="12"/>
      <c r="U115" s="13"/>
      <c r="V115" s="12"/>
      <c r="W115" s="12"/>
      <c r="X115" s="15" t="str">
        <f aca="true">IF(OR(U115="",V115="Done"),"",IF(U115&lt;TODAY(),"OVERDUE",""))</f>
        <v/>
      </c>
    </row>
    <row r="116" customFormat="false" ht="15" hidden="false" customHeight="false" outlineLevel="0" collapsed="false">
      <c r="A116" s="12"/>
      <c r="B116" s="12"/>
      <c r="C116" s="15" t="str">
        <f aca="false">IF(B116="","",IFERROR(INDEX('AI Inventory'!$B:$B,MATCH(B116,'AI Inventory'!$A:$A,0)),"ID not in inventory"))</f>
        <v/>
      </c>
      <c r="D116" s="12"/>
      <c r="E116" s="12"/>
      <c r="F116" s="12"/>
      <c r="G116" s="12"/>
      <c r="H116" s="12"/>
      <c r="I116" s="12"/>
      <c r="J116" s="15" t="str">
        <f aca="false">IF(OR(H116="",I116=""),"",VALUE(H116)*VALUE(I116))</f>
        <v/>
      </c>
      <c r="K116" s="15" t="str">
        <f aca="false">IF(J116="","",IF(J116&gt;=15,"High",IF(J116&gt;=8,"Medium","Low")))</f>
        <v/>
      </c>
      <c r="L116" s="12"/>
      <c r="M116" s="12"/>
      <c r="N116" s="12"/>
      <c r="O116" s="12"/>
      <c r="P116" s="15" t="str">
        <f aca="false">IF(OR(N116="",O116=""),"",VALUE(N116)*VALUE(O116))</f>
        <v/>
      </c>
      <c r="Q116" s="15" t="str">
        <f aca="false">IF(P116="","",IF(P116&gt;=15,"High",IF(P116&gt;=8,"Medium","Low")))</f>
        <v/>
      </c>
      <c r="R116" s="12"/>
      <c r="S116" s="12"/>
      <c r="T116" s="12"/>
      <c r="U116" s="13"/>
      <c r="V116" s="12"/>
      <c r="W116" s="12"/>
      <c r="X116" s="15" t="str">
        <f aca="true">IF(OR(U116="",V116="Done"),"",IF(U116&lt;TODAY(),"OVERDUE",""))</f>
        <v/>
      </c>
    </row>
    <row r="117" customFormat="false" ht="15" hidden="false" customHeight="false" outlineLevel="0" collapsed="false">
      <c r="A117" s="12"/>
      <c r="B117" s="12"/>
      <c r="C117" s="15" t="str">
        <f aca="false">IF(B117="","",IFERROR(INDEX('AI Inventory'!$B:$B,MATCH(B117,'AI Inventory'!$A:$A,0)),"ID not in inventory"))</f>
        <v/>
      </c>
      <c r="D117" s="12"/>
      <c r="E117" s="12"/>
      <c r="F117" s="12"/>
      <c r="G117" s="12"/>
      <c r="H117" s="12"/>
      <c r="I117" s="12"/>
      <c r="J117" s="15" t="str">
        <f aca="false">IF(OR(H117="",I117=""),"",VALUE(H117)*VALUE(I117))</f>
        <v/>
      </c>
      <c r="K117" s="15" t="str">
        <f aca="false">IF(J117="","",IF(J117&gt;=15,"High",IF(J117&gt;=8,"Medium","Low")))</f>
        <v/>
      </c>
      <c r="L117" s="12"/>
      <c r="M117" s="12"/>
      <c r="N117" s="12"/>
      <c r="O117" s="12"/>
      <c r="P117" s="15" t="str">
        <f aca="false">IF(OR(N117="",O117=""),"",VALUE(N117)*VALUE(O117))</f>
        <v/>
      </c>
      <c r="Q117" s="15" t="str">
        <f aca="false">IF(P117="","",IF(P117&gt;=15,"High",IF(P117&gt;=8,"Medium","Low")))</f>
        <v/>
      </c>
      <c r="R117" s="12"/>
      <c r="S117" s="12"/>
      <c r="T117" s="12"/>
      <c r="U117" s="13"/>
      <c r="V117" s="12"/>
      <c r="W117" s="12"/>
      <c r="X117" s="15" t="str">
        <f aca="true">IF(OR(U117="",V117="Done"),"",IF(U117&lt;TODAY(),"OVERDUE",""))</f>
        <v/>
      </c>
    </row>
    <row r="118" customFormat="false" ht="15" hidden="false" customHeight="false" outlineLevel="0" collapsed="false">
      <c r="A118" s="12"/>
      <c r="B118" s="12"/>
      <c r="C118" s="15" t="str">
        <f aca="false">IF(B118="","",IFERROR(INDEX('AI Inventory'!$B:$B,MATCH(B118,'AI Inventory'!$A:$A,0)),"ID not in inventory"))</f>
        <v/>
      </c>
      <c r="D118" s="12"/>
      <c r="E118" s="12"/>
      <c r="F118" s="12"/>
      <c r="G118" s="12"/>
      <c r="H118" s="12"/>
      <c r="I118" s="12"/>
      <c r="J118" s="15" t="str">
        <f aca="false">IF(OR(H118="",I118=""),"",VALUE(H118)*VALUE(I118))</f>
        <v/>
      </c>
      <c r="K118" s="15" t="str">
        <f aca="false">IF(J118="","",IF(J118&gt;=15,"High",IF(J118&gt;=8,"Medium","Low")))</f>
        <v/>
      </c>
      <c r="L118" s="12"/>
      <c r="M118" s="12"/>
      <c r="N118" s="12"/>
      <c r="O118" s="12"/>
      <c r="P118" s="15" t="str">
        <f aca="false">IF(OR(N118="",O118=""),"",VALUE(N118)*VALUE(O118))</f>
        <v/>
      </c>
      <c r="Q118" s="15" t="str">
        <f aca="false">IF(P118="","",IF(P118&gt;=15,"High",IF(P118&gt;=8,"Medium","Low")))</f>
        <v/>
      </c>
      <c r="R118" s="12"/>
      <c r="S118" s="12"/>
      <c r="T118" s="12"/>
      <c r="U118" s="13"/>
      <c r="V118" s="12"/>
      <c r="W118" s="12"/>
      <c r="X118" s="15" t="str">
        <f aca="true">IF(OR(U118="",V118="Done"),"",IF(U118&lt;TODAY(),"OVERDUE",""))</f>
        <v/>
      </c>
    </row>
    <row r="119" customFormat="false" ht="15" hidden="false" customHeight="false" outlineLevel="0" collapsed="false">
      <c r="A119" s="12"/>
      <c r="B119" s="12"/>
      <c r="C119" s="15" t="str">
        <f aca="false">IF(B119="","",IFERROR(INDEX('AI Inventory'!$B:$B,MATCH(B119,'AI Inventory'!$A:$A,0)),"ID not in inventory"))</f>
        <v/>
      </c>
      <c r="D119" s="12"/>
      <c r="E119" s="12"/>
      <c r="F119" s="12"/>
      <c r="G119" s="12"/>
      <c r="H119" s="12"/>
      <c r="I119" s="12"/>
      <c r="J119" s="15" t="str">
        <f aca="false">IF(OR(H119="",I119=""),"",VALUE(H119)*VALUE(I119))</f>
        <v/>
      </c>
      <c r="K119" s="15" t="str">
        <f aca="false">IF(J119="","",IF(J119&gt;=15,"High",IF(J119&gt;=8,"Medium","Low")))</f>
        <v/>
      </c>
      <c r="L119" s="12"/>
      <c r="M119" s="12"/>
      <c r="N119" s="12"/>
      <c r="O119" s="12"/>
      <c r="P119" s="15" t="str">
        <f aca="false">IF(OR(N119="",O119=""),"",VALUE(N119)*VALUE(O119))</f>
        <v/>
      </c>
      <c r="Q119" s="15" t="str">
        <f aca="false">IF(P119="","",IF(P119&gt;=15,"High",IF(P119&gt;=8,"Medium","Low")))</f>
        <v/>
      </c>
      <c r="R119" s="12"/>
      <c r="S119" s="12"/>
      <c r="T119" s="12"/>
      <c r="U119" s="13"/>
      <c r="V119" s="12"/>
      <c r="W119" s="12"/>
      <c r="X119" s="15" t="str">
        <f aca="true">IF(OR(U119="",V119="Done"),"",IF(U119&lt;TODAY(),"OVERDUE",""))</f>
        <v/>
      </c>
    </row>
    <row r="120" customFormat="false" ht="15" hidden="false" customHeight="false" outlineLevel="0" collapsed="false">
      <c r="A120" s="12"/>
      <c r="B120" s="12"/>
      <c r="C120" s="15" t="str">
        <f aca="false">IF(B120="","",IFERROR(INDEX('AI Inventory'!$B:$B,MATCH(B120,'AI Inventory'!$A:$A,0)),"ID not in inventory"))</f>
        <v/>
      </c>
      <c r="D120" s="12"/>
      <c r="E120" s="12"/>
      <c r="F120" s="12"/>
      <c r="G120" s="12"/>
      <c r="H120" s="12"/>
      <c r="I120" s="12"/>
      <c r="J120" s="15" t="str">
        <f aca="false">IF(OR(H120="",I120=""),"",VALUE(H120)*VALUE(I120))</f>
        <v/>
      </c>
      <c r="K120" s="15" t="str">
        <f aca="false">IF(J120="","",IF(J120&gt;=15,"High",IF(J120&gt;=8,"Medium","Low")))</f>
        <v/>
      </c>
      <c r="L120" s="12"/>
      <c r="M120" s="12"/>
      <c r="N120" s="12"/>
      <c r="O120" s="12"/>
      <c r="P120" s="15" t="str">
        <f aca="false">IF(OR(N120="",O120=""),"",VALUE(N120)*VALUE(O120))</f>
        <v/>
      </c>
      <c r="Q120" s="15" t="str">
        <f aca="false">IF(P120="","",IF(P120&gt;=15,"High",IF(P120&gt;=8,"Medium","Low")))</f>
        <v/>
      </c>
      <c r="R120" s="12"/>
      <c r="S120" s="12"/>
      <c r="T120" s="12"/>
      <c r="U120" s="13"/>
      <c r="V120" s="12"/>
      <c r="W120" s="12"/>
      <c r="X120" s="15" t="str">
        <f aca="true">IF(OR(U120="",V120="Done"),"",IF(U120&lt;TODAY(),"OVERDUE",""))</f>
        <v/>
      </c>
    </row>
    <row r="121" customFormat="false" ht="15" hidden="false" customHeight="false" outlineLevel="0" collapsed="false">
      <c r="A121" s="12"/>
      <c r="B121" s="12"/>
      <c r="C121" s="15" t="str">
        <f aca="false">IF(B121="","",IFERROR(INDEX('AI Inventory'!$B:$B,MATCH(B121,'AI Inventory'!$A:$A,0)),"ID not in inventory"))</f>
        <v/>
      </c>
      <c r="D121" s="12"/>
      <c r="E121" s="12"/>
      <c r="F121" s="12"/>
      <c r="G121" s="12"/>
      <c r="H121" s="12"/>
      <c r="I121" s="12"/>
      <c r="J121" s="15" t="str">
        <f aca="false">IF(OR(H121="",I121=""),"",VALUE(H121)*VALUE(I121))</f>
        <v/>
      </c>
      <c r="K121" s="15" t="str">
        <f aca="false">IF(J121="","",IF(J121&gt;=15,"High",IF(J121&gt;=8,"Medium","Low")))</f>
        <v/>
      </c>
      <c r="L121" s="12"/>
      <c r="M121" s="12"/>
      <c r="N121" s="12"/>
      <c r="O121" s="12"/>
      <c r="P121" s="15" t="str">
        <f aca="false">IF(OR(N121="",O121=""),"",VALUE(N121)*VALUE(O121))</f>
        <v/>
      </c>
      <c r="Q121" s="15" t="str">
        <f aca="false">IF(P121="","",IF(P121&gt;=15,"High",IF(P121&gt;=8,"Medium","Low")))</f>
        <v/>
      </c>
      <c r="R121" s="12"/>
      <c r="S121" s="12"/>
      <c r="T121" s="12"/>
      <c r="U121" s="13"/>
      <c r="V121" s="12"/>
      <c r="W121" s="12"/>
      <c r="X121" s="15" t="str">
        <f aca="true">IF(OR(U121="",V121="Done"),"",IF(U121&lt;TODAY(),"OVERDUE",""))</f>
        <v/>
      </c>
    </row>
    <row r="122" customFormat="false" ht="15" hidden="false" customHeight="false" outlineLevel="0" collapsed="false">
      <c r="A122" s="12"/>
      <c r="B122" s="12"/>
      <c r="C122" s="15" t="str">
        <f aca="false">IF(B122="","",IFERROR(INDEX('AI Inventory'!$B:$B,MATCH(B122,'AI Inventory'!$A:$A,0)),"ID not in inventory"))</f>
        <v/>
      </c>
      <c r="D122" s="12"/>
      <c r="E122" s="12"/>
      <c r="F122" s="12"/>
      <c r="G122" s="12"/>
      <c r="H122" s="12"/>
      <c r="I122" s="12"/>
      <c r="J122" s="15" t="str">
        <f aca="false">IF(OR(H122="",I122=""),"",VALUE(H122)*VALUE(I122))</f>
        <v/>
      </c>
      <c r="K122" s="15" t="str">
        <f aca="false">IF(J122="","",IF(J122&gt;=15,"High",IF(J122&gt;=8,"Medium","Low")))</f>
        <v/>
      </c>
      <c r="L122" s="12"/>
      <c r="M122" s="12"/>
      <c r="N122" s="12"/>
      <c r="O122" s="12"/>
      <c r="P122" s="15" t="str">
        <f aca="false">IF(OR(N122="",O122=""),"",VALUE(N122)*VALUE(O122))</f>
        <v/>
      </c>
      <c r="Q122" s="15" t="str">
        <f aca="false">IF(P122="","",IF(P122&gt;=15,"High",IF(P122&gt;=8,"Medium","Low")))</f>
        <v/>
      </c>
      <c r="R122" s="12"/>
      <c r="S122" s="12"/>
      <c r="T122" s="12"/>
      <c r="U122" s="13"/>
      <c r="V122" s="12"/>
      <c r="W122" s="12"/>
      <c r="X122" s="15" t="str">
        <f aca="true">IF(OR(U122="",V122="Done"),"",IF(U122&lt;TODAY(),"OVERDUE",""))</f>
        <v/>
      </c>
    </row>
    <row r="123" customFormat="false" ht="15" hidden="false" customHeight="false" outlineLevel="0" collapsed="false">
      <c r="A123" s="12"/>
      <c r="B123" s="12"/>
      <c r="C123" s="15" t="str">
        <f aca="false">IF(B123="","",IFERROR(INDEX('AI Inventory'!$B:$B,MATCH(B123,'AI Inventory'!$A:$A,0)),"ID not in inventory"))</f>
        <v/>
      </c>
      <c r="D123" s="12"/>
      <c r="E123" s="12"/>
      <c r="F123" s="12"/>
      <c r="G123" s="12"/>
      <c r="H123" s="12"/>
      <c r="I123" s="12"/>
      <c r="J123" s="15" t="str">
        <f aca="false">IF(OR(H123="",I123=""),"",VALUE(H123)*VALUE(I123))</f>
        <v/>
      </c>
      <c r="K123" s="15" t="str">
        <f aca="false">IF(J123="","",IF(J123&gt;=15,"High",IF(J123&gt;=8,"Medium","Low")))</f>
        <v/>
      </c>
      <c r="L123" s="12"/>
      <c r="M123" s="12"/>
      <c r="N123" s="12"/>
      <c r="O123" s="12"/>
      <c r="P123" s="15" t="str">
        <f aca="false">IF(OR(N123="",O123=""),"",VALUE(N123)*VALUE(O123))</f>
        <v/>
      </c>
      <c r="Q123" s="15" t="str">
        <f aca="false">IF(P123="","",IF(P123&gt;=15,"High",IF(P123&gt;=8,"Medium","Low")))</f>
        <v/>
      </c>
      <c r="R123" s="12"/>
      <c r="S123" s="12"/>
      <c r="T123" s="12"/>
      <c r="U123" s="13"/>
      <c r="V123" s="12"/>
      <c r="W123" s="12"/>
      <c r="X123" s="15" t="str">
        <f aca="true">IF(OR(U123="",V123="Done"),"",IF(U123&lt;TODAY(),"OVERDUE",""))</f>
        <v/>
      </c>
    </row>
    <row r="124" customFormat="false" ht="15" hidden="false" customHeight="false" outlineLevel="0" collapsed="false">
      <c r="A124" s="12"/>
      <c r="B124" s="12"/>
      <c r="C124" s="15" t="str">
        <f aca="false">IF(B124="","",IFERROR(INDEX('AI Inventory'!$B:$B,MATCH(B124,'AI Inventory'!$A:$A,0)),"ID not in inventory"))</f>
        <v/>
      </c>
      <c r="D124" s="12"/>
      <c r="E124" s="12"/>
      <c r="F124" s="12"/>
      <c r="G124" s="12"/>
      <c r="H124" s="12"/>
      <c r="I124" s="12"/>
      <c r="J124" s="15" t="str">
        <f aca="false">IF(OR(H124="",I124=""),"",VALUE(H124)*VALUE(I124))</f>
        <v/>
      </c>
      <c r="K124" s="15" t="str">
        <f aca="false">IF(J124="","",IF(J124&gt;=15,"High",IF(J124&gt;=8,"Medium","Low")))</f>
        <v/>
      </c>
      <c r="L124" s="12"/>
      <c r="M124" s="12"/>
      <c r="N124" s="12"/>
      <c r="O124" s="12"/>
      <c r="P124" s="15" t="str">
        <f aca="false">IF(OR(N124="",O124=""),"",VALUE(N124)*VALUE(O124))</f>
        <v/>
      </c>
      <c r="Q124" s="15" t="str">
        <f aca="false">IF(P124="","",IF(P124&gt;=15,"High",IF(P124&gt;=8,"Medium","Low")))</f>
        <v/>
      </c>
      <c r="R124" s="12"/>
      <c r="S124" s="12"/>
      <c r="T124" s="12"/>
      <c r="U124" s="13"/>
      <c r="V124" s="12"/>
      <c r="W124" s="12"/>
      <c r="X124" s="15" t="str">
        <f aca="true">IF(OR(U124="",V124="Done"),"",IF(U124&lt;TODAY(),"OVERDUE",""))</f>
        <v/>
      </c>
    </row>
    <row r="125" customFormat="false" ht="15" hidden="false" customHeight="false" outlineLevel="0" collapsed="false">
      <c r="A125" s="12"/>
      <c r="B125" s="12"/>
      <c r="C125" s="15" t="str">
        <f aca="false">IF(B125="","",IFERROR(INDEX('AI Inventory'!$B:$B,MATCH(B125,'AI Inventory'!$A:$A,0)),"ID not in inventory"))</f>
        <v/>
      </c>
      <c r="D125" s="12"/>
      <c r="E125" s="12"/>
      <c r="F125" s="12"/>
      <c r="G125" s="12"/>
      <c r="H125" s="12"/>
      <c r="I125" s="12"/>
      <c r="J125" s="15" t="str">
        <f aca="false">IF(OR(H125="",I125=""),"",VALUE(H125)*VALUE(I125))</f>
        <v/>
      </c>
      <c r="K125" s="15" t="str">
        <f aca="false">IF(J125="","",IF(J125&gt;=15,"High",IF(J125&gt;=8,"Medium","Low")))</f>
        <v/>
      </c>
      <c r="L125" s="12"/>
      <c r="M125" s="12"/>
      <c r="N125" s="12"/>
      <c r="O125" s="12"/>
      <c r="P125" s="15" t="str">
        <f aca="false">IF(OR(N125="",O125=""),"",VALUE(N125)*VALUE(O125))</f>
        <v/>
      </c>
      <c r="Q125" s="15" t="str">
        <f aca="false">IF(P125="","",IF(P125&gt;=15,"High",IF(P125&gt;=8,"Medium","Low")))</f>
        <v/>
      </c>
      <c r="R125" s="12"/>
      <c r="S125" s="12"/>
      <c r="T125" s="12"/>
      <c r="U125" s="13"/>
      <c r="V125" s="12"/>
      <c r="W125" s="12"/>
      <c r="X125" s="15" t="str">
        <f aca="true">IF(OR(U125="",V125="Done"),"",IF(U125&lt;TODAY(),"OVERDUE",""))</f>
        <v/>
      </c>
    </row>
    <row r="126" customFormat="false" ht="15" hidden="false" customHeight="false" outlineLevel="0" collapsed="false">
      <c r="A126" s="12"/>
      <c r="B126" s="12"/>
      <c r="C126" s="15" t="str">
        <f aca="false">IF(B126="","",IFERROR(INDEX('AI Inventory'!$B:$B,MATCH(B126,'AI Inventory'!$A:$A,0)),"ID not in inventory"))</f>
        <v/>
      </c>
      <c r="D126" s="12"/>
      <c r="E126" s="12"/>
      <c r="F126" s="12"/>
      <c r="G126" s="12"/>
      <c r="H126" s="12"/>
      <c r="I126" s="12"/>
      <c r="J126" s="15" t="str">
        <f aca="false">IF(OR(H126="",I126=""),"",VALUE(H126)*VALUE(I126))</f>
        <v/>
      </c>
      <c r="K126" s="15" t="str">
        <f aca="false">IF(J126="","",IF(J126&gt;=15,"High",IF(J126&gt;=8,"Medium","Low")))</f>
        <v/>
      </c>
      <c r="L126" s="12"/>
      <c r="M126" s="12"/>
      <c r="N126" s="12"/>
      <c r="O126" s="12"/>
      <c r="P126" s="15" t="str">
        <f aca="false">IF(OR(N126="",O126=""),"",VALUE(N126)*VALUE(O126))</f>
        <v/>
      </c>
      <c r="Q126" s="15" t="str">
        <f aca="false">IF(P126="","",IF(P126&gt;=15,"High",IF(P126&gt;=8,"Medium","Low")))</f>
        <v/>
      </c>
      <c r="R126" s="12"/>
      <c r="S126" s="12"/>
      <c r="T126" s="12"/>
      <c r="U126" s="13"/>
      <c r="V126" s="12"/>
      <c r="W126" s="12"/>
      <c r="X126" s="15" t="str">
        <f aca="true">IF(OR(U126="",V126="Done"),"",IF(U126&lt;TODAY(),"OVERDUE",""))</f>
        <v/>
      </c>
    </row>
    <row r="127" customFormat="false" ht="15" hidden="false" customHeight="false" outlineLevel="0" collapsed="false">
      <c r="A127" s="12"/>
      <c r="B127" s="12"/>
      <c r="C127" s="15" t="str">
        <f aca="false">IF(B127="","",IFERROR(INDEX('AI Inventory'!$B:$B,MATCH(B127,'AI Inventory'!$A:$A,0)),"ID not in inventory"))</f>
        <v/>
      </c>
      <c r="D127" s="12"/>
      <c r="E127" s="12"/>
      <c r="F127" s="12"/>
      <c r="G127" s="12"/>
      <c r="H127" s="12"/>
      <c r="I127" s="12"/>
      <c r="J127" s="15" t="str">
        <f aca="false">IF(OR(H127="",I127=""),"",VALUE(H127)*VALUE(I127))</f>
        <v/>
      </c>
      <c r="K127" s="15" t="str">
        <f aca="false">IF(J127="","",IF(J127&gt;=15,"High",IF(J127&gt;=8,"Medium","Low")))</f>
        <v/>
      </c>
      <c r="L127" s="12"/>
      <c r="M127" s="12"/>
      <c r="N127" s="12"/>
      <c r="O127" s="12"/>
      <c r="P127" s="15" t="str">
        <f aca="false">IF(OR(N127="",O127=""),"",VALUE(N127)*VALUE(O127))</f>
        <v/>
      </c>
      <c r="Q127" s="15" t="str">
        <f aca="false">IF(P127="","",IF(P127&gt;=15,"High",IF(P127&gt;=8,"Medium","Low")))</f>
        <v/>
      </c>
      <c r="R127" s="12"/>
      <c r="S127" s="12"/>
      <c r="T127" s="12"/>
      <c r="U127" s="13"/>
      <c r="V127" s="12"/>
      <c r="W127" s="12"/>
      <c r="X127" s="15" t="str">
        <f aca="true">IF(OR(U127="",V127="Done"),"",IF(U127&lt;TODAY(),"OVERDUE",""))</f>
        <v/>
      </c>
    </row>
    <row r="128" customFormat="false" ht="15" hidden="false" customHeight="false" outlineLevel="0" collapsed="false">
      <c r="A128" s="12"/>
      <c r="B128" s="12"/>
      <c r="C128" s="15" t="str">
        <f aca="false">IF(B128="","",IFERROR(INDEX('AI Inventory'!$B:$B,MATCH(B128,'AI Inventory'!$A:$A,0)),"ID not in inventory"))</f>
        <v/>
      </c>
      <c r="D128" s="12"/>
      <c r="E128" s="12"/>
      <c r="F128" s="12"/>
      <c r="G128" s="12"/>
      <c r="H128" s="12"/>
      <c r="I128" s="12"/>
      <c r="J128" s="15" t="str">
        <f aca="false">IF(OR(H128="",I128=""),"",VALUE(H128)*VALUE(I128))</f>
        <v/>
      </c>
      <c r="K128" s="15" t="str">
        <f aca="false">IF(J128="","",IF(J128&gt;=15,"High",IF(J128&gt;=8,"Medium","Low")))</f>
        <v/>
      </c>
      <c r="L128" s="12"/>
      <c r="M128" s="12"/>
      <c r="N128" s="12"/>
      <c r="O128" s="12"/>
      <c r="P128" s="15" t="str">
        <f aca="false">IF(OR(N128="",O128=""),"",VALUE(N128)*VALUE(O128))</f>
        <v/>
      </c>
      <c r="Q128" s="15" t="str">
        <f aca="false">IF(P128="","",IF(P128&gt;=15,"High",IF(P128&gt;=8,"Medium","Low")))</f>
        <v/>
      </c>
      <c r="R128" s="12"/>
      <c r="S128" s="12"/>
      <c r="T128" s="12"/>
      <c r="U128" s="13"/>
      <c r="V128" s="12"/>
      <c r="W128" s="12"/>
      <c r="X128" s="15" t="str">
        <f aca="true">IF(OR(U128="",V128="Done"),"",IF(U128&lt;TODAY(),"OVERDUE",""))</f>
        <v/>
      </c>
    </row>
    <row r="129" customFormat="false" ht="15" hidden="false" customHeight="false" outlineLevel="0" collapsed="false">
      <c r="A129" s="12"/>
      <c r="B129" s="12"/>
      <c r="C129" s="15" t="str">
        <f aca="false">IF(B129="","",IFERROR(INDEX('AI Inventory'!$B:$B,MATCH(B129,'AI Inventory'!$A:$A,0)),"ID not in inventory"))</f>
        <v/>
      </c>
      <c r="D129" s="12"/>
      <c r="E129" s="12"/>
      <c r="F129" s="12"/>
      <c r="G129" s="12"/>
      <c r="H129" s="12"/>
      <c r="I129" s="12"/>
      <c r="J129" s="15" t="str">
        <f aca="false">IF(OR(H129="",I129=""),"",VALUE(H129)*VALUE(I129))</f>
        <v/>
      </c>
      <c r="K129" s="15" t="str">
        <f aca="false">IF(J129="","",IF(J129&gt;=15,"High",IF(J129&gt;=8,"Medium","Low")))</f>
        <v/>
      </c>
      <c r="L129" s="12"/>
      <c r="M129" s="12"/>
      <c r="N129" s="12"/>
      <c r="O129" s="12"/>
      <c r="P129" s="15" t="str">
        <f aca="false">IF(OR(N129="",O129=""),"",VALUE(N129)*VALUE(O129))</f>
        <v/>
      </c>
      <c r="Q129" s="15" t="str">
        <f aca="false">IF(P129="","",IF(P129&gt;=15,"High",IF(P129&gt;=8,"Medium","Low")))</f>
        <v/>
      </c>
      <c r="R129" s="12"/>
      <c r="S129" s="12"/>
      <c r="T129" s="12"/>
      <c r="U129" s="13"/>
      <c r="V129" s="12"/>
      <c r="W129" s="12"/>
      <c r="X129" s="15" t="str">
        <f aca="true">IF(OR(U129="",V129="Done"),"",IF(U129&lt;TODAY(),"OVERDUE",""))</f>
        <v/>
      </c>
    </row>
    <row r="130" customFormat="false" ht="15" hidden="false" customHeight="false" outlineLevel="0" collapsed="false">
      <c r="A130" s="12"/>
      <c r="B130" s="12"/>
      <c r="C130" s="15" t="str">
        <f aca="false">IF(B130="","",IFERROR(INDEX('AI Inventory'!$B:$B,MATCH(B130,'AI Inventory'!$A:$A,0)),"ID not in inventory"))</f>
        <v/>
      </c>
      <c r="D130" s="12"/>
      <c r="E130" s="12"/>
      <c r="F130" s="12"/>
      <c r="G130" s="12"/>
      <c r="H130" s="12"/>
      <c r="I130" s="12"/>
      <c r="J130" s="15" t="str">
        <f aca="false">IF(OR(H130="",I130=""),"",VALUE(H130)*VALUE(I130))</f>
        <v/>
      </c>
      <c r="K130" s="15" t="str">
        <f aca="false">IF(J130="","",IF(J130&gt;=15,"High",IF(J130&gt;=8,"Medium","Low")))</f>
        <v/>
      </c>
      <c r="L130" s="12"/>
      <c r="M130" s="12"/>
      <c r="N130" s="12"/>
      <c r="O130" s="12"/>
      <c r="P130" s="15" t="str">
        <f aca="false">IF(OR(N130="",O130=""),"",VALUE(N130)*VALUE(O130))</f>
        <v/>
      </c>
      <c r="Q130" s="15" t="str">
        <f aca="false">IF(P130="","",IF(P130&gt;=15,"High",IF(P130&gt;=8,"Medium","Low")))</f>
        <v/>
      </c>
      <c r="R130" s="12"/>
      <c r="S130" s="12"/>
      <c r="T130" s="12"/>
      <c r="U130" s="13"/>
      <c r="V130" s="12"/>
      <c r="W130" s="12"/>
      <c r="X130" s="15" t="str">
        <f aca="true">IF(OR(U130="",V130="Done"),"",IF(U130&lt;TODAY(),"OVERDUE",""))</f>
        <v/>
      </c>
    </row>
    <row r="131" customFormat="false" ht="15" hidden="false" customHeight="false" outlineLevel="0" collapsed="false">
      <c r="A131" s="12"/>
      <c r="B131" s="12"/>
      <c r="C131" s="15" t="str">
        <f aca="false">IF(B131="","",IFERROR(INDEX('AI Inventory'!$B:$B,MATCH(B131,'AI Inventory'!$A:$A,0)),"ID not in inventory"))</f>
        <v/>
      </c>
      <c r="D131" s="12"/>
      <c r="E131" s="12"/>
      <c r="F131" s="12"/>
      <c r="G131" s="12"/>
      <c r="H131" s="12"/>
      <c r="I131" s="12"/>
      <c r="J131" s="15" t="str">
        <f aca="false">IF(OR(H131="",I131=""),"",VALUE(H131)*VALUE(I131))</f>
        <v/>
      </c>
      <c r="K131" s="15" t="str">
        <f aca="false">IF(J131="","",IF(J131&gt;=15,"High",IF(J131&gt;=8,"Medium","Low")))</f>
        <v/>
      </c>
      <c r="L131" s="12"/>
      <c r="M131" s="12"/>
      <c r="N131" s="12"/>
      <c r="O131" s="12"/>
      <c r="P131" s="15" t="str">
        <f aca="false">IF(OR(N131="",O131=""),"",VALUE(N131)*VALUE(O131))</f>
        <v/>
      </c>
      <c r="Q131" s="15" t="str">
        <f aca="false">IF(P131="","",IF(P131&gt;=15,"High",IF(P131&gt;=8,"Medium","Low")))</f>
        <v/>
      </c>
      <c r="R131" s="12"/>
      <c r="S131" s="12"/>
      <c r="T131" s="12"/>
      <c r="U131" s="13"/>
      <c r="V131" s="12"/>
      <c r="W131" s="12"/>
      <c r="X131" s="15" t="str">
        <f aca="true">IF(OR(U131="",V131="Done"),"",IF(U131&lt;TODAY(),"OVERDUE",""))</f>
        <v/>
      </c>
    </row>
    <row r="132" customFormat="false" ht="15" hidden="false" customHeight="false" outlineLevel="0" collapsed="false">
      <c r="A132" s="12"/>
      <c r="B132" s="12"/>
      <c r="C132" s="15" t="str">
        <f aca="false">IF(B132="","",IFERROR(INDEX('AI Inventory'!$B:$B,MATCH(B132,'AI Inventory'!$A:$A,0)),"ID not in inventory"))</f>
        <v/>
      </c>
      <c r="D132" s="12"/>
      <c r="E132" s="12"/>
      <c r="F132" s="12"/>
      <c r="G132" s="12"/>
      <c r="H132" s="12"/>
      <c r="I132" s="12"/>
      <c r="J132" s="15" t="str">
        <f aca="false">IF(OR(H132="",I132=""),"",VALUE(H132)*VALUE(I132))</f>
        <v/>
      </c>
      <c r="K132" s="15" t="str">
        <f aca="false">IF(J132="","",IF(J132&gt;=15,"High",IF(J132&gt;=8,"Medium","Low")))</f>
        <v/>
      </c>
      <c r="L132" s="12"/>
      <c r="M132" s="12"/>
      <c r="N132" s="12"/>
      <c r="O132" s="12"/>
      <c r="P132" s="15" t="str">
        <f aca="false">IF(OR(N132="",O132=""),"",VALUE(N132)*VALUE(O132))</f>
        <v/>
      </c>
      <c r="Q132" s="15" t="str">
        <f aca="false">IF(P132="","",IF(P132&gt;=15,"High",IF(P132&gt;=8,"Medium","Low")))</f>
        <v/>
      </c>
      <c r="R132" s="12"/>
      <c r="S132" s="12"/>
      <c r="T132" s="12"/>
      <c r="U132" s="13"/>
      <c r="V132" s="12"/>
      <c r="W132" s="12"/>
      <c r="X132" s="15" t="str">
        <f aca="true">IF(OR(U132="",V132="Done"),"",IF(U132&lt;TODAY(),"OVERDUE",""))</f>
        <v/>
      </c>
    </row>
    <row r="133" customFormat="false" ht="15" hidden="false" customHeight="false" outlineLevel="0" collapsed="false">
      <c r="A133" s="12"/>
      <c r="B133" s="12"/>
      <c r="C133" s="15" t="str">
        <f aca="false">IF(B133="","",IFERROR(INDEX('AI Inventory'!$B:$B,MATCH(B133,'AI Inventory'!$A:$A,0)),"ID not in inventory"))</f>
        <v/>
      </c>
      <c r="D133" s="12"/>
      <c r="E133" s="12"/>
      <c r="F133" s="12"/>
      <c r="G133" s="12"/>
      <c r="H133" s="12"/>
      <c r="I133" s="12"/>
      <c r="J133" s="15" t="str">
        <f aca="false">IF(OR(H133="",I133=""),"",VALUE(H133)*VALUE(I133))</f>
        <v/>
      </c>
      <c r="K133" s="15" t="str">
        <f aca="false">IF(J133="","",IF(J133&gt;=15,"High",IF(J133&gt;=8,"Medium","Low")))</f>
        <v/>
      </c>
      <c r="L133" s="12"/>
      <c r="M133" s="12"/>
      <c r="N133" s="12"/>
      <c r="O133" s="12"/>
      <c r="P133" s="15" t="str">
        <f aca="false">IF(OR(N133="",O133=""),"",VALUE(N133)*VALUE(O133))</f>
        <v/>
      </c>
      <c r="Q133" s="15" t="str">
        <f aca="false">IF(P133="","",IF(P133&gt;=15,"High",IF(P133&gt;=8,"Medium","Low")))</f>
        <v/>
      </c>
      <c r="R133" s="12"/>
      <c r="S133" s="12"/>
      <c r="T133" s="12"/>
      <c r="U133" s="13"/>
      <c r="V133" s="12"/>
      <c r="W133" s="12"/>
      <c r="X133" s="15" t="str">
        <f aca="true">IF(OR(U133="",V133="Done"),"",IF(U133&lt;TODAY(),"OVERDUE",""))</f>
        <v/>
      </c>
    </row>
    <row r="134" customFormat="false" ht="15" hidden="false" customHeight="false" outlineLevel="0" collapsed="false">
      <c r="A134" s="12"/>
      <c r="B134" s="12"/>
      <c r="C134" s="15" t="str">
        <f aca="false">IF(B134="","",IFERROR(INDEX('AI Inventory'!$B:$B,MATCH(B134,'AI Inventory'!$A:$A,0)),"ID not in inventory"))</f>
        <v/>
      </c>
      <c r="D134" s="12"/>
      <c r="E134" s="12"/>
      <c r="F134" s="12"/>
      <c r="G134" s="12"/>
      <c r="H134" s="12"/>
      <c r="I134" s="12"/>
      <c r="J134" s="15" t="str">
        <f aca="false">IF(OR(H134="",I134=""),"",VALUE(H134)*VALUE(I134))</f>
        <v/>
      </c>
      <c r="K134" s="15" t="str">
        <f aca="false">IF(J134="","",IF(J134&gt;=15,"High",IF(J134&gt;=8,"Medium","Low")))</f>
        <v/>
      </c>
      <c r="L134" s="12"/>
      <c r="M134" s="12"/>
      <c r="N134" s="12"/>
      <c r="O134" s="12"/>
      <c r="P134" s="15" t="str">
        <f aca="false">IF(OR(N134="",O134=""),"",VALUE(N134)*VALUE(O134))</f>
        <v/>
      </c>
      <c r="Q134" s="15" t="str">
        <f aca="false">IF(P134="","",IF(P134&gt;=15,"High",IF(P134&gt;=8,"Medium","Low")))</f>
        <v/>
      </c>
      <c r="R134" s="12"/>
      <c r="S134" s="12"/>
      <c r="T134" s="12"/>
      <c r="U134" s="13"/>
      <c r="V134" s="12"/>
      <c r="W134" s="12"/>
      <c r="X134" s="15" t="str">
        <f aca="true">IF(OR(U134="",V134="Done"),"",IF(U134&lt;TODAY(),"OVERDUE",""))</f>
        <v/>
      </c>
    </row>
    <row r="135" customFormat="false" ht="15" hidden="false" customHeight="false" outlineLevel="0" collapsed="false">
      <c r="A135" s="12"/>
      <c r="B135" s="12"/>
      <c r="C135" s="15" t="str">
        <f aca="false">IF(B135="","",IFERROR(INDEX('AI Inventory'!$B:$B,MATCH(B135,'AI Inventory'!$A:$A,0)),"ID not in inventory"))</f>
        <v/>
      </c>
      <c r="D135" s="12"/>
      <c r="E135" s="12"/>
      <c r="F135" s="12"/>
      <c r="G135" s="12"/>
      <c r="H135" s="12"/>
      <c r="I135" s="12"/>
      <c r="J135" s="15" t="str">
        <f aca="false">IF(OR(H135="",I135=""),"",VALUE(H135)*VALUE(I135))</f>
        <v/>
      </c>
      <c r="K135" s="15" t="str">
        <f aca="false">IF(J135="","",IF(J135&gt;=15,"High",IF(J135&gt;=8,"Medium","Low")))</f>
        <v/>
      </c>
      <c r="L135" s="12"/>
      <c r="M135" s="12"/>
      <c r="N135" s="12"/>
      <c r="O135" s="12"/>
      <c r="P135" s="15" t="str">
        <f aca="false">IF(OR(N135="",O135=""),"",VALUE(N135)*VALUE(O135))</f>
        <v/>
      </c>
      <c r="Q135" s="15" t="str">
        <f aca="false">IF(P135="","",IF(P135&gt;=15,"High",IF(P135&gt;=8,"Medium","Low")))</f>
        <v/>
      </c>
      <c r="R135" s="12"/>
      <c r="S135" s="12"/>
      <c r="T135" s="12"/>
      <c r="U135" s="13"/>
      <c r="V135" s="12"/>
      <c r="W135" s="12"/>
      <c r="X135" s="15" t="str">
        <f aca="true">IF(OR(U135="",V135="Done"),"",IF(U135&lt;TODAY(),"OVERDUE",""))</f>
        <v/>
      </c>
    </row>
    <row r="136" customFormat="false" ht="15" hidden="false" customHeight="false" outlineLevel="0" collapsed="false">
      <c r="A136" s="12"/>
      <c r="B136" s="12"/>
      <c r="C136" s="15" t="str">
        <f aca="false">IF(B136="","",IFERROR(INDEX('AI Inventory'!$B:$B,MATCH(B136,'AI Inventory'!$A:$A,0)),"ID not in inventory"))</f>
        <v/>
      </c>
      <c r="D136" s="12"/>
      <c r="E136" s="12"/>
      <c r="F136" s="12"/>
      <c r="G136" s="12"/>
      <c r="H136" s="12"/>
      <c r="I136" s="12"/>
      <c r="J136" s="15" t="str">
        <f aca="false">IF(OR(H136="",I136=""),"",VALUE(H136)*VALUE(I136))</f>
        <v/>
      </c>
      <c r="K136" s="15" t="str">
        <f aca="false">IF(J136="","",IF(J136&gt;=15,"High",IF(J136&gt;=8,"Medium","Low")))</f>
        <v/>
      </c>
      <c r="L136" s="12"/>
      <c r="M136" s="12"/>
      <c r="N136" s="12"/>
      <c r="O136" s="12"/>
      <c r="P136" s="15" t="str">
        <f aca="false">IF(OR(N136="",O136=""),"",VALUE(N136)*VALUE(O136))</f>
        <v/>
      </c>
      <c r="Q136" s="15" t="str">
        <f aca="false">IF(P136="","",IF(P136&gt;=15,"High",IF(P136&gt;=8,"Medium","Low")))</f>
        <v/>
      </c>
      <c r="R136" s="12"/>
      <c r="S136" s="12"/>
      <c r="T136" s="12"/>
      <c r="U136" s="13"/>
      <c r="V136" s="12"/>
      <c r="W136" s="12"/>
      <c r="X136" s="15" t="str">
        <f aca="true">IF(OR(U136="",V136="Done"),"",IF(U136&lt;TODAY(),"OVERDUE",""))</f>
        <v/>
      </c>
    </row>
    <row r="137" customFormat="false" ht="15" hidden="false" customHeight="false" outlineLevel="0" collapsed="false">
      <c r="A137" s="12"/>
      <c r="B137" s="12"/>
      <c r="C137" s="15" t="str">
        <f aca="false">IF(B137="","",IFERROR(INDEX('AI Inventory'!$B:$B,MATCH(B137,'AI Inventory'!$A:$A,0)),"ID not in inventory"))</f>
        <v/>
      </c>
      <c r="D137" s="12"/>
      <c r="E137" s="12"/>
      <c r="F137" s="12"/>
      <c r="G137" s="12"/>
      <c r="H137" s="12"/>
      <c r="I137" s="12"/>
      <c r="J137" s="15" t="str">
        <f aca="false">IF(OR(H137="",I137=""),"",VALUE(H137)*VALUE(I137))</f>
        <v/>
      </c>
      <c r="K137" s="15" t="str">
        <f aca="false">IF(J137="","",IF(J137&gt;=15,"High",IF(J137&gt;=8,"Medium","Low")))</f>
        <v/>
      </c>
      <c r="L137" s="12"/>
      <c r="M137" s="12"/>
      <c r="N137" s="12"/>
      <c r="O137" s="12"/>
      <c r="P137" s="15" t="str">
        <f aca="false">IF(OR(N137="",O137=""),"",VALUE(N137)*VALUE(O137))</f>
        <v/>
      </c>
      <c r="Q137" s="15" t="str">
        <f aca="false">IF(P137="","",IF(P137&gt;=15,"High",IF(P137&gt;=8,"Medium","Low")))</f>
        <v/>
      </c>
      <c r="R137" s="12"/>
      <c r="S137" s="12"/>
      <c r="T137" s="12"/>
      <c r="U137" s="13"/>
      <c r="V137" s="12"/>
      <c r="W137" s="12"/>
      <c r="X137" s="15" t="str">
        <f aca="true">IF(OR(U137="",V137="Done"),"",IF(U137&lt;TODAY(),"OVERDUE",""))</f>
        <v/>
      </c>
    </row>
    <row r="138" customFormat="false" ht="15" hidden="false" customHeight="false" outlineLevel="0" collapsed="false">
      <c r="A138" s="12"/>
      <c r="B138" s="12"/>
      <c r="C138" s="15" t="str">
        <f aca="false">IF(B138="","",IFERROR(INDEX('AI Inventory'!$B:$B,MATCH(B138,'AI Inventory'!$A:$A,0)),"ID not in inventory"))</f>
        <v/>
      </c>
      <c r="D138" s="12"/>
      <c r="E138" s="12"/>
      <c r="F138" s="12"/>
      <c r="G138" s="12"/>
      <c r="H138" s="12"/>
      <c r="I138" s="12"/>
      <c r="J138" s="15" t="str">
        <f aca="false">IF(OR(H138="",I138=""),"",VALUE(H138)*VALUE(I138))</f>
        <v/>
      </c>
      <c r="K138" s="15" t="str">
        <f aca="false">IF(J138="","",IF(J138&gt;=15,"High",IF(J138&gt;=8,"Medium","Low")))</f>
        <v/>
      </c>
      <c r="L138" s="12"/>
      <c r="M138" s="12"/>
      <c r="N138" s="12"/>
      <c r="O138" s="12"/>
      <c r="P138" s="15" t="str">
        <f aca="false">IF(OR(N138="",O138=""),"",VALUE(N138)*VALUE(O138))</f>
        <v/>
      </c>
      <c r="Q138" s="15" t="str">
        <f aca="false">IF(P138="","",IF(P138&gt;=15,"High",IF(P138&gt;=8,"Medium","Low")))</f>
        <v/>
      </c>
      <c r="R138" s="12"/>
      <c r="S138" s="12"/>
      <c r="T138" s="12"/>
      <c r="U138" s="13"/>
      <c r="V138" s="12"/>
      <c r="W138" s="12"/>
      <c r="X138" s="15" t="str">
        <f aca="true">IF(OR(U138="",V138="Done"),"",IF(U138&lt;TODAY(),"OVERDUE",""))</f>
        <v/>
      </c>
    </row>
    <row r="139" customFormat="false" ht="15" hidden="false" customHeight="false" outlineLevel="0" collapsed="false">
      <c r="A139" s="12"/>
      <c r="B139" s="12"/>
      <c r="C139" s="15" t="str">
        <f aca="false">IF(B139="","",IFERROR(INDEX('AI Inventory'!$B:$B,MATCH(B139,'AI Inventory'!$A:$A,0)),"ID not in inventory"))</f>
        <v/>
      </c>
      <c r="D139" s="12"/>
      <c r="E139" s="12"/>
      <c r="F139" s="12"/>
      <c r="G139" s="12"/>
      <c r="H139" s="12"/>
      <c r="I139" s="12"/>
      <c r="J139" s="15" t="str">
        <f aca="false">IF(OR(H139="",I139=""),"",VALUE(H139)*VALUE(I139))</f>
        <v/>
      </c>
      <c r="K139" s="15" t="str">
        <f aca="false">IF(J139="","",IF(J139&gt;=15,"High",IF(J139&gt;=8,"Medium","Low")))</f>
        <v/>
      </c>
      <c r="L139" s="12"/>
      <c r="M139" s="12"/>
      <c r="N139" s="12"/>
      <c r="O139" s="12"/>
      <c r="P139" s="15" t="str">
        <f aca="false">IF(OR(N139="",O139=""),"",VALUE(N139)*VALUE(O139))</f>
        <v/>
      </c>
      <c r="Q139" s="15" t="str">
        <f aca="false">IF(P139="","",IF(P139&gt;=15,"High",IF(P139&gt;=8,"Medium","Low")))</f>
        <v/>
      </c>
      <c r="R139" s="12"/>
      <c r="S139" s="12"/>
      <c r="T139" s="12"/>
      <c r="U139" s="13"/>
      <c r="V139" s="12"/>
      <c r="W139" s="12"/>
      <c r="X139" s="15" t="str">
        <f aca="true">IF(OR(U139="",V139="Done"),"",IF(U139&lt;TODAY(),"OVERDUE",""))</f>
        <v/>
      </c>
    </row>
    <row r="140" customFormat="false" ht="15" hidden="false" customHeight="false" outlineLevel="0" collapsed="false">
      <c r="A140" s="12"/>
      <c r="B140" s="12"/>
      <c r="C140" s="15" t="str">
        <f aca="false">IF(B140="","",IFERROR(INDEX('AI Inventory'!$B:$B,MATCH(B140,'AI Inventory'!$A:$A,0)),"ID not in inventory"))</f>
        <v/>
      </c>
      <c r="D140" s="12"/>
      <c r="E140" s="12"/>
      <c r="F140" s="12"/>
      <c r="G140" s="12"/>
      <c r="H140" s="12"/>
      <c r="I140" s="12"/>
      <c r="J140" s="15" t="str">
        <f aca="false">IF(OR(H140="",I140=""),"",VALUE(H140)*VALUE(I140))</f>
        <v/>
      </c>
      <c r="K140" s="15" t="str">
        <f aca="false">IF(J140="","",IF(J140&gt;=15,"High",IF(J140&gt;=8,"Medium","Low")))</f>
        <v/>
      </c>
      <c r="L140" s="12"/>
      <c r="M140" s="12"/>
      <c r="N140" s="12"/>
      <c r="O140" s="12"/>
      <c r="P140" s="15" t="str">
        <f aca="false">IF(OR(N140="",O140=""),"",VALUE(N140)*VALUE(O140))</f>
        <v/>
      </c>
      <c r="Q140" s="15" t="str">
        <f aca="false">IF(P140="","",IF(P140&gt;=15,"High",IF(P140&gt;=8,"Medium","Low")))</f>
        <v/>
      </c>
      <c r="R140" s="12"/>
      <c r="S140" s="12"/>
      <c r="T140" s="12"/>
      <c r="U140" s="13"/>
      <c r="V140" s="12"/>
      <c r="W140" s="12"/>
      <c r="X140" s="15" t="str">
        <f aca="true">IF(OR(U140="",V140="Done"),"",IF(U140&lt;TODAY(),"OVERDUE",""))</f>
        <v/>
      </c>
    </row>
    <row r="141" customFormat="false" ht="15" hidden="false" customHeight="false" outlineLevel="0" collapsed="false">
      <c r="A141" s="12"/>
      <c r="B141" s="12"/>
      <c r="C141" s="15" t="str">
        <f aca="false">IF(B141="","",IFERROR(INDEX('AI Inventory'!$B:$B,MATCH(B141,'AI Inventory'!$A:$A,0)),"ID not in inventory"))</f>
        <v/>
      </c>
      <c r="D141" s="12"/>
      <c r="E141" s="12"/>
      <c r="F141" s="12"/>
      <c r="G141" s="12"/>
      <c r="H141" s="12"/>
      <c r="I141" s="12"/>
      <c r="J141" s="15" t="str">
        <f aca="false">IF(OR(H141="",I141=""),"",VALUE(H141)*VALUE(I141))</f>
        <v/>
      </c>
      <c r="K141" s="15" t="str">
        <f aca="false">IF(J141="","",IF(J141&gt;=15,"High",IF(J141&gt;=8,"Medium","Low")))</f>
        <v/>
      </c>
      <c r="L141" s="12"/>
      <c r="M141" s="12"/>
      <c r="N141" s="12"/>
      <c r="O141" s="12"/>
      <c r="P141" s="15" t="str">
        <f aca="false">IF(OR(N141="",O141=""),"",VALUE(N141)*VALUE(O141))</f>
        <v/>
      </c>
      <c r="Q141" s="15" t="str">
        <f aca="false">IF(P141="","",IF(P141&gt;=15,"High",IF(P141&gt;=8,"Medium","Low")))</f>
        <v/>
      </c>
      <c r="R141" s="12"/>
      <c r="S141" s="12"/>
      <c r="T141" s="12"/>
      <c r="U141" s="13"/>
      <c r="V141" s="12"/>
      <c r="W141" s="12"/>
      <c r="X141" s="15" t="str">
        <f aca="true">IF(OR(U141="",V141="Done"),"",IF(U141&lt;TODAY(),"OVERDUE",""))</f>
        <v/>
      </c>
    </row>
    <row r="142" customFormat="false" ht="15" hidden="false" customHeight="false" outlineLevel="0" collapsed="false">
      <c r="A142" s="12"/>
      <c r="B142" s="12"/>
      <c r="C142" s="15" t="str">
        <f aca="false">IF(B142="","",IFERROR(INDEX('AI Inventory'!$B:$B,MATCH(B142,'AI Inventory'!$A:$A,0)),"ID not in inventory"))</f>
        <v/>
      </c>
      <c r="D142" s="12"/>
      <c r="E142" s="12"/>
      <c r="F142" s="12"/>
      <c r="G142" s="12"/>
      <c r="H142" s="12"/>
      <c r="I142" s="12"/>
      <c r="J142" s="15" t="str">
        <f aca="false">IF(OR(H142="",I142=""),"",VALUE(H142)*VALUE(I142))</f>
        <v/>
      </c>
      <c r="K142" s="15" t="str">
        <f aca="false">IF(J142="","",IF(J142&gt;=15,"High",IF(J142&gt;=8,"Medium","Low")))</f>
        <v/>
      </c>
      <c r="L142" s="12"/>
      <c r="M142" s="12"/>
      <c r="N142" s="12"/>
      <c r="O142" s="12"/>
      <c r="P142" s="15" t="str">
        <f aca="false">IF(OR(N142="",O142=""),"",VALUE(N142)*VALUE(O142))</f>
        <v/>
      </c>
      <c r="Q142" s="15" t="str">
        <f aca="false">IF(P142="","",IF(P142&gt;=15,"High",IF(P142&gt;=8,"Medium","Low")))</f>
        <v/>
      </c>
      <c r="R142" s="12"/>
      <c r="S142" s="12"/>
      <c r="T142" s="12"/>
      <c r="U142" s="13"/>
      <c r="V142" s="12"/>
      <c r="W142" s="12"/>
      <c r="X142" s="15" t="str">
        <f aca="true">IF(OR(U142="",V142="Done"),"",IF(U142&lt;TODAY(),"OVERDUE",""))</f>
        <v/>
      </c>
    </row>
    <row r="143" customFormat="false" ht="15" hidden="false" customHeight="false" outlineLevel="0" collapsed="false">
      <c r="A143" s="12"/>
      <c r="B143" s="12"/>
      <c r="C143" s="15" t="str">
        <f aca="false">IF(B143="","",IFERROR(INDEX('AI Inventory'!$B:$B,MATCH(B143,'AI Inventory'!$A:$A,0)),"ID not in inventory"))</f>
        <v/>
      </c>
      <c r="D143" s="12"/>
      <c r="E143" s="12"/>
      <c r="F143" s="12"/>
      <c r="G143" s="12"/>
      <c r="H143" s="12"/>
      <c r="I143" s="12"/>
      <c r="J143" s="15" t="str">
        <f aca="false">IF(OR(H143="",I143=""),"",VALUE(H143)*VALUE(I143))</f>
        <v/>
      </c>
      <c r="K143" s="15" t="str">
        <f aca="false">IF(J143="","",IF(J143&gt;=15,"High",IF(J143&gt;=8,"Medium","Low")))</f>
        <v/>
      </c>
      <c r="L143" s="12"/>
      <c r="M143" s="12"/>
      <c r="N143" s="12"/>
      <c r="O143" s="12"/>
      <c r="P143" s="15" t="str">
        <f aca="false">IF(OR(N143="",O143=""),"",VALUE(N143)*VALUE(O143))</f>
        <v/>
      </c>
      <c r="Q143" s="15" t="str">
        <f aca="false">IF(P143="","",IF(P143&gt;=15,"High",IF(P143&gt;=8,"Medium","Low")))</f>
        <v/>
      </c>
      <c r="R143" s="12"/>
      <c r="S143" s="12"/>
      <c r="T143" s="12"/>
      <c r="U143" s="13"/>
      <c r="V143" s="12"/>
      <c r="W143" s="12"/>
      <c r="X143" s="15" t="str">
        <f aca="true">IF(OR(U143="",V143="Done"),"",IF(U143&lt;TODAY(),"OVERDUE",""))</f>
        <v/>
      </c>
    </row>
    <row r="144" customFormat="false" ht="15" hidden="false" customHeight="false" outlineLevel="0" collapsed="false">
      <c r="A144" s="12"/>
      <c r="B144" s="12"/>
      <c r="C144" s="15" t="str">
        <f aca="false">IF(B144="","",IFERROR(INDEX('AI Inventory'!$B:$B,MATCH(B144,'AI Inventory'!$A:$A,0)),"ID not in inventory"))</f>
        <v/>
      </c>
      <c r="D144" s="12"/>
      <c r="E144" s="12"/>
      <c r="F144" s="12"/>
      <c r="G144" s="12"/>
      <c r="H144" s="12"/>
      <c r="I144" s="12"/>
      <c r="J144" s="15" t="str">
        <f aca="false">IF(OR(H144="",I144=""),"",VALUE(H144)*VALUE(I144))</f>
        <v/>
      </c>
      <c r="K144" s="15" t="str">
        <f aca="false">IF(J144="","",IF(J144&gt;=15,"High",IF(J144&gt;=8,"Medium","Low")))</f>
        <v/>
      </c>
      <c r="L144" s="12"/>
      <c r="M144" s="12"/>
      <c r="N144" s="12"/>
      <c r="O144" s="12"/>
      <c r="P144" s="15" t="str">
        <f aca="false">IF(OR(N144="",O144=""),"",VALUE(N144)*VALUE(O144))</f>
        <v/>
      </c>
      <c r="Q144" s="15" t="str">
        <f aca="false">IF(P144="","",IF(P144&gt;=15,"High",IF(P144&gt;=8,"Medium","Low")))</f>
        <v/>
      </c>
      <c r="R144" s="12"/>
      <c r="S144" s="12"/>
      <c r="T144" s="12"/>
      <c r="U144" s="13"/>
      <c r="V144" s="12"/>
      <c r="W144" s="12"/>
      <c r="X144" s="15" t="str">
        <f aca="true">IF(OR(U144="",V144="Done"),"",IF(U144&lt;TODAY(),"OVERDUE",""))</f>
        <v/>
      </c>
    </row>
    <row r="145" customFormat="false" ht="15" hidden="false" customHeight="false" outlineLevel="0" collapsed="false">
      <c r="A145" s="12"/>
      <c r="B145" s="12"/>
      <c r="C145" s="15" t="str">
        <f aca="false">IF(B145="","",IFERROR(INDEX('AI Inventory'!$B:$B,MATCH(B145,'AI Inventory'!$A:$A,0)),"ID not in inventory"))</f>
        <v/>
      </c>
      <c r="D145" s="12"/>
      <c r="E145" s="12"/>
      <c r="F145" s="12"/>
      <c r="G145" s="12"/>
      <c r="H145" s="12"/>
      <c r="I145" s="12"/>
      <c r="J145" s="15" t="str">
        <f aca="false">IF(OR(H145="",I145=""),"",VALUE(H145)*VALUE(I145))</f>
        <v/>
      </c>
      <c r="K145" s="15" t="str">
        <f aca="false">IF(J145="","",IF(J145&gt;=15,"High",IF(J145&gt;=8,"Medium","Low")))</f>
        <v/>
      </c>
      <c r="L145" s="12"/>
      <c r="M145" s="12"/>
      <c r="N145" s="12"/>
      <c r="O145" s="12"/>
      <c r="P145" s="15" t="str">
        <f aca="false">IF(OR(N145="",O145=""),"",VALUE(N145)*VALUE(O145))</f>
        <v/>
      </c>
      <c r="Q145" s="15" t="str">
        <f aca="false">IF(P145="","",IF(P145&gt;=15,"High",IF(P145&gt;=8,"Medium","Low")))</f>
        <v/>
      </c>
      <c r="R145" s="12"/>
      <c r="S145" s="12"/>
      <c r="T145" s="12"/>
      <c r="U145" s="13"/>
      <c r="V145" s="12"/>
      <c r="W145" s="12"/>
      <c r="X145" s="15" t="str">
        <f aca="true">IF(OR(U145="",V145="Done"),"",IF(U145&lt;TODAY(),"OVERDUE",""))</f>
        <v/>
      </c>
    </row>
    <row r="146" customFormat="false" ht="15" hidden="false" customHeight="false" outlineLevel="0" collapsed="false">
      <c r="A146" s="12"/>
      <c r="B146" s="12"/>
      <c r="C146" s="15" t="str">
        <f aca="false">IF(B146="","",IFERROR(INDEX('AI Inventory'!$B:$B,MATCH(B146,'AI Inventory'!$A:$A,0)),"ID not in inventory"))</f>
        <v/>
      </c>
      <c r="D146" s="12"/>
      <c r="E146" s="12"/>
      <c r="F146" s="12"/>
      <c r="G146" s="12"/>
      <c r="H146" s="12"/>
      <c r="I146" s="12"/>
      <c r="J146" s="15" t="str">
        <f aca="false">IF(OR(H146="",I146=""),"",VALUE(H146)*VALUE(I146))</f>
        <v/>
      </c>
      <c r="K146" s="15" t="str">
        <f aca="false">IF(J146="","",IF(J146&gt;=15,"High",IF(J146&gt;=8,"Medium","Low")))</f>
        <v/>
      </c>
      <c r="L146" s="12"/>
      <c r="M146" s="12"/>
      <c r="N146" s="12"/>
      <c r="O146" s="12"/>
      <c r="P146" s="15" t="str">
        <f aca="false">IF(OR(N146="",O146=""),"",VALUE(N146)*VALUE(O146))</f>
        <v/>
      </c>
      <c r="Q146" s="15" t="str">
        <f aca="false">IF(P146="","",IF(P146&gt;=15,"High",IF(P146&gt;=8,"Medium","Low")))</f>
        <v/>
      </c>
      <c r="R146" s="12"/>
      <c r="S146" s="12"/>
      <c r="T146" s="12"/>
      <c r="U146" s="13"/>
      <c r="V146" s="12"/>
      <c r="W146" s="12"/>
      <c r="X146" s="15" t="str">
        <f aca="true">IF(OR(U146="",V146="Done"),"",IF(U146&lt;TODAY(),"OVERDUE",""))</f>
        <v/>
      </c>
    </row>
    <row r="147" customFormat="false" ht="15" hidden="false" customHeight="false" outlineLevel="0" collapsed="false">
      <c r="A147" s="12"/>
      <c r="B147" s="12"/>
      <c r="C147" s="15" t="str">
        <f aca="false">IF(B147="","",IFERROR(INDEX('AI Inventory'!$B:$B,MATCH(B147,'AI Inventory'!$A:$A,0)),"ID not in inventory"))</f>
        <v/>
      </c>
      <c r="D147" s="12"/>
      <c r="E147" s="12"/>
      <c r="F147" s="12"/>
      <c r="G147" s="12"/>
      <c r="H147" s="12"/>
      <c r="I147" s="12"/>
      <c r="J147" s="15" t="str">
        <f aca="false">IF(OR(H147="",I147=""),"",VALUE(H147)*VALUE(I147))</f>
        <v/>
      </c>
      <c r="K147" s="15" t="str">
        <f aca="false">IF(J147="","",IF(J147&gt;=15,"High",IF(J147&gt;=8,"Medium","Low")))</f>
        <v/>
      </c>
      <c r="L147" s="12"/>
      <c r="M147" s="12"/>
      <c r="N147" s="12"/>
      <c r="O147" s="12"/>
      <c r="P147" s="15" t="str">
        <f aca="false">IF(OR(N147="",O147=""),"",VALUE(N147)*VALUE(O147))</f>
        <v/>
      </c>
      <c r="Q147" s="15" t="str">
        <f aca="false">IF(P147="","",IF(P147&gt;=15,"High",IF(P147&gt;=8,"Medium","Low")))</f>
        <v/>
      </c>
      <c r="R147" s="12"/>
      <c r="S147" s="12"/>
      <c r="T147" s="12"/>
      <c r="U147" s="13"/>
      <c r="V147" s="12"/>
      <c r="W147" s="12"/>
      <c r="X147" s="15" t="str">
        <f aca="true">IF(OR(U147="",V147="Done"),"",IF(U147&lt;TODAY(),"OVERDUE",""))</f>
        <v/>
      </c>
    </row>
    <row r="148" customFormat="false" ht="15" hidden="false" customHeight="false" outlineLevel="0" collapsed="false">
      <c r="A148" s="12"/>
      <c r="B148" s="12"/>
      <c r="C148" s="15" t="str">
        <f aca="false">IF(B148="","",IFERROR(INDEX('AI Inventory'!$B:$B,MATCH(B148,'AI Inventory'!$A:$A,0)),"ID not in inventory"))</f>
        <v/>
      </c>
      <c r="D148" s="12"/>
      <c r="E148" s="12"/>
      <c r="F148" s="12"/>
      <c r="G148" s="12"/>
      <c r="H148" s="12"/>
      <c r="I148" s="12"/>
      <c r="J148" s="15" t="str">
        <f aca="false">IF(OR(H148="",I148=""),"",VALUE(H148)*VALUE(I148))</f>
        <v/>
      </c>
      <c r="K148" s="15" t="str">
        <f aca="false">IF(J148="","",IF(J148&gt;=15,"High",IF(J148&gt;=8,"Medium","Low")))</f>
        <v/>
      </c>
      <c r="L148" s="12"/>
      <c r="M148" s="12"/>
      <c r="N148" s="12"/>
      <c r="O148" s="12"/>
      <c r="P148" s="15" t="str">
        <f aca="false">IF(OR(N148="",O148=""),"",VALUE(N148)*VALUE(O148))</f>
        <v/>
      </c>
      <c r="Q148" s="15" t="str">
        <f aca="false">IF(P148="","",IF(P148&gt;=15,"High",IF(P148&gt;=8,"Medium","Low")))</f>
        <v/>
      </c>
      <c r="R148" s="12"/>
      <c r="S148" s="12"/>
      <c r="T148" s="12"/>
      <c r="U148" s="13"/>
      <c r="V148" s="12"/>
      <c r="W148" s="12"/>
      <c r="X148" s="15" t="str">
        <f aca="true">IF(OR(U148="",V148="Done"),"",IF(U148&lt;TODAY(),"OVERDUE",""))</f>
        <v/>
      </c>
    </row>
    <row r="149" customFormat="false" ht="15" hidden="false" customHeight="false" outlineLevel="0" collapsed="false">
      <c r="A149" s="12"/>
      <c r="B149" s="12"/>
      <c r="C149" s="15" t="str">
        <f aca="false">IF(B149="","",IFERROR(INDEX('AI Inventory'!$B:$B,MATCH(B149,'AI Inventory'!$A:$A,0)),"ID not in inventory"))</f>
        <v/>
      </c>
      <c r="D149" s="12"/>
      <c r="E149" s="12"/>
      <c r="F149" s="12"/>
      <c r="G149" s="12"/>
      <c r="H149" s="12"/>
      <c r="I149" s="12"/>
      <c r="J149" s="15" t="str">
        <f aca="false">IF(OR(H149="",I149=""),"",VALUE(H149)*VALUE(I149))</f>
        <v/>
      </c>
      <c r="K149" s="15" t="str">
        <f aca="false">IF(J149="","",IF(J149&gt;=15,"High",IF(J149&gt;=8,"Medium","Low")))</f>
        <v/>
      </c>
      <c r="L149" s="12"/>
      <c r="M149" s="12"/>
      <c r="N149" s="12"/>
      <c r="O149" s="12"/>
      <c r="P149" s="15" t="str">
        <f aca="false">IF(OR(N149="",O149=""),"",VALUE(N149)*VALUE(O149))</f>
        <v/>
      </c>
      <c r="Q149" s="15" t="str">
        <f aca="false">IF(P149="","",IF(P149&gt;=15,"High",IF(P149&gt;=8,"Medium","Low")))</f>
        <v/>
      </c>
      <c r="R149" s="12"/>
      <c r="S149" s="12"/>
      <c r="T149" s="12"/>
      <c r="U149" s="13"/>
      <c r="V149" s="12"/>
      <c r="W149" s="12"/>
      <c r="X149" s="15" t="str">
        <f aca="true">IF(OR(U149="",V149="Done"),"",IF(U149&lt;TODAY(),"OVERDUE",""))</f>
        <v/>
      </c>
    </row>
    <row r="150" customFormat="false" ht="15" hidden="false" customHeight="false" outlineLevel="0" collapsed="false">
      <c r="A150" s="12"/>
      <c r="B150" s="12"/>
      <c r="C150" s="15" t="str">
        <f aca="false">IF(B150="","",IFERROR(INDEX('AI Inventory'!$B:$B,MATCH(B150,'AI Inventory'!$A:$A,0)),"ID not in inventory"))</f>
        <v/>
      </c>
      <c r="D150" s="12"/>
      <c r="E150" s="12"/>
      <c r="F150" s="12"/>
      <c r="G150" s="12"/>
      <c r="H150" s="12"/>
      <c r="I150" s="12"/>
      <c r="J150" s="15" t="str">
        <f aca="false">IF(OR(H150="",I150=""),"",VALUE(H150)*VALUE(I150))</f>
        <v/>
      </c>
      <c r="K150" s="15" t="str">
        <f aca="false">IF(J150="","",IF(J150&gt;=15,"High",IF(J150&gt;=8,"Medium","Low")))</f>
        <v/>
      </c>
      <c r="L150" s="12"/>
      <c r="M150" s="12"/>
      <c r="N150" s="12"/>
      <c r="O150" s="12"/>
      <c r="P150" s="15" t="str">
        <f aca="false">IF(OR(N150="",O150=""),"",VALUE(N150)*VALUE(O150))</f>
        <v/>
      </c>
      <c r="Q150" s="15" t="str">
        <f aca="false">IF(P150="","",IF(P150&gt;=15,"High",IF(P150&gt;=8,"Medium","Low")))</f>
        <v/>
      </c>
      <c r="R150" s="12"/>
      <c r="S150" s="12"/>
      <c r="T150" s="12"/>
      <c r="U150" s="13"/>
      <c r="V150" s="12"/>
      <c r="W150" s="12"/>
      <c r="X150" s="15" t="str">
        <f aca="true">IF(OR(U150="",V150="Done"),"",IF(U150&lt;TODAY(),"OVERDUE",""))</f>
        <v/>
      </c>
    </row>
    <row r="151" customFormat="false" ht="15" hidden="false" customHeight="false" outlineLevel="0" collapsed="false">
      <c r="A151" s="12"/>
      <c r="B151" s="12"/>
      <c r="C151" s="15" t="str">
        <f aca="false">IF(B151="","",IFERROR(INDEX('AI Inventory'!$B:$B,MATCH(B151,'AI Inventory'!$A:$A,0)),"ID not in inventory"))</f>
        <v/>
      </c>
      <c r="D151" s="12"/>
      <c r="E151" s="12"/>
      <c r="F151" s="12"/>
      <c r="G151" s="12"/>
      <c r="H151" s="12"/>
      <c r="I151" s="12"/>
      <c r="J151" s="15" t="str">
        <f aca="false">IF(OR(H151="",I151=""),"",VALUE(H151)*VALUE(I151))</f>
        <v/>
      </c>
      <c r="K151" s="15" t="str">
        <f aca="false">IF(J151="","",IF(J151&gt;=15,"High",IF(J151&gt;=8,"Medium","Low")))</f>
        <v/>
      </c>
      <c r="L151" s="12"/>
      <c r="M151" s="12"/>
      <c r="N151" s="12"/>
      <c r="O151" s="12"/>
      <c r="P151" s="15" t="str">
        <f aca="false">IF(OR(N151="",O151=""),"",VALUE(N151)*VALUE(O151))</f>
        <v/>
      </c>
      <c r="Q151" s="15" t="str">
        <f aca="false">IF(P151="","",IF(P151&gt;=15,"High",IF(P151&gt;=8,"Medium","Low")))</f>
        <v/>
      </c>
      <c r="R151" s="12"/>
      <c r="S151" s="12"/>
      <c r="T151" s="12"/>
      <c r="U151" s="13"/>
      <c r="V151" s="12"/>
      <c r="W151" s="12"/>
      <c r="X151" s="15" t="str">
        <f aca="true">IF(OR(U151="",V151="Done"),"",IF(U151&lt;TODAY(),"OVERDUE",""))</f>
        <v/>
      </c>
    </row>
    <row r="152" customFormat="false" ht="15" hidden="false" customHeight="false" outlineLevel="0" collapsed="false">
      <c r="A152" s="12"/>
      <c r="B152" s="12"/>
      <c r="C152" s="15" t="str">
        <f aca="false">IF(B152="","",IFERROR(INDEX('AI Inventory'!$B:$B,MATCH(B152,'AI Inventory'!$A:$A,0)),"ID not in inventory"))</f>
        <v/>
      </c>
      <c r="D152" s="12"/>
      <c r="E152" s="12"/>
      <c r="F152" s="12"/>
      <c r="G152" s="12"/>
      <c r="H152" s="12"/>
      <c r="I152" s="12"/>
      <c r="J152" s="15" t="str">
        <f aca="false">IF(OR(H152="",I152=""),"",VALUE(H152)*VALUE(I152))</f>
        <v/>
      </c>
      <c r="K152" s="15" t="str">
        <f aca="false">IF(J152="","",IF(J152&gt;=15,"High",IF(J152&gt;=8,"Medium","Low")))</f>
        <v/>
      </c>
      <c r="L152" s="12"/>
      <c r="M152" s="12"/>
      <c r="N152" s="12"/>
      <c r="O152" s="12"/>
      <c r="P152" s="15" t="str">
        <f aca="false">IF(OR(N152="",O152=""),"",VALUE(N152)*VALUE(O152))</f>
        <v/>
      </c>
      <c r="Q152" s="15" t="str">
        <f aca="false">IF(P152="","",IF(P152&gt;=15,"High",IF(P152&gt;=8,"Medium","Low")))</f>
        <v/>
      </c>
      <c r="R152" s="12"/>
      <c r="S152" s="12"/>
      <c r="T152" s="12"/>
      <c r="U152" s="13"/>
      <c r="V152" s="12"/>
      <c r="W152" s="12"/>
      <c r="X152" s="15" t="str">
        <f aca="true">IF(OR(U152="",V152="Done"),"",IF(U152&lt;TODAY(),"OVERDUE",""))</f>
        <v/>
      </c>
    </row>
    <row r="153" customFormat="false" ht="15" hidden="false" customHeight="false" outlineLevel="0" collapsed="false">
      <c r="A153" s="12"/>
      <c r="B153" s="12"/>
      <c r="C153" s="15" t="str">
        <f aca="false">IF(B153="","",IFERROR(INDEX('AI Inventory'!$B:$B,MATCH(B153,'AI Inventory'!$A:$A,0)),"ID not in inventory"))</f>
        <v/>
      </c>
      <c r="D153" s="12"/>
      <c r="E153" s="12"/>
      <c r="F153" s="12"/>
      <c r="G153" s="12"/>
      <c r="H153" s="12"/>
      <c r="I153" s="12"/>
      <c r="J153" s="15" t="str">
        <f aca="false">IF(OR(H153="",I153=""),"",VALUE(H153)*VALUE(I153))</f>
        <v/>
      </c>
      <c r="K153" s="15" t="str">
        <f aca="false">IF(J153="","",IF(J153&gt;=15,"High",IF(J153&gt;=8,"Medium","Low")))</f>
        <v/>
      </c>
      <c r="L153" s="12"/>
      <c r="M153" s="12"/>
      <c r="N153" s="12"/>
      <c r="O153" s="12"/>
      <c r="P153" s="15" t="str">
        <f aca="false">IF(OR(N153="",O153=""),"",VALUE(N153)*VALUE(O153))</f>
        <v/>
      </c>
      <c r="Q153" s="15" t="str">
        <f aca="false">IF(P153="","",IF(P153&gt;=15,"High",IF(P153&gt;=8,"Medium","Low")))</f>
        <v/>
      </c>
      <c r="R153" s="12"/>
      <c r="S153" s="12"/>
      <c r="T153" s="12"/>
      <c r="U153" s="13"/>
      <c r="V153" s="12"/>
      <c r="W153" s="12"/>
      <c r="X153" s="15" t="str">
        <f aca="true">IF(OR(U153="",V153="Done"),"",IF(U153&lt;TODAY(),"OVERDUE",""))</f>
        <v/>
      </c>
    </row>
    <row r="154" customFormat="false" ht="15" hidden="false" customHeight="false" outlineLevel="0" collapsed="false">
      <c r="A154" s="12"/>
      <c r="B154" s="12"/>
      <c r="C154" s="15" t="str">
        <f aca="false">IF(B154="","",IFERROR(INDEX('AI Inventory'!$B:$B,MATCH(B154,'AI Inventory'!$A:$A,0)),"ID not in inventory"))</f>
        <v/>
      </c>
      <c r="D154" s="12"/>
      <c r="E154" s="12"/>
      <c r="F154" s="12"/>
      <c r="G154" s="12"/>
      <c r="H154" s="12"/>
      <c r="I154" s="12"/>
      <c r="J154" s="15" t="str">
        <f aca="false">IF(OR(H154="",I154=""),"",VALUE(H154)*VALUE(I154))</f>
        <v/>
      </c>
      <c r="K154" s="15" t="str">
        <f aca="false">IF(J154="","",IF(J154&gt;=15,"High",IF(J154&gt;=8,"Medium","Low")))</f>
        <v/>
      </c>
      <c r="L154" s="12"/>
      <c r="M154" s="12"/>
      <c r="N154" s="12"/>
      <c r="O154" s="12"/>
      <c r="P154" s="15" t="str">
        <f aca="false">IF(OR(N154="",O154=""),"",VALUE(N154)*VALUE(O154))</f>
        <v/>
      </c>
      <c r="Q154" s="15" t="str">
        <f aca="false">IF(P154="","",IF(P154&gt;=15,"High",IF(P154&gt;=8,"Medium","Low")))</f>
        <v/>
      </c>
      <c r="R154" s="12"/>
      <c r="S154" s="12"/>
      <c r="T154" s="12"/>
      <c r="U154" s="13"/>
      <c r="V154" s="12"/>
      <c r="W154" s="12"/>
      <c r="X154" s="15" t="str">
        <f aca="true">IF(OR(U154="",V154="Done"),"",IF(U154&lt;TODAY(),"OVERDUE",""))</f>
        <v/>
      </c>
    </row>
    <row r="155" customFormat="false" ht="15" hidden="false" customHeight="false" outlineLevel="0" collapsed="false">
      <c r="A155" s="12"/>
      <c r="B155" s="12"/>
      <c r="C155" s="15" t="str">
        <f aca="false">IF(B155="","",IFERROR(INDEX('AI Inventory'!$B:$B,MATCH(B155,'AI Inventory'!$A:$A,0)),"ID not in inventory"))</f>
        <v/>
      </c>
      <c r="D155" s="12"/>
      <c r="E155" s="12"/>
      <c r="F155" s="12"/>
      <c r="G155" s="12"/>
      <c r="H155" s="12"/>
      <c r="I155" s="12"/>
      <c r="J155" s="15" t="str">
        <f aca="false">IF(OR(H155="",I155=""),"",VALUE(H155)*VALUE(I155))</f>
        <v/>
      </c>
      <c r="K155" s="15" t="str">
        <f aca="false">IF(J155="","",IF(J155&gt;=15,"High",IF(J155&gt;=8,"Medium","Low")))</f>
        <v/>
      </c>
      <c r="L155" s="12"/>
      <c r="M155" s="12"/>
      <c r="N155" s="12"/>
      <c r="O155" s="12"/>
      <c r="P155" s="15" t="str">
        <f aca="false">IF(OR(N155="",O155=""),"",VALUE(N155)*VALUE(O155))</f>
        <v/>
      </c>
      <c r="Q155" s="15" t="str">
        <f aca="false">IF(P155="","",IF(P155&gt;=15,"High",IF(P155&gt;=8,"Medium","Low")))</f>
        <v/>
      </c>
      <c r="R155" s="12"/>
      <c r="S155" s="12"/>
      <c r="T155" s="12"/>
      <c r="U155" s="13"/>
      <c r="V155" s="12"/>
      <c r="W155" s="12"/>
      <c r="X155" s="15" t="str">
        <f aca="true">IF(OR(U155="",V155="Done"),"",IF(U155&lt;TODAY(),"OVERDUE",""))</f>
        <v/>
      </c>
    </row>
  </sheetData>
  <autoFilter ref="A5:X155"/>
  <conditionalFormatting sqref="K6:K155">
    <cfRule type="cellIs" priority="2" operator="equal" aboveAverage="0" equalAverage="0" bottom="0" percent="0" rank="0" text="" dxfId="0">
      <formula>"High"</formula>
    </cfRule>
    <cfRule type="cellIs" priority="3" operator="equal" aboveAverage="0" equalAverage="0" bottom="0" percent="0" rank="0" text="" dxfId="11">
      <formula>"Medium"</formula>
    </cfRule>
    <cfRule type="cellIs" priority="4" operator="equal" aboveAverage="0" equalAverage="0" bottom="0" percent="0" rank="0" text="" dxfId="12">
      <formula>"Low"</formula>
    </cfRule>
  </conditionalFormatting>
  <conditionalFormatting sqref="Q6:Q155">
    <cfRule type="cellIs" priority="5" operator="equal" aboveAverage="0" equalAverage="0" bottom="0" percent="0" rank="0" text="" dxfId="0">
      <formula>"High"</formula>
    </cfRule>
    <cfRule type="cellIs" priority="6" operator="equal" aboveAverage="0" equalAverage="0" bottom="0" percent="0" rank="0" text="" dxfId="11">
      <formula>"Medium"</formula>
    </cfRule>
    <cfRule type="cellIs" priority="7" operator="equal" aboveAverage="0" equalAverage="0" bottom="0" percent="0" rank="0" text="" dxfId="12">
      <formula>"Low"</formula>
    </cfRule>
  </conditionalFormatting>
  <conditionalFormatting sqref="X6:X155">
    <cfRule type="cellIs" priority="8" operator="equal" aboveAverage="0" equalAverage="0" bottom="0" percent="0" rank="0" text="" dxfId="0">
      <formula>"OVERDUE"</formula>
    </cfRule>
  </conditionalFormatting>
  <dataValidations count="9">
    <dataValidation allowBlank="true" errorStyle="stop" operator="between" showDropDown="false" showErrorMessage="false" showInputMessage="false" sqref="B6:B155" type="list">
      <formula1>'AI Inventory'!$A$6:$A$155</formula1>
      <formula2>0</formula2>
    </dataValidation>
    <dataValidation allowBlank="true" error="Pick a value from the list" errorStyle="stop" errorTitle="Not in list" operator="between" showDropDown="false" showErrorMessage="false" showInputMessage="false" sqref="D6:D155" type="list">
      <formula1>Lists!$K$6:$K$16</formula1>
      <formula2>0</formula2>
    </dataValidation>
    <dataValidation allowBlank="true" error="Pick a value from the list" errorStyle="stop" errorTitle="Not in list" operator="between" showDropDown="false" showErrorMessage="false" showInputMessage="false" sqref="H6:H155" type="list">
      <formula1>Lists!$M$6:$M$10</formula1>
      <formula2>0</formula2>
    </dataValidation>
    <dataValidation allowBlank="true" error="Pick a value from the list" errorStyle="stop" errorTitle="Not in list" operator="between" showDropDown="false" showErrorMessage="false" showInputMessage="false" sqref="I6:I155" type="list">
      <formula1>Lists!$M$6:$M$10</formula1>
      <formula2>0</formula2>
    </dataValidation>
    <dataValidation allowBlank="true" error="Pick a value from the list" errorStyle="stop" errorTitle="Not in list" operator="between" showDropDown="false" showErrorMessage="false" showInputMessage="false" sqref="M6:M155" type="list">
      <formula1>Lists!$L$6:$L$14</formula1>
      <formula2>0</formula2>
    </dataValidation>
    <dataValidation allowBlank="true" error="Pick a value from the list" errorStyle="stop" errorTitle="Not in list" operator="between" showDropDown="false" showErrorMessage="false" showInputMessage="false" sqref="N6:N155" type="list">
      <formula1>Lists!$M$6:$M$10</formula1>
      <formula2>0</formula2>
    </dataValidation>
    <dataValidation allowBlank="true" error="Pick a value from the list" errorStyle="stop" errorTitle="Not in list" operator="between" showDropDown="false" showErrorMessage="false" showInputMessage="false" sqref="O6:O155" type="list">
      <formula1>Lists!$M$6:$M$10</formula1>
      <formula2>0</formula2>
    </dataValidation>
    <dataValidation allowBlank="true" error="Pick a value from the list" errorStyle="stop" errorTitle="Not in list" operator="between" showDropDown="false" showErrorMessage="false" showInputMessage="false" sqref="R6:R155" type="list">
      <formula1>Lists!$N$6:$N$9</formula1>
      <formula2>0</formula2>
    </dataValidation>
    <dataValidation allowBlank="true" error="Pick a value from the list" errorStyle="stop" errorTitle="Not in list" operator="between" showDropDown="false" showErrorMessage="false" showInputMessage="false" sqref="V6:V155" type="list">
      <formula1>Lists!$O$6:$O$9</formula1>
      <formula2>0</formula2>
    </dataValidation>
  </dataValidation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4" min="3" style="0" width="62"/>
  </cols>
  <sheetData>
    <row r="1" customFormat="false" ht="48" hidden="false" customHeight="true" outlineLevel="0" collapsed="false">
      <c r="B1" s="1" t="s">
        <v>118</v>
      </c>
    </row>
    <row r="2" customFormat="false" ht="18" hidden="false" customHeight="true" outlineLevel="0" collapsed="false">
      <c r="B2" s="2" t="s">
        <v>1</v>
      </c>
    </row>
    <row r="3" customFormat="false" ht="3.75" hidden="false" customHeight="true" outlineLevel="0" collapsed="false">
      <c r="A3" s="3"/>
      <c r="B3" s="3"/>
      <c r="C3" s="3"/>
      <c r="D3" s="3"/>
    </row>
    <row r="5" customFormat="false" ht="15" hidden="false" customHeight="false" outlineLevel="0" collapsed="false">
      <c r="A5" s="7"/>
      <c r="B5" s="7" t="s">
        <v>119</v>
      </c>
      <c r="C5" s="7" t="s">
        <v>120</v>
      </c>
      <c r="D5" s="7" t="s">
        <v>121</v>
      </c>
    </row>
    <row r="6" customFormat="false" ht="31.5" hidden="false" customHeight="true" outlineLevel="0" collapsed="false">
      <c r="A6" s="16"/>
      <c r="B6" s="17" t="s">
        <v>111</v>
      </c>
      <c r="C6" s="17" t="s">
        <v>122</v>
      </c>
      <c r="D6" s="17" t="s">
        <v>123</v>
      </c>
    </row>
    <row r="7" customFormat="false" ht="31.5" hidden="false" customHeight="true" outlineLevel="0" collapsed="false">
      <c r="A7" s="16"/>
      <c r="B7" s="17" t="s">
        <v>115</v>
      </c>
      <c r="C7" s="17" t="s">
        <v>124</v>
      </c>
      <c r="D7" s="17" t="s">
        <v>125</v>
      </c>
    </row>
    <row r="8" customFormat="false" ht="31.5" hidden="false" customHeight="true" outlineLevel="0" collapsed="false">
      <c r="A8" s="16"/>
      <c r="B8" s="17" t="s">
        <v>110</v>
      </c>
      <c r="C8" s="17" t="s">
        <v>126</v>
      </c>
      <c r="D8" s="17" t="s">
        <v>127</v>
      </c>
    </row>
    <row r="9" customFormat="false" ht="31.5" hidden="false" customHeight="true" outlineLevel="0" collapsed="false">
      <c r="A9" s="16"/>
      <c r="B9" s="17" t="s">
        <v>114</v>
      </c>
      <c r="C9" s="17" t="s">
        <v>128</v>
      </c>
      <c r="D9" s="17" t="s">
        <v>129</v>
      </c>
    </row>
    <row r="10" customFormat="false" ht="31.5" hidden="false" customHeight="true" outlineLevel="0" collapsed="false">
      <c r="A10" s="16"/>
      <c r="B10" s="17" t="s">
        <v>130</v>
      </c>
      <c r="C10" s="17" t="s">
        <v>131</v>
      </c>
      <c r="D10" s="17" t="s">
        <v>132</v>
      </c>
    </row>
    <row r="12" customFormat="false" ht="15" hidden="false" customHeight="false" outlineLevel="0" collapsed="false">
      <c r="B12" s="18" t="s">
        <v>133</v>
      </c>
    </row>
    <row r="13" customFormat="false" ht="15" hidden="false" customHeight="false" outlineLevel="0" collapsed="false">
      <c r="B13" s="10" t="s">
        <v>134</v>
      </c>
    </row>
  </sheetData>
  <printOptions headings="false" gridLines="false" gridLinesSet="true" horizontalCentered="fals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4"/>
    <col collapsed="false" customWidth="true" hidden="false" outlineLevel="0" max="7" min="3" style="0" width="10"/>
  </cols>
  <sheetData>
    <row r="1" customFormat="false" ht="48" hidden="false" customHeight="true" outlineLevel="0" collapsed="false">
      <c r="B1" s="1" t="s">
        <v>135</v>
      </c>
    </row>
    <row r="2" customFormat="false" ht="18" hidden="false" customHeight="true" outlineLevel="0" collapsed="false">
      <c r="B2" s="2" t="s">
        <v>1</v>
      </c>
    </row>
    <row r="3" customFormat="false" ht="3.75" hidden="false" customHeight="true" outlineLevel="0" collapsed="false">
      <c r="A3" s="3"/>
      <c r="B3" s="3"/>
      <c r="C3" s="3"/>
      <c r="D3" s="3"/>
      <c r="E3" s="3"/>
      <c r="F3" s="3"/>
      <c r="G3" s="3"/>
    </row>
    <row r="5" customFormat="false" ht="15" hidden="false" customHeight="false" outlineLevel="0" collapsed="false">
      <c r="B5" s="19" t="s">
        <v>136</v>
      </c>
      <c r="C5" s="20" t="n">
        <v>1</v>
      </c>
      <c r="D5" s="20" t="n">
        <v>2</v>
      </c>
      <c r="E5" s="20" t="n">
        <v>3</v>
      </c>
      <c r="F5" s="20" t="n">
        <v>4</v>
      </c>
      <c r="G5" s="20" t="n">
        <v>5</v>
      </c>
    </row>
    <row r="6" customFormat="false" ht="33.75" hidden="false" customHeight="true" outlineLevel="0" collapsed="false">
      <c r="B6" s="21" t="n">
        <v>5</v>
      </c>
      <c r="C6" s="22" t="n">
        <f aca="false">COUNTIFS('Risk Register'!$H:$H,"5",'Risk Register'!$I:$I,"1",'Risk Register'!$V:$V,"&lt;&gt;Done")</f>
        <v>0</v>
      </c>
      <c r="D6" s="23" t="n">
        <f aca="false">COUNTIFS('Risk Register'!$H:$H,"5",'Risk Register'!$I:$I,"2",'Risk Register'!$V:$V,"&lt;&gt;Done")</f>
        <v>0</v>
      </c>
      <c r="E6" s="24" t="n">
        <f aca="false">COUNTIFS('Risk Register'!$H:$H,"5",'Risk Register'!$I:$I,"3",'Risk Register'!$V:$V,"&lt;&gt;Done")</f>
        <v>0</v>
      </c>
      <c r="F6" s="24" t="n">
        <f aca="false">COUNTIFS('Risk Register'!$H:$H,"5",'Risk Register'!$I:$I,"4",'Risk Register'!$V:$V,"&lt;&gt;Done")</f>
        <v>0</v>
      </c>
      <c r="G6" s="24" t="n">
        <f aca="false">COUNTIFS('Risk Register'!$H:$H,"5",'Risk Register'!$I:$I,"5",'Risk Register'!$V:$V,"&lt;&gt;Done")</f>
        <v>0</v>
      </c>
    </row>
    <row r="7" customFormat="false" ht="33.75" hidden="false" customHeight="true" outlineLevel="0" collapsed="false">
      <c r="B7" s="21" t="n">
        <v>4</v>
      </c>
      <c r="C7" s="22" t="n">
        <f aca="false">COUNTIFS('Risk Register'!$H:$H,"4",'Risk Register'!$I:$I,"1",'Risk Register'!$V:$V,"&lt;&gt;Done")</f>
        <v>0</v>
      </c>
      <c r="D7" s="23" t="n">
        <f aca="false">COUNTIFS('Risk Register'!$H:$H,"4",'Risk Register'!$I:$I,"2",'Risk Register'!$V:$V,"&lt;&gt;Done")</f>
        <v>0</v>
      </c>
      <c r="E7" s="23" t="n">
        <f aca="false">COUNTIFS('Risk Register'!$H:$H,"4",'Risk Register'!$I:$I,"3",'Risk Register'!$V:$V,"&lt;&gt;Done")</f>
        <v>0</v>
      </c>
      <c r="F7" s="24" t="n">
        <f aca="false">COUNTIFS('Risk Register'!$H:$H,"4",'Risk Register'!$I:$I,"4",'Risk Register'!$V:$V,"&lt;&gt;Done")</f>
        <v>0</v>
      </c>
      <c r="G7" s="24" t="n">
        <f aca="false">COUNTIFS('Risk Register'!$H:$H,"4",'Risk Register'!$I:$I,"5",'Risk Register'!$V:$V,"&lt;&gt;Done")</f>
        <v>0</v>
      </c>
    </row>
    <row r="8" customFormat="false" ht="33.75" hidden="false" customHeight="true" outlineLevel="0" collapsed="false">
      <c r="B8" s="21" t="n">
        <v>3</v>
      </c>
      <c r="C8" s="22" t="n">
        <f aca="false">COUNTIFS('Risk Register'!$H:$H,"3",'Risk Register'!$I:$I,"1",'Risk Register'!$V:$V,"&lt;&gt;Done")</f>
        <v>0</v>
      </c>
      <c r="D8" s="22" t="n">
        <f aca="false">COUNTIFS('Risk Register'!$H:$H,"3",'Risk Register'!$I:$I,"2",'Risk Register'!$V:$V,"&lt;&gt;Done")</f>
        <v>0</v>
      </c>
      <c r="E8" s="23" t="n">
        <f aca="false">COUNTIFS('Risk Register'!$H:$H,"3",'Risk Register'!$I:$I,"3",'Risk Register'!$V:$V,"&lt;&gt;Done")</f>
        <v>0</v>
      </c>
      <c r="F8" s="23" t="n">
        <f aca="false">COUNTIFS('Risk Register'!$H:$H,"3",'Risk Register'!$I:$I,"4",'Risk Register'!$V:$V,"&lt;&gt;Done")</f>
        <v>0</v>
      </c>
      <c r="G8" s="24" t="n">
        <f aca="false">COUNTIFS('Risk Register'!$H:$H,"3",'Risk Register'!$I:$I,"5",'Risk Register'!$V:$V,"&lt;&gt;Done")</f>
        <v>1</v>
      </c>
    </row>
    <row r="9" customFormat="false" ht="33.75" hidden="false" customHeight="true" outlineLevel="0" collapsed="false">
      <c r="B9" s="21" t="n">
        <v>2</v>
      </c>
      <c r="C9" s="22" t="n">
        <f aca="false">COUNTIFS('Risk Register'!$H:$H,"2",'Risk Register'!$I:$I,"1",'Risk Register'!$V:$V,"&lt;&gt;Done")</f>
        <v>0</v>
      </c>
      <c r="D9" s="22" t="n">
        <f aca="false">COUNTIFS('Risk Register'!$H:$H,"2",'Risk Register'!$I:$I,"2",'Risk Register'!$V:$V,"&lt;&gt;Done")</f>
        <v>0</v>
      </c>
      <c r="E9" s="22" t="n">
        <f aca="false">COUNTIFS('Risk Register'!$H:$H,"2",'Risk Register'!$I:$I,"3",'Risk Register'!$V:$V,"&lt;&gt;Done")</f>
        <v>0</v>
      </c>
      <c r="F9" s="23" t="n">
        <f aca="false">COUNTIFS('Risk Register'!$H:$H,"2",'Risk Register'!$I:$I,"4",'Risk Register'!$V:$V,"&lt;&gt;Done")</f>
        <v>0</v>
      </c>
      <c r="G9" s="23" t="n">
        <f aca="false">COUNTIFS('Risk Register'!$H:$H,"2",'Risk Register'!$I:$I,"5",'Risk Register'!$V:$V,"&lt;&gt;Done")</f>
        <v>0</v>
      </c>
    </row>
    <row r="10" customFormat="false" ht="33.75" hidden="false" customHeight="true" outlineLevel="0" collapsed="false">
      <c r="B10" s="21" t="n">
        <v>1</v>
      </c>
      <c r="C10" s="22" t="n">
        <f aca="false">COUNTIFS('Risk Register'!$H:$H,"1",'Risk Register'!$I:$I,"1",'Risk Register'!$V:$V,"&lt;&gt;Done")</f>
        <v>0</v>
      </c>
      <c r="D10" s="22" t="n">
        <f aca="false">COUNTIFS('Risk Register'!$H:$H,"1",'Risk Register'!$I:$I,"2",'Risk Register'!$V:$V,"&lt;&gt;Done")</f>
        <v>0</v>
      </c>
      <c r="E10" s="22" t="n">
        <f aca="false">COUNTIFS('Risk Register'!$H:$H,"1",'Risk Register'!$I:$I,"3",'Risk Register'!$V:$V,"&lt;&gt;Done")</f>
        <v>0</v>
      </c>
      <c r="F10" s="22" t="n">
        <f aca="false">COUNTIFS('Risk Register'!$H:$H,"1",'Risk Register'!$I:$I,"4",'Risk Register'!$V:$V,"&lt;&gt;Done")</f>
        <v>0</v>
      </c>
      <c r="G10" s="22" t="n">
        <f aca="false">COUNTIFS('Risk Register'!$H:$H,"1",'Risk Register'!$I:$I,"5",'Risk Register'!$V:$V,"&lt;&gt;Done")</f>
        <v>0</v>
      </c>
    </row>
    <row r="12" customFormat="false" ht="15" hidden="false" customHeight="false" outlineLevel="0" collapsed="false">
      <c r="B12" s="10" t="s">
        <v>137</v>
      </c>
    </row>
  </sheetData>
  <printOptions headings="false" gridLines="false" gridLinesSet="true" horizontalCentered="fals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70"/>
    <col collapsed="false" customWidth="true" hidden="false" outlineLevel="0" max="3" min="3" style="0" width="80"/>
  </cols>
  <sheetData>
    <row r="1" customFormat="false" ht="48" hidden="false" customHeight="true" outlineLevel="0" collapsed="false">
      <c r="B1" s="1" t="s">
        <v>138</v>
      </c>
    </row>
    <row r="2" customFormat="false" ht="18" hidden="false" customHeight="true" outlineLevel="0" collapsed="false">
      <c r="B2" s="2" t="s">
        <v>1</v>
      </c>
    </row>
    <row r="3" customFormat="false" ht="3.75" hidden="false" customHeight="true" outlineLevel="0" collapsed="false">
      <c r="A3" s="3"/>
      <c r="B3" s="3"/>
      <c r="C3" s="3"/>
    </row>
    <row r="5" customFormat="false" ht="15" hidden="false" customHeight="false" outlineLevel="0" collapsed="false">
      <c r="A5" s="6"/>
      <c r="B5" s="7" t="s">
        <v>139</v>
      </c>
      <c r="C5" s="7" t="s">
        <v>140</v>
      </c>
    </row>
    <row r="6" customFormat="false" ht="43.5" hidden="false" customHeight="true" outlineLevel="0" collapsed="false">
      <c r="B6" s="16" t="s">
        <v>141</v>
      </c>
      <c r="C6" s="25" t="s">
        <v>142</v>
      </c>
    </row>
    <row r="7" customFormat="false" ht="43.5" hidden="false" customHeight="true" outlineLevel="0" collapsed="false">
      <c r="B7" s="16" t="s">
        <v>143</v>
      </c>
      <c r="C7" s="25" t="s">
        <v>144</v>
      </c>
    </row>
    <row r="8" customFormat="false" ht="43.5" hidden="false" customHeight="true" outlineLevel="0" collapsed="false">
      <c r="B8" s="16" t="s">
        <v>145</v>
      </c>
      <c r="C8" s="25" t="s">
        <v>146</v>
      </c>
    </row>
    <row r="9" customFormat="false" ht="43.5" hidden="false" customHeight="true" outlineLevel="0" collapsed="false">
      <c r="B9" s="16" t="s">
        <v>147</v>
      </c>
      <c r="C9" s="25" t="s">
        <v>148</v>
      </c>
    </row>
    <row r="10" customFormat="false" ht="43.5" hidden="false" customHeight="true" outlineLevel="0" collapsed="false">
      <c r="B10" s="16" t="s">
        <v>149</v>
      </c>
      <c r="C10" s="25" t="s">
        <v>150</v>
      </c>
    </row>
    <row r="11" customFormat="false" ht="43.5" hidden="false" customHeight="true" outlineLevel="0" collapsed="false">
      <c r="B11" s="16" t="s">
        <v>151</v>
      </c>
      <c r="C11" s="25" t="s">
        <v>152</v>
      </c>
    </row>
    <row r="13" customFormat="false" ht="15" hidden="false" customHeight="false" outlineLevel="0" collapsed="false">
      <c r="B13" s="18" t="s">
        <v>153</v>
      </c>
    </row>
  </sheetData>
  <hyperlinks>
    <hyperlink ref="C6" r:id="rId1" display="https://eur-lex.europa.eu/eli/reg/2024/1689/oj"/>
    <hyperlink ref="C7" r:id="rId2" display="https://digital-strategy.ec.europa.eu/en/policies/ai-act-standardisation"/>
    <hyperlink ref="C8" r:id="rId3" display="https://www.iso.org/standard/81230.html"/>
    <hyperlink ref="C9" r:id="rId4" display="https://www.nist.gov/itl/ai-risk-management-framework"/>
    <hyperlink ref="C10" r:id="rId5" display="https://genai.owasp.org/llm-top-10/"/>
    <hyperlink ref="C11" r:id="rId6" display="https://simonwillison.net/2025/Jun/16/the-lethal-trifecta/"/>
  </hyperlinks>
  <printOptions headings="false" gridLines="false" gridLinesSet="true" horizontalCentered="fals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7"/>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5" min="1" style="0" width="34"/>
  </cols>
  <sheetData>
    <row r="1" customFormat="false" ht="48" hidden="false" customHeight="true" outlineLevel="0" collapsed="false">
      <c r="B1" s="1" t="s">
        <v>154</v>
      </c>
    </row>
    <row r="2" customFormat="false" ht="18" hidden="false" customHeight="true" outlineLevel="0" collapsed="false">
      <c r="B2" s="2" t="s">
        <v>1</v>
      </c>
    </row>
    <row r="3" customFormat="false" ht="3.75" hidden="false" customHeight="true" outlineLevel="0" collapsed="false">
      <c r="A3" s="3"/>
      <c r="B3" s="3"/>
      <c r="C3" s="3"/>
      <c r="D3" s="3"/>
      <c r="E3" s="3"/>
      <c r="F3" s="3"/>
      <c r="G3" s="3"/>
      <c r="H3" s="3"/>
      <c r="I3" s="3"/>
      <c r="J3" s="3"/>
      <c r="K3" s="3"/>
      <c r="L3" s="3"/>
      <c r="M3" s="3"/>
      <c r="N3" s="3"/>
      <c r="O3" s="3"/>
    </row>
    <row r="5" customFormat="false" ht="15" hidden="false" customHeight="false" outlineLevel="0" collapsed="false">
      <c r="A5" s="7" t="s">
        <v>155</v>
      </c>
      <c r="B5" s="7" t="s">
        <v>156</v>
      </c>
      <c r="C5" s="7" t="s">
        <v>157</v>
      </c>
      <c r="D5" s="7" t="s">
        <v>158</v>
      </c>
      <c r="E5" s="7" t="s">
        <v>46</v>
      </c>
      <c r="F5" s="7" t="s">
        <v>159</v>
      </c>
      <c r="G5" s="7" t="s">
        <v>160</v>
      </c>
      <c r="H5" s="7" t="s">
        <v>161</v>
      </c>
      <c r="I5" s="7" t="s">
        <v>162</v>
      </c>
      <c r="J5" s="7" t="s">
        <v>163</v>
      </c>
      <c r="K5" s="7" t="s">
        <v>164</v>
      </c>
      <c r="L5" s="7" t="s">
        <v>165</v>
      </c>
      <c r="M5" s="7" t="s">
        <v>166</v>
      </c>
      <c r="N5" s="7" t="s">
        <v>99</v>
      </c>
      <c r="O5" s="7" t="s">
        <v>167</v>
      </c>
    </row>
    <row r="6" customFormat="false" ht="15" hidden="false" customHeight="false" outlineLevel="0" collapsed="false">
      <c r="A6" s="26" t="s">
        <v>73</v>
      </c>
      <c r="B6" s="26" t="s">
        <v>73</v>
      </c>
      <c r="C6" s="26" t="s">
        <v>168</v>
      </c>
      <c r="D6" s="26" t="s">
        <v>169</v>
      </c>
      <c r="E6" s="26" t="s">
        <v>170</v>
      </c>
      <c r="F6" s="26" t="s">
        <v>171</v>
      </c>
      <c r="G6" s="26" t="s">
        <v>172</v>
      </c>
      <c r="H6" s="26" t="s">
        <v>173</v>
      </c>
      <c r="I6" s="26" t="s">
        <v>79</v>
      </c>
      <c r="J6" s="26" t="s">
        <v>73</v>
      </c>
      <c r="K6" s="26" t="s">
        <v>106</v>
      </c>
      <c r="L6" s="26" t="s">
        <v>174</v>
      </c>
      <c r="M6" s="26" t="s">
        <v>130</v>
      </c>
      <c r="N6" s="26" t="s">
        <v>116</v>
      </c>
      <c r="O6" s="26" t="s">
        <v>175</v>
      </c>
    </row>
    <row r="7" customFormat="false" ht="15" hidden="false" customHeight="false" outlineLevel="0" collapsed="false">
      <c r="A7" s="26" t="s">
        <v>74</v>
      </c>
      <c r="B7" s="26" t="s">
        <v>81</v>
      </c>
      <c r="C7" s="26" t="s">
        <v>176</v>
      </c>
      <c r="D7" s="26" t="s">
        <v>177</v>
      </c>
      <c r="E7" s="26" t="s">
        <v>178</v>
      </c>
      <c r="F7" s="26" t="s">
        <v>75</v>
      </c>
      <c r="G7" s="26" t="s">
        <v>77</v>
      </c>
      <c r="H7" s="26" t="s">
        <v>179</v>
      </c>
      <c r="I7" s="26" t="s">
        <v>180</v>
      </c>
      <c r="J7" s="26" t="s">
        <v>80</v>
      </c>
      <c r="K7" s="26" t="s">
        <v>181</v>
      </c>
      <c r="L7" s="26" t="s">
        <v>182</v>
      </c>
      <c r="M7" s="26" t="s">
        <v>114</v>
      </c>
      <c r="N7" s="26" t="s">
        <v>183</v>
      </c>
      <c r="O7" s="26" t="s">
        <v>80</v>
      </c>
    </row>
    <row r="8" customFormat="false" ht="15" hidden="false" customHeight="false" outlineLevel="0" collapsed="false">
      <c r="B8" s="26" t="s">
        <v>74</v>
      </c>
      <c r="C8" s="26" t="s">
        <v>184</v>
      </c>
      <c r="D8" s="26" t="s">
        <v>70</v>
      </c>
      <c r="E8" s="26" t="s">
        <v>72</v>
      </c>
      <c r="F8" s="26" t="s">
        <v>185</v>
      </c>
      <c r="G8" s="26" t="s">
        <v>186</v>
      </c>
      <c r="H8" s="26" t="s">
        <v>187</v>
      </c>
      <c r="I8" s="26" t="s">
        <v>188</v>
      </c>
      <c r="J8" s="26" t="s">
        <v>74</v>
      </c>
      <c r="K8" s="26" t="s">
        <v>189</v>
      </c>
      <c r="L8" s="26" t="s">
        <v>190</v>
      </c>
      <c r="M8" s="26" t="s">
        <v>110</v>
      </c>
      <c r="N8" s="26" t="s">
        <v>191</v>
      </c>
      <c r="O8" s="26" t="s">
        <v>192</v>
      </c>
    </row>
    <row r="9" customFormat="false" ht="15" hidden="false" customHeight="false" outlineLevel="0" collapsed="false">
      <c r="C9" s="26" t="s">
        <v>193</v>
      </c>
      <c r="D9" s="26" t="s">
        <v>194</v>
      </c>
      <c r="E9" s="26" t="s">
        <v>195</v>
      </c>
      <c r="G9" s="26" t="s">
        <v>196</v>
      </c>
      <c r="H9" s="26" t="s">
        <v>78</v>
      </c>
      <c r="I9" s="26" t="s">
        <v>197</v>
      </c>
      <c r="K9" s="26" t="s">
        <v>198</v>
      </c>
      <c r="L9" s="26" t="s">
        <v>199</v>
      </c>
      <c r="M9" s="26" t="s">
        <v>115</v>
      </c>
      <c r="N9" s="26" t="s">
        <v>200</v>
      </c>
      <c r="O9" s="26" t="s">
        <v>201</v>
      </c>
    </row>
    <row r="10" customFormat="false" ht="15" hidden="false" customHeight="false" outlineLevel="0" collapsed="false">
      <c r="C10" s="26" t="s">
        <v>69</v>
      </c>
      <c r="D10" s="26" t="s">
        <v>202</v>
      </c>
      <c r="G10" s="26" t="s">
        <v>203</v>
      </c>
      <c r="H10" s="26" t="s">
        <v>204</v>
      </c>
      <c r="I10" s="26" t="s">
        <v>205</v>
      </c>
      <c r="K10" s="26" t="s">
        <v>206</v>
      </c>
      <c r="L10" s="26" t="s">
        <v>207</v>
      </c>
      <c r="M10" s="26" t="s">
        <v>111</v>
      </c>
    </row>
    <row r="11" customFormat="false" ht="15" hidden="false" customHeight="false" outlineLevel="0" collapsed="false">
      <c r="C11" s="26" t="s">
        <v>208</v>
      </c>
      <c r="D11" s="26" t="s">
        <v>209</v>
      </c>
      <c r="G11" s="26" t="s">
        <v>210</v>
      </c>
      <c r="H11" s="26" t="s">
        <v>211</v>
      </c>
      <c r="I11" s="26" t="s">
        <v>212</v>
      </c>
      <c r="K11" s="26" t="s">
        <v>213</v>
      </c>
      <c r="L11" s="26" t="s">
        <v>214</v>
      </c>
    </row>
    <row r="12" customFormat="false" ht="15" hidden="false" customHeight="false" outlineLevel="0" collapsed="false">
      <c r="C12" s="26" t="s">
        <v>215</v>
      </c>
      <c r="G12" s="26" t="s">
        <v>216</v>
      </c>
      <c r="I12" s="26" t="s">
        <v>217</v>
      </c>
      <c r="K12" s="26" t="s">
        <v>218</v>
      </c>
      <c r="L12" s="26" t="s">
        <v>219</v>
      </c>
    </row>
    <row r="13" customFormat="false" ht="15" hidden="false" customHeight="false" outlineLevel="0" collapsed="false">
      <c r="C13" s="26" t="s">
        <v>220</v>
      </c>
      <c r="G13" s="26" t="s">
        <v>211</v>
      </c>
      <c r="I13" s="26" t="s">
        <v>221</v>
      </c>
      <c r="K13" s="26" t="s">
        <v>222</v>
      </c>
      <c r="L13" s="26" t="s">
        <v>113</v>
      </c>
    </row>
    <row r="14" customFormat="false" ht="15" hidden="false" customHeight="false" outlineLevel="0" collapsed="false">
      <c r="I14" s="26" t="s">
        <v>223</v>
      </c>
      <c r="K14" s="26" t="s">
        <v>224</v>
      </c>
      <c r="L14" s="26" t="s">
        <v>225</v>
      </c>
    </row>
    <row r="15" customFormat="false" ht="15" hidden="false" customHeight="false" outlineLevel="0" collapsed="false">
      <c r="K15" s="26" t="s">
        <v>226</v>
      </c>
    </row>
    <row r="16" customFormat="false" ht="15" hidden="false" customHeight="false" outlineLevel="0" collapsed="false">
      <c r="K16" s="26" t="s">
        <v>227</v>
      </c>
    </row>
  </sheetData>
  <printOptions headings="false" gridLines="false" gridLinesSet="true" horizontalCentered="fals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2026-10-27T13:31:10Z</dcterms:created>
  <dc:creator>John Bommeraveni Joseph - GRC Made Simple</dc:creator>
  <dc:description/>
  <dc:language>en-CA</dc:language>
  <cp:lastModifiedBy/>
  <dcterms:modified xsi:type="dcterms:W3CDTF">2026-10-27T13:31:10Z</dcterms:modified>
  <cp:revision>0</cp:revision>
  <dc:subject/>
  <dc:title>AI System Inventory &amp; Risk Register</dc:title>
</cp:coreProperties>
</file>

<file path=docProps/custom.xml><?xml version="1.0" encoding="utf-8"?>
<Properties xmlns="http://schemas.openxmlformats.org/officeDocument/2006/custom-properties" xmlns:vt="http://schemas.openxmlformats.org/officeDocument/2006/docPropsVTypes"/>
</file>