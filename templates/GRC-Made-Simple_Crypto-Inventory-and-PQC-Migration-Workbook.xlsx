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Crypto Inventory" sheetId="3" state="visible" r:id="rId5"/>
    <sheet name="Vendor Tracker" sheetId="4" state="visible" r:id="rId6"/>
    <sheet name="Assumptions" sheetId="5" state="visible" r:id="rId7"/>
    <sheet name="Algorithm Reference" sheetId="6" state="visible" r:id="rId8"/>
    <sheet name="Deadlines &amp; Guidance" sheetId="7" state="visible" r:id="rId9"/>
    <sheet name="Sources" sheetId="8" state="visible" r:id="rId10"/>
    <sheet name="Lists" sheetId="9" state="visible" r:id="rId11"/>
  </sheets>
  <definedNames>
    <definedName function="false" hidden="false" localSheetId="2" name="_xlnm.Print_Titles" vbProcedure="false">'Crypto Inventory'!$5:$5</definedName>
    <definedName function="false" hidden="true" localSheetId="2" name="_xlnm._FilterDatabase" vbProcedure="false">'Crypto Inventory'!$A$5:$AD$205</definedName>
    <definedName function="false" hidden="false" localSheetId="6" name="_xlnm.Print_Titles" vbProcedure="false">'Deadlines &amp; Guidance'!$5:$5</definedName>
    <definedName function="false" hidden="false" localSheetId="3" name="_xlnm.Print_Titles" vbProcedure="false">'Vendor Tracker'!$5:$5</definedName>
    <definedName function="false" hidden="true" localSheetId="3" name="_xlnm._FilterDatabase" vbProcedure="false">'Vendor Tracker'!$A$5:$O$105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<sst xmlns="http://schemas.openxmlformats.org/spreadsheetml/2006/main" count="507" uniqueCount="389">
  <si>
    <t xml:space="preserve">Cryptographic Inventory &amp; PQC Migration Workbook</t>
  </si>
  <si>
    <t xml:space="preserve">By John Bommeraveni Joseph  |  linkedin.com/in/john-bj  |  Free every weekday: GRC Made Simple Daily</t>
  </si>
  <si>
    <t xml:space="preserve">What this is</t>
  </si>
  <si>
    <t xml:space="preserve">A working inventory of where your organisation uses cryptography, which of those uses a large quantum computer could break, and the plan to move each one to the NIST post-quantum standards (FIPS 203 ML-KEM, FIPS 204 ML-DSA, FIPS 205 SLH-DSA). It applies Mosca's test (X + Y &gt; Z) row by row, flags harvest-now-decrypt-later exposure, scores priority, and tracks the vendors you depend on. Built for CISOs, GRC teams and internal audit.</t>
  </si>
  <si>
    <t xml:space="preserve">How to use it (half a day for a first pass on your top 20 systems)</t>
  </si>
  <si>
    <t xml:space="preserve">1. Assumptions: record your planning value Z (years until a cryptographically relevant quantum computer), who approved it and when. It is blank on purpose - nobody knows Z. Until you set it, the Mosca test says 'Set Z'.</t>
  </si>
  <si>
    <t xml:space="preserve">2. Crypto Inventory: one row per system AND use of cryptography. A web portal with TLS to customers and RSA code signing is two rows. Start with internet-facing systems, long-lived confidential data and your PKI.</t>
  </si>
  <si>
    <t xml:space="preserve">3. For each row set X (years the data must stay confidential) and Y (years you estimate the migration will take, including vendor lead time, testing and change windows). Be honest about Y - it is usually longer than hoped.</t>
  </si>
  <si>
    <t xml:space="preserve">4. Fill the yellow cells using the drop-downs. Grey cells are formulas - do not type in them. If you do not know the algorithm, pick Unknown: the workbook treats it as quantum-vulnerable until proven otherwise.</t>
  </si>
  <si>
    <t xml:space="preserve">5. Read the Flags column, then sort by Priority score. The score and its weights are explained on the Assumptions tab and can be tuned to your risk methodology.</t>
  </si>
  <si>
    <t xml:space="preserve">6. Vendor Tracker: ask every supplier in your crypto path for a PQC roadmap with a date, in writing. A verbal 'it is on the roadmap' is recorded as such and keeps the flag red.</t>
  </si>
  <si>
    <t xml:space="preserve">7. Dashboard: the summary for your risk committee. Deadlines &amp; Guidance lists the dates regulators have published, each with its source - check the current text before relying on any of them.</t>
  </si>
  <si>
    <t xml:space="preserve">How the key columns work</t>
  </si>
  <si>
    <t xml:space="preserve">Quantum-vulnerable?  Looked up from the Algorithm Reference tab: RSA, ECDSA, ECDH, X25519, Ed25519 and DH = Yes; AES, SHA-2 = No; ML-KEM, ML-DSA, SLH-DSA and hybrids = No; Unknown or blank = 'Unknown - investigate'.</t>
  </si>
  <si>
    <t xml:space="preserve">Mosca test  Data is at risk when X + Y &gt; Z: the time it must stay secret plus the time it takes you to migrate is longer than the time until a CRQC exists (described in NIST IR 8547, Sec. 3).</t>
  </si>
  <si>
    <t xml:space="preserve">Harvest now, decrypt later (HNDL)  'Yes' when the algorithm is quantum-vulnerable (or unknown), it protects keys or data in transit, and the data needs confidentiality (X &gt; 0 or Confidential/Restricted). Signatures are not HNDL: a forged signature needs the quantum computer at the time of the attack, so they are prioritised by the dates instead.</t>
  </si>
  <si>
    <t xml:space="preserve">Legend</t>
  </si>
  <si>
    <t xml:space="preserve">Yellow cell = your input.   Grey cell = calculated.   Row 6 on each register is a worked example - overwrite or delete it.   Red = needs action.</t>
  </si>
  <si>
    <t xml:space="preserve">Important</t>
  </si>
  <si>
    <t xml:space="preserve">This template supports, and does not replace, legal advice or the text of the standards and policies it cites. Every date on the Deadlines &amp; Guidance tab was checked against the source document on 27 October 2026; documents change (NIST IR 8547 was finalised in October 2026 and replaced its 2024 draft). Most dates bind US federal agencies, UK or EU public bodies - for everyone else they are the market's direction of travel, not your legal deadline. Algorithm notes summarise the cited NIST and IETF documents; use the documents themselves for implementation.</t>
  </si>
  <si>
    <t xml:space="preserve">Version 1.0 - 27 October 2026.   Free to use and share with this credit kept.</t>
  </si>
  <si>
    <t xml:space="preserve">PQC Migration Dashboard</t>
  </si>
  <si>
    <t xml:space="preserve">Measure</t>
  </si>
  <si>
    <t xml:space="preserve">Count</t>
  </si>
  <si>
    <t xml:space="preserve">Protocol / use</t>
  </si>
  <si>
    <t xml:space="preserve">Uses</t>
  </si>
  <si>
    <t xml:space="preserve">Vulnerable or unknown</t>
  </si>
  <si>
    <t xml:space="preserve">Mosca at risk</t>
  </si>
  <si>
    <t xml:space="preserve">Cryptographic uses inventoried</t>
  </si>
  <si>
    <t xml:space="preserve">TLS</t>
  </si>
  <si>
    <t xml:space="preserve">Distinct systems (by name)</t>
  </si>
  <si>
    <t xml:space="preserve">SSH</t>
  </si>
  <si>
    <t xml:space="preserve">Quantum-vulnerable uses</t>
  </si>
  <si>
    <t xml:space="preserve">IPsec / VPN</t>
  </si>
  <si>
    <t xml:space="preserve">Unknown algorithms (investigate)</t>
  </si>
  <si>
    <t xml:space="preserve">Code signing</t>
  </si>
  <si>
    <t xml:space="preserve">Internet-facing and quantum-vulnerable (or unknown)</t>
  </si>
  <si>
    <t xml:space="preserve">Document signing</t>
  </si>
  <si>
    <t xml:space="preserve">Mosca test at risk (X + Y &gt; Z)</t>
  </si>
  <si>
    <t xml:space="preserve">PKI / CA</t>
  </si>
  <si>
    <t xml:space="preserve">Mosca test not yet possible (X, Y or Z missing)</t>
  </si>
  <si>
    <t xml:space="preserve">Database / disk encryption</t>
  </si>
  <si>
    <t xml:space="preserve">Harvest-now-decrypt-later exposure</t>
  </si>
  <si>
    <t xml:space="preserve">HSM</t>
  </si>
  <si>
    <t xml:space="preserve">High priority uses</t>
  </si>
  <si>
    <t xml:space="preserve">API tokens (JWT, OAuth)</t>
  </si>
  <si>
    <t xml:space="preserve">Vulnerable uses with no target algorithm chosen</t>
  </si>
  <si>
    <t xml:space="preserve">S/MIME</t>
  </si>
  <si>
    <t xml:space="preserve">Migrations overdue</t>
  </si>
  <si>
    <t xml:space="preserve">Other</t>
  </si>
  <si>
    <t xml:space="preserve">Certificates / keys expiring within the warning window</t>
  </si>
  <si>
    <t xml:space="preserve">Total</t>
  </si>
  <si>
    <t xml:space="preserve">Uses with hybrid or PQC deployed</t>
  </si>
  <si>
    <t xml:space="preserve">Rows with no protocol chosen are not in this table.</t>
  </si>
  <si>
    <t xml:space="preserve">Share of vulnerable or unknown uses migrated (hybrid or PQC)</t>
  </si>
  <si>
    <t xml:space="preserve">Vendors tracked</t>
  </si>
  <si>
    <t xml:space="preserve">Vendors without a written PQC roadmap</t>
  </si>
  <si>
    <t xml:space="preserve">Vendor follow-ups overdue</t>
  </si>
  <si>
    <t xml:space="preserve">Planning value Z (years to a CRQC) - from Assumptions</t>
  </si>
  <si>
    <t xml:space="preserve">Z approved by</t>
  </si>
  <si>
    <t xml:space="preserve">Red = needs action. The worked examples in row 6 of each register are counted until you delete them. Share migrated counts uses marked 'Hybrid deployed' or 'PQC deployed'.</t>
  </si>
  <si>
    <t xml:space="preserve">Crypto Inventory</t>
  </si>
  <si>
    <t xml:space="preserve">ID</t>
  </si>
  <si>
    <t xml:space="preserve">System / application</t>
  </si>
  <si>
    <t xml:space="preserve">Business owner</t>
  </si>
  <si>
    <t xml:space="preserve">Technical owner</t>
  </si>
  <si>
    <t xml:space="preserve">Environment</t>
  </si>
  <si>
    <t xml:space="preserve">Internet-facing?</t>
  </si>
  <si>
    <t xml:space="preserve">Data classification</t>
  </si>
  <si>
    <t xml:space="preserve">Crypto function</t>
  </si>
  <si>
    <t xml:space="preserve">Algorithm</t>
  </si>
  <si>
    <t xml:space="preserve">Key size / parameter set</t>
  </si>
  <si>
    <t xml:space="preserve">Library / HSM / vendor product</t>
  </si>
  <si>
    <t xml:space="preserve">Certificate / key expiry</t>
  </si>
  <si>
    <t xml:space="preserve">Vendor PQC roadmap status</t>
  </si>
  <si>
    <t xml:space="preserve">X - years data must stay confidential</t>
  </si>
  <si>
    <t xml:space="preserve">Y - estimated migration effort (years)</t>
  </si>
  <si>
    <t xml:space="preserve">Algorithm family</t>
  </si>
  <si>
    <t xml:space="preserve">Quantum-vulnerable?</t>
  </si>
  <si>
    <t xml:space="preserve">X + Y</t>
  </si>
  <si>
    <t xml:space="preserve">Mosca test (X + Y vs Z)</t>
  </si>
  <si>
    <t xml:space="preserve">Suggested NIST target</t>
  </si>
  <si>
    <t xml:space="preserve">Target algorithm (chosen)</t>
  </si>
  <si>
    <t xml:space="preserve">Priority score (0-100)</t>
  </si>
  <si>
    <t xml:space="preserve">Priority band</t>
  </si>
  <si>
    <t xml:space="preserve">Migration owner</t>
  </si>
  <si>
    <t xml:space="preserve">Target date</t>
  </si>
  <si>
    <t xml:space="preserve">Status</t>
  </si>
  <si>
    <t xml:space="preserve">Overdue?</t>
  </si>
  <si>
    <t xml:space="preserve">Flags</t>
  </si>
  <si>
    <t xml:space="preserve">INV-001</t>
  </si>
  <si>
    <t xml:space="preserve">Customer web portal</t>
  </si>
  <si>
    <t xml:space="preserve">Head of Digital</t>
  </si>
  <si>
    <t xml:space="preserve">Platform Engineering Lead</t>
  </si>
  <si>
    <t xml:space="preserve">Production</t>
  </si>
  <si>
    <t xml:space="preserve">Yes</t>
  </si>
  <si>
    <t xml:space="preserve">Confidential</t>
  </si>
  <si>
    <t xml:space="preserve">Key establishment / encryption in transit</t>
  </si>
  <si>
    <t xml:space="preserve">X25519</t>
  </si>
  <si>
    <t xml:space="preserve">Curve25519</t>
  </si>
  <si>
    <t xml:space="preserve">Example: load balancer TLS stack (vendor appliance)</t>
  </si>
  <si>
    <t xml:space="preserve">Roadmap date in writing</t>
  </si>
  <si>
    <t xml:space="preserve">Hybrid X25519MLKEM768 (RFC 10024)</t>
  </si>
  <si>
    <t xml:space="preserve">Network Security Lead</t>
  </si>
  <si>
    <t xml:space="preserve">Planned</t>
  </si>
  <si>
    <t xml:space="preserve">Vendor PQC Tracker</t>
  </si>
  <si>
    <t xml:space="preserve">Vendor ID</t>
  </si>
  <si>
    <t xml:space="preserve">Vendor</t>
  </si>
  <si>
    <t xml:space="preserve">Product / service</t>
  </si>
  <si>
    <t xml:space="preserve">Inventory IDs that depend on it</t>
  </si>
  <si>
    <t xml:space="preserve">Crypto the vendor controls (protocols, algorithms, keys)</t>
  </si>
  <si>
    <t xml:space="preserve">PQC support today</t>
  </si>
  <si>
    <t xml:space="preserve">Roadmap date the vendor gave</t>
  </si>
  <si>
    <t xml:space="preserve">Roadmap date in writing?</t>
  </si>
  <si>
    <t xml:space="preserve">Evidence (document, link, ticket)</t>
  </si>
  <si>
    <t xml:space="preserve">Date last asked</t>
  </si>
  <si>
    <t xml:space="preserve">Next follow-up date</t>
  </si>
  <si>
    <t xml:space="preserve">Owner</t>
  </si>
  <si>
    <t xml:space="preserve">Follow-up overdue?</t>
  </si>
  <si>
    <t xml:space="preserve">V-001</t>
  </si>
  <si>
    <t xml:space="preserve">Example load balancer vendor</t>
  </si>
  <si>
    <t xml:space="preserve">Application delivery controller (TLS termination)</t>
  </si>
  <si>
    <t xml:space="preserve">TLS key exchange and server certificates</t>
  </si>
  <si>
    <t xml:space="preserve">Hybrid available now</t>
  </si>
  <si>
    <t xml:space="preserve">Vendor PQC statement saved to evidence folder</t>
  </si>
  <si>
    <t xml:space="preserve">Third-Party Risk Lead</t>
  </si>
  <si>
    <t xml:space="preserve">Open</t>
  </si>
  <si>
    <t xml:space="preserve">Assumptions (set these before you trust the scores)</t>
  </si>
  <si>
    <t xml:space="preserve">Planning assumption</t>
  </si>
  <si>
    <t xml:space="preserve">Your value</t>
  </si>
  <si>
    <t xml:space="preserve">Guidance</t>
  </si>
  <si>
    <t xml:space="preserve">Z - planning value: years from today until a cryptographically relevant quantum computer (CRQC)</t>
  </si>
  <si>
    <t xml:space="preserve">Nobody knows Z. Published expert estimates vary widely and change. Pick the value your organisation will plan on, write down why, and get it approved by the risk owner (CISO or risk committee). A smaller Z is more cautious.</t>
  </si>
  <si>
    <t xml:space="preserve">Date Z was set</t>
  </si>
  <si>
    <t xml:space="preserve">Z counts from this date. Revisit it at least yearly and when credible new evidence appears.</t>
  </si>
  <si>
    <t xml:space="preserve">Approved by (name and role)</t>
  </si>
  <si>
    <t xml:space="preserve">An unapproved Z is a personal opinion, not a planning assumption. Auditors will ask.</t>
  </si>
  <si>
    <t xml:space="preserve">Rationale and sources considered</t>
  </si>
  <si>
    <t xml:space="preserve">For example: regulator timelines on the Deadlines tab, expert surveys, vendor advice.</t>
  </si>
  <si>
    <t xml:space="preserve">Next review date</t>
  </si>
  <si>
    <t xml:space="preserve">Put this in the risk committee calendar.</t>
  </si>
  <si>
    <t xml:space="preserve">Priority score weights (maximum score 100)</t>
  </si>
  <si>
    <t xml:space="preserve">Points</t>
  </si>
  <si>
    <t xml:space="preserve">Added when...</t>
  </si>
  <si>
    <t xml:space="preserve">Mosca test at risk</t>
  </si>
  <si>
    <t xml:space="preserve">X + Y &gt; Z on the row.</t>
  </si>
  <si>
    <t xml:space="preserve">The HNDL column starts with 'Yes'.</t>
  </si>
  <si>
    <t xml:space="preserve">Internet-facing</t>
  </si>
  <si>
    <t xml:space="preserve">Internet-facing = Yes.</t>
  </si>
  <si>
    <t xml:space="preserve">Data classification: Restricted</t>
  </si>
  <si>
    <t xml:space="preserve">Classification = Restricted (only one classification weight applies).</t>
  </si>
  <si>
    <t xml:space="preserve">Data classification: Confidential</t>
  </si>
  <si>
    <t xml:space="preserve">Classification = Confidential.</t>
  </si>
  <si>
    <t xml:space="preserve">Data classification: Internal</t>
  </si>
  <si>
    <t xml:space="preserve">Classification = Internal.</t>
  </si>
  <si>
    <t xml:space="preserve">Vendor has no written PQC roadmap</t>
  </si>
  <si>
    <t xml:space="preserve">Vendor roadmap is 'Roadmap - verbal only', 'No roadmap', 'Not asked yet' or blank.</t>
  </si>
  <si>
    <t xml:space="preserve">Production environment</t>
  </si>
  <si>
    <t xml:space="preserve">Environment = Production.</t>
  </si>
  <si>
    <t xml:space="preserve">Long migration effort</t>
  </si>
  <si>
    <t xml:space="preserve">Y is at or above the threshold below.</t>
  </si>
  <si>
    <t xml:space="preserve">Long migration effort threshold (years)</t>
  </si>
  <si>
    <t xml:space="preserve">Threshold for the weight above.</t>
  </si>
  <si>
    <t xml:space="preserve">Band: High at or above</t>
  </si>
  <si>
    <t xml:space="preserve">Score bands. A row that is not quantum-vulnerable scores 0 and is banded 'None'.</t>
  </si>
  <si>
    <t xml:space="preserve">Band: Medium at or above</t>
  </si>
  <si>
    <t xml:space="preserve">Below this the band is Low.</t>
  </si>
  <si>
    <t xml:space="preserve">Expiry warning window (days)</t>
  </si>
  <si>
    <t xml:space="preserve">Certificates or keys expiring within this many days are flagged on the inventory.</t>
  </si>
  <si>
    <t xml:space="preserve">Check: maximum possible score (should be 100)</t>
  </si>
  <si>
    <t xml:space="preserve">Priority score = 0 if the algorithm is not quantum-vulnerable; otherwise the sum of the weights whose condition is true. Unknown algorithms are scored as vulnerable. The score ranks work - it is not a risk rating on its own. Align the weights with your enterprise risk methodology and record that decision.</t>
  </si>
  <si>
    <t xml:space="preserve">Algorithm Reference (drives the 'Quantum-vulnerable?' column)</t>
  </si>
  <si>
    <t xml:space="preserve">Algorithm (as in the drop-down)</t>
  </si>
  <si>
    <t xml:space="preserve">Family</t>
  </si>
  <si>
    <t xml:space="preserve">Type</t>
  </si>
  <si>
    <t xml:space="preserve">Basis (see Sources)</t>
  </si>
  <si>
    <t xml:space="preserve">RSA-2048</t>
  </si>
  <si>
    <t xml:space="preserve">RSA</t>
  </si>
  <si>
    <t xml:space="preserve">Public key - signature or key transport</t>
  </si>
  <si>
    <t xml:space="preserve">Broken by Shor's algorithm on a CRQC. NIST IR 8547: RSA deprecated after 2030, disallowed after 2035.</t>
  </si>
  <si>
    <t xml:space="preserve">RSA-3072</t>
  </si>
  <si>
    <t xml:space="preserve">A larger key does not help against a CRQC. NIST IR 8547: deprecated after 2030, disallowed after 2035.</t>
  </si>
  <si>
    <t xml:space="preserve">RSA-4096</t>
  </si>
  <si>
    <t xml:space="preserve">ECDSA P-256</t>
  </si>
  <si>
    <t xml:space="preserve">ECDSA</t>
  </si>
  <si>
    <t xml:space="preserve">Public key - signature</t>
  </si>
  <si>
    <t xml:space="preserve">NIST IR 8547 Table 2: ECDSA deprecated after 2030, disallowed after 2035.</t>
  </si>
  <si>
    <t xml:space="preserve">ECDSA P-384</t>
  </si>
  <si>
    <t xml:space="preserve">ECDH (P-256 / P-384)</t>
  </si>
  <si>
    <t xml:space="preserve">ECDH</t>
  </si>
  <si>
    <t xml:space="preserve">Public key - key establishment</t>
  </si>
  <si>
    <t xml:space="preserve">NIST IR 8547 Table 4: elliptic-curve DH and MQV deprecated after 2030, disallowed after 2035.</t>
  </si>
  <si>
    <t xml:space="preserve">Elliptic-curve Diffie-Hellman over Curve25519 - quantum-vulnerable for the same reason as ECDH.</t>
  </si>
  <si>
    <t xml:space="preserve">Ed25519</t>
  </si>
  <si>
    <t xml:space="preserve">EdDSA</t>
  </si>
  <si>
    <t xml:space="preserve">NIST IR 8547 Table 2: EdDSA deprecated after 2030, disallowed after 2035.</t>
  </si>
  <si>
    <t xml:space="preserve">DH (finite field)</t>
  </si>
  <si>
    <t xml:space="preserve">DH</t>
  </si>
  <si>
    <t xml:space="preserve">NIST IR 8547 Table 4: finite-field DH and MQV deprecated after 2030, disallowed after 2035.</t>
  </si>
  <si>
    <t xml:space="preserve">AES-128</t>
  </si>
  <si>
    <t xml:space="preserve">AES</t>
  </si>
  <si>
    <t xml:space="preserve">Symmetric encryption</t>
  </si>
  <si>
    <t xml:space="preserve">No</t>
  </si>
  <si>
    <t xml:space="preserve">Not broken by Shor's algorithm. NIST IR 8547 Table 6 places AES-128 in security category 1.</t>
  </si>
  <si>
    <t xml:space="preserve">AES-256</t>
  </si>
  <si>
    <t xml:space="preserve">Not broken by Shor's algorithm. NIST IR 8547 Table 6 places AES-256 in security category 5.</t>
  </si>
  <si>
    <t xml:space="preserve">SHA-256</t>
  </si>
  <si>
    <t xml:space="preserve">SHA-2</t>
  </si>
  <si>
    <t xml:space="preserve">Hash</t>
  </si>
  <si>
    <t xml:space="preserve">Not broken by Shor's algorithm (NIST IR 8547 Sec. 4.1.3 on symmetric primitives and hashes).</t>
  </si>
  <si>
    <t xml:space="preserve">SHA-384</t>
  </si>
  <si>
    <t xml:space="preserve">SHA-1 (legacy)</t>
  </si>
  <si>
    <t xml:space="preserve">SHA-1</t>
  </si>
  <si>
    <t xml:space="preserve">Not a quantum issue, but NIST IR 8547 notes SHA-1 is deprecated and disallowed in FIPS-validated modules after 2030. Replace.</t>
  </si>
  <si>
    <t xml:space="preserve">ML-KEM-512</t>
  </si>
  <si>
    <t xml:space="preserve">ML-KEM</t>
  </si>
  <si>
    <t xml:space="preserve">Post-quantum - key establishment</t>
  </si>
  <si>
    <t xml:space="preserve">FIPS 203. Security category 1 (NIST IR 8547 Table 5).</t>
  </si>
  <si>
    <t xml:space="preserve">ML-KEM-768</t>
  </si>
  <si>
    <t xml:space="preserve">FIPS 203. NIST IR 8547 recommends ML-KEM-768 as the default parameter set.</t>
  </si>
  <si>
    <t xml:space="preserve">ML-KEM-1024</t>
  </si>
  <si>
    <t xml:space="preserve">FIPS 203. Security category 5 (NIST IR 8547 Table 5).</t>
  </si>
  <si>
    <t xml:space="preserve">ML-DSA-44</t>
  </si>
  <si>
    <t xml:space="preserve">ML-DSA</t>
  </si>
  <si>
    <t xml:space="preserve">Post-quantum - signature</t>
  </si>
  <si>
    <t xml:space="preserve">FIPS 204. See NIST IR 8547 Table 3 for its security category note.</t>
  </si>
  <si>
    <t xml:space="preserve">ML-DSA-65</t>
  </si>
  <si>
    <t xml:space="preserve">FIPS 204. Security category 3 (NIST IR 8547 Table 3).</t>
  </si>
  <si>
    <t xml:space="preserve">ML-DSA-87</t>
  </si>
  <si>
    <t xml:space="preserve">FIPS 204. Security category 5 (NIST IR 8547 Table 3).</t>
  </si>
  <si>
    <t xml:space="preserve">SLH-DSA</t>
  </si>
  <si>
    <t xml:space="preserve">Post-quantum - signature (hash-based)</t>
  </si>
  <si>
    <t xml:space="preserve">FIPS 205. Stateless hash-based; NIST describes it as a backup should ML-DSA prove vulnerable.</t>
  </si>
  <si>
    <t xml:space="preserve">LMS / XMSS (stateful hash-based)</t>
  </si>
  <si>
    <t xml:space="preserve">LMS/XMSS</t>
  </si>
  <si>
    <t xml:space="preserve">NIST SP 800-208, listed in NIST IR 8547 Table 3. Stateful: the signer must never reuse a state.</t>
  </si>
  <si>
    <t xml:space="preserve">Hybrid X25519MLKEM768</t>
  </si>
  <si>
    <t xml:space="preserve">Hybrid</t>
  </si>
  <si>
    <t xml:space="preserve">Hybrid key establishment (TLS 1.3)</t>
  </si>
  <si>
    <t xml:space="preserve">IETF RFC 10024 (August 2026). Combines ECDHE with ML-KEM: safe while the ML-KEM part holds.</t>
  </si>
  <si>
    <t xml:space="preserve">Hybrid SecP256r1MLKEM768</t>
  </si>
  <si>
    <t xml:space="preserve">IETF RFC 10024 (August 2026).</t>
  </si>
  <si>
    <t xml:space="preserve">Hybrid SecP384r1MLKEM1024</t>
  </si>
  <si>
    <t xml:space="preserve">Unknown</t>
  </si>
  <si>
    <t xml:space="preserve">Unknown - investigate</t>
  </si>
  <si>
    <t xml:space="preserve">Treated as quantum-vulnerable for the Mosca test and HNDL flag until proven otherwise.</t>
  </si>
  <si>
    <t xml:space="preserve">Yellow rows: add your own algorithms (for example a vendor-specific scheme). They appear in the inventory drop-down. Use exactly 'Yes', 'No' or 'Unknown - investigate' in the vulnerability column.</t>
  </si>
  <si>
    <t xml:space="preserve">Published PQC deadlines and guidance (verified 27 October 2026)</t>
  </si>
  <si>
    <t xml:space="preserve">Body / jurisdiction</t>
  </si>
  <si>
    <t xml:space="preserve">Document</t>
  </si>
  <si>
    <t xml:space="preserve">Date or milestone</t>
  </si>
  <si>
    <t xml:space="preserve">What it says (paraphrased)</t>
  </si>
  <si>
    <t xml:space="preserve">Who it binds</t>
  </si>
  <si>
    <t xml:space="preserve">Source (fetched 27 October 2026)</t>
  </si>
  <si>
    <t xml:space="preserve">Check current text</t>
  </si>
  <si>
    <t xml:space="preserve">NIST (US)</t>
  </si>
  <si>
    <t xml:space="preserve">FIPS 203, FIPS 204, FIPS 205</t>
  </si>
  <si>
    <t xml:space="preserve">Published 13 August 2024</t>
  </si>
  <si>
    <t xml:space="preserve">First three finalised post-quantum standards: FIPS 203 ML-KEM (key encapsulation), FIPS 204 ML-DSA (signatures), FIPS 205 SLH-DSA (hash-based signatures, a backup to ML-DSA).</t>
  </si>
  <si>
    <t xml:space="preserve">Standards - voluntary outside US federal use</t>
  </si>
  <si>
    <t xml:space="preserve">https://www.nist.gov/news-events/news/2024/08/nist-releases-first-3-finalized-post-quantum-encryption-standards</t>
  </si>
  <si>
    <t xml:space="preserve">Check for revisions and new FIPS (NIST has selected HQC as an additional KEM).</t>
  </si>
  <si>
    <t xml:space="preserve">NIST IR 8547 (final), Transition to Post-Quantum Cryptography Standards</t>
  </si>
  <si>
    <t xml:space="preserve">Deprecated after 2030; disallowed after 2035</t>
  </si>
  <si>
    <t xml:space="preserve">Quantum-vulnerable public-key algorithms (RSA, ECDSA, EdDSA, finite-field and elliptic-curve DH/MQV) are deprecated after 2030 and disallowed under NIST standards and guidelines after 2035. The 2030-2035 window is for lower-risk and legacy systems; it does not relax the earlier federal deadlines below.</t>
  </si>
  <si>
    <t xml:space="preserve">US federal use of NIST standards; widely followed</t>
  </si>
  <si>
    <t xml:space="preserve">https://csrc.nist.gov/pubs/ir/8547/final</t>
  </si>
  <si>
    <t xml:space="preserve">Final published October 2026 (CSRC lists 27 Oct 2026). It replaced the November 2024 draft - do not cite the draft.</t>
  </si>
  <si>
    <t xml:space="preserve">NIST IR 8547 (final)</t>
  </si>
  <si>
    <t xml:space="preserve">After 2030 (SHA-1); 2030 (112-bit symmetric)</t>
  </si>
  <si>
    <t xml:space="preserve">SHA-1 is deprecated and will be disallowed in FIPS-validated cryptographic modules after 2030. NIST symmetric standards at the 112-bit security level will be disallowed in 2030. Recommends ML-KEM-768 as the default ML-KEM parameter set.</t>
  </si>
  <si>
    <t xml:space="preserve">US federal use of NIST standards</t>
  </si>
  <si>
    <t xml:space="preserve">See SP 800-131A (revision in progress) for the formal transition rules.</t>
  </si>
  <si>
    <t xml:space="preserve">US President</t>
  </si>
  <si>
    <t xml:space="preserve">Executive Order 14412, Securing the Nation Against Advanced Cryptographic Attacks</t>
  </si>
  <si>
    <t xml:space="preserve">Key establishment: 31 Dec 2030.  Signatures: 31 Dec 2031</t>
  </si>
  <si>
    <t xml:space="preserve">Signed 22 June 2026 (91 FR 38483, 25 June 2026). Sec. 4(b): OMB guidance requires agencies to move all High Value Assets and high impact systems to PQC for key establishment by 31 December 2030 and for digital signatures by 31 December 2031. National Security Systems are excluded.</t>
  </si>
  <si>
    <t xml:space="preserve">US federal agencies (not National Security Systems)</t>
  </si>
  <si>
    <t xml:space="preserve">https://www.federalregister.gov/d/2026-12909</t>
  </si>
  <si>
    <t xml:space="preserve">Check OMB and agency implementation guidance for changes.</t>
  </si>
  <si>
    <t xml:space="preserve">Executive Order 14412, Sec. 6(c)</t>
  </si>
  <si>
    <t xml:space="preserve">Proposed rule within 180 days of 22 Jun 2026; compliance by 31 Dec 2030</t>
  </si>
  <si>
    <t xml:space="preserve">The FAR Council must publish a proposed rule requiring covered contractors to comply by 31 December 2030 with NIST FIPS, including the FIPS that incorporate PQC algorithms.</t>
  </si>
  <si>
    <t xml:space="preserve">US federal contractors (once a FAR rule is final)</t>
  </si>
  <si>
    <t xml:space="preserve">A proposed rule is not law - check whether the FAR rule has been published and finalised.</t>
  </si>
  <si>
    <t xml:space="preserve">Executive Order 14412, Sec. 5(d)</t>
  </si>
  <si>
    <t xml:space="preserve">Within 270 days of 22 Jun 2026</t>
  </si>
  <si>
    <t xml:space="preserve">CISA, with NIST, must publish guidance on the minimum elements of a cryptographic bill of materials (CBOM) so products' cryptography can be assessed automatically.</t>
  </si>
  <si>
    <t xml:space="preserve">Guidance - expect it in procurement</t>
  </si>
  <si>
    <t xml:space="preserve">Check CISA for the published CBOM guidance and align your inventory fields to it.</t>
  </si>
  <si>
    <t xml:space="preserve">US OMB</t>
  </si>
  <si>
    <t xml:space="preserve">Memorandum M-26-15, Execution of the Migration to Post-Quantum Cryptography (24 June 2026)</t>
  </si>
  <si>
    <t xml:space="preserve">Plan within 120 days; 2026-27 / 2027-28 / 2028-30 / 2031 / 2035</t>
  </si>
  <si>
    <t xml:space="preserve">Objective: mitigate as much quantum risk as feasible by 31 December 2030. Agencies submit a PQC migration plan within 120 days of the memo. Phases: discovery 2026-2027; pilots 2027-2028; prioritised key-establishment migration 2028-2030; signature migration 2031; full migration 2035. Systems that cannot support PQC or hybrid go first for replacement.</t>
  </si>
  <si>
    <t xml:space="preserve">https://www.whitehouse.gov/wp-content/uploads/2026/06/M-26-15-Execution-of-the-Migration-to-Post-Quantum-Cryptography.pdf</t>
  </si>
  <si>
    <t xml:space="preserve">Check for successor memoranda.</t>
  </si>
  <si>
    <t xml:space="preserve">Memorandum M-26-15, Sec. 4 (with EO 14306)</t>
  </si>
  <si>
    <t xml:space="preserve">Not later than 2 January 2030</t>
  </si>
  <si>
    <t xml:space="preserve">Agencies must support TLS 1.3 (or a successor) as soon as practicable and not later than 2 January 2030 - TLS 1.3 is the foundation for hybrid PQC key exchange.</t>
  </si>
  <si>
    <t xml:space="preserve">US federal agencies</t>
  </si>
  <si>
    <t xml:space="preserve">A useful benchmark for any organisation still on TLS 1.2.</t>
  </si>
  <si>
    <t xml:space="preserve">UK NCSC</t>
  </si>
  <si>
    <t xml:space="preserve">Timelines for migration to post-quantum cryptography (20 March 2025)</t>
  </si>
  <si>
    <t xml:space="preserve">2028 / 2031 / 2035</t>
  </si>
  <si>
    <t xml:space="preserve">By 2028: complete discovery and assessment, define migration goals and an initial plan, and tell suppliers what you need. By 2031: complete highest-priority migrations and prepare infrastructure. By 2035: complete migration to PQC.</t>
  </si>
  <si>
    <t xml:space="preserve">Guidance for UK organisations</t>
  </si>
  <si>
    <t xml:space="preserve">https://www.ncsc.gov.uk/guidance/pqc-migration-timelines</t>
  </si>
  <si>
    <t xml:space="preserve">The page shows a later modified date (August 2026) - re-read before citing.</t>
  </si>
  <si>
    <t xml:space="preserve">EU Member States</t>
  </si>
  <si>
    <t xml:space="preserve">A Coordinated Implementation Roadmap for the Transition to PQC, v1.1 (11 June 2025)</t>
  </si>
  <si>
    <t xml:space="preserve">31 Dec 2026 / 31 Dec 2030 / 31 Dec 2035</t>
  </si>
  <si>
    <t xml:space="preserve">By end-2026: first steps done, initial national roadmaps, planning and pilots for high- and medium-risk use cases started. By end-2030: high-risk use cases migrated; quantum-safe software and firmware upgrades enabled by default. By end-2035: medium-risk use cases migrated and low-risk as far as feasible.</t>
  </si>
  <si>
    <t xml:space="preserve">Recommendation to EU Member States</t>
  </si>
  <si>
    <t xml:space="preserve">https://digital-strategy.ec.europa.eu/en/library/coordinated-implementation-roadmap-transition-post-quantum-cryptography</t>
  </si>
  <si>
    <t xml:space="preserve">An FAQ from the NIS Cooperation Group (15 April 2026) is on the same page - check both.</t>
  </si>
  <si>
    <t xml:space="preserve">Only dates confirmed in the source document are listed. Dates for US agencies, UK guidance and EU Member States are not automatically your legal deadline - but your regulators, customers and suppliers will plan against them. Re-verify every row before a board paper or audit.</t>
  </si>
  <si>
    <t xml:space="preserve">Sources and further reading</t>
  </si>
  <si>
    <t xml:space="preserve">Source</t>
  </si>
  <si>
    <t xml:space="preserve">Link</t>
  </si>
  <si>
    <t xml:space="preserve">NIST news release, 13 August 2024: first three finalised post-quantum encryption standards (FIPS 203, 204, 205)</t>
  </si>
  <si>
    <t xml:space="preserve">NIST FIPS 203 - Module-Lattice-Based Key-Encapsulation Mechanism Standard (ML-KEM)</t>
  </si>
  <si>
    <t xml:space="preserve">https://csrc.nist.gov/pubs/fips/203/final</t>
  </si>
  <si>
    <t xml:space="preserve">NIST FIPS 204 - Module-Lattice-Based Digital Signature Standard (ML-DSA)</t>
  </si>
  <si>
    <t xml:space="preserve">https://csrc.nist.gov/pubs/fips/204/final</t>
  </si>
  <si>
    <t xml:space="preserve">NIST FIPS 205 - Stateless Hash-Based Digital Signature Standard (SLH-DSA)</t>
  </si>
  <si>
    <t xml:space="preserve">https://csrc.nist.gov/pubs/fips/205/final</t>
  </si>
  <si>
    <t xml:space="preserve">NIST IR 8547 (final, October 2026) - Transition to Post-Quantum Cryptography Standards: deprecation/disallowance tables, Mosca's theorem (Sec. 3), ML-KEM-768 default</t>
  </si>
  <si>
    <t xml:space="preserve">Executive Order 14412 - Securing the Nation Against Advanced Cryptographic Attacks (Federal Register 2026-12909, 91 FR 38483)</t>
  </si>
  <si>
    <t xml:space="preserve">Executive Order 14412 - GovInfo record DCPD-202600417</t>
  </si>
  <si>
    <t xml:space="preserve">https://www.govinfo.gov/app/details/DCPD-202600417</t>
  </si>
  <si>
    <t xml:space="preserve">OMB Memorandum M-26-15 - Execution of the Migration to Post-Quantum Cryptography (24 June 2026)</t>
  </si>
  <si>
    <t xml:space="preserve">Cloudflare blog - summary of the 2026 post-quantum executive order (secondary source; the order text governs)</t>
  </si>
  <si>
    <t xml:space="preserve">https://blog.cloudflare.com/post-quantum-eo-2026/</t>
  </si>
  <si>
    <t xml:space="preserve">UK NCSC - Timelines for migration to post-quantum cryptography</t>
  </si>
  <si>
    <t xml:space="preserve">EU - A Coordinated Implementation Roadmap for the Transition to Post-Quantum Cryptography (and NIS Cooperation Group FAQ)</t>
  </si>
  <si>
    <t xml:space="preserve">IETF RFC 10024 - Post-Quantum Traditional (PQ/T) Hybrid Key Agreement Mechanisms for TLS 1.3 (X25519MLKEM768 and others)</t>
  </si>
  <si>
    <t xml:space="preserve">https://www.rfc-editor.org/rfc/rfc10024</t>
  </si>
  <si>
    <t xml:space="preserve">Michele Mosca (2015) - Cybersecurity in an era with quantum computers: will we be ready? (background reading; the X + Y &gt; Z test as used here follows NIST IR 8547 Sec. 3)</t>
  </si>
  <si>
    <t xml:space="preserve">https://eprint.iacr.org/2015/1075</t>
  </si>
  <si>
    <t xml:space="preserve">All sources fetched on 27 October 2026. The Mosca paper was checked at abstract level only.</t>
  </si>
  <si>
    <t xml:space="preserve">Template by John Bommeraveni Joseph - ISO/IEC 27001, 42001 and 27701 Lead Auditor. Follow on LinkedIn for the free weekday newsletter GRC Made Simple Daily: linkedin.com/in/john-bj</t>
  </si>
  <si>
    <t xml:space="preserve">Lists (drop-down values)</t>
  </si>
  <si>
    <t xml:space="preserve">YesNo</t>
  </si>
  <si>
    <t xml:space="preserve">Classification</t>
  </si>
  <si>
    <t xml:space="preserve">Protocol</t>
  </si>
  <si>
    <t xml:space="preserve">Function</t>
  </si>
  <si>
    <t xml:space="preserve">VendorRoadmap</t>
  </si>
  <si>
    <t xml:space="preserve">Target</t>
  </si>
  <si>
    <t xml:space="preserve">MStatus</t>
  </si>
  <si>
    <t xml:space="preserve">PQCSupport</t>
  </si>
  <si>
    <t xml:space="preserve">VStatus</t>
  </si>
  <si>
    <t xml:space="preserve">Restricted</t>
  </si>
  <si>
    <t xml:space="preserve">PQC available now</t>
  </si>
  <si>
    <t xml:space="preserve">ML-KEM-768 (FIPS 203)</t>
  </si>
  <si>
    <t xml:space="preserve">Not started</t>
  </si>
  <si>
    <t xml:space="preserve">Disaster recovery</t>
  </si>
  <si>
    <t xml:space="preserve">Digital signature / authentication</t>
  </si>
  <si>
    <t xml:space="preserve">ML-KEM-1024 (FIPS 203)</t>
  </si>
  <si>
    <t xml:space="preserve">Closed</t>
  </si>
  <si>
    <t xml:space="preserve">Staging / test</t>
  </si>
  <si>
    <t xml:space="preserve">Internal</t>
  </si>
  <si>
    <t xml:space="preserve">Key wrapping / key transport</t>
  </si>
  <si>
    <t xml:space="preserve">ML-DSA-65 (FIPS 204)</t>
  </si>
  <si>
    <t xml:space="preserve">In progress</t>
  </si>
  <si>
    <t xml:space="preserve">On roadmap</t>
  </si>
  <si>
    <t xml:space="preserve">Development</t>
  </si>
  <si>
    <t xml:space="preserve">Public</t>
  </si>
  <si>
    <t xml:space="preserve">Data-at-rest encryption (symmetric)</t>
  </si>
  <si>
    <t xml:space="preserve">Roadmap - verbal only</t>
  </si>
  <si>
    <t xml:space="preserve">ML-DSA-87 (FIPS 204)</t>
  </si>
  <si>
    <t xml:space="preserve">Hybrid deployed</t>
  </si>
  <si>
    <t xml:space="preserve">None</t>
  </si>
  <si>
    <t xml:space="preserve">OT / industrial</t>
  </si>
  <si>
    <t xml:space="preserve">Hashing / integrity</t>
  </si>
  <si>
    <t xml:space="preserve">No roadmap</t>
  </si>
  <si>
    <t xml:space="preserve">SLH-DSA (FIPS 205)</t>
  </si>
  <si>
    <t xml:space="preserve">PQC deployed</t>
  </si>
  <si>
    <t xml:space="preserve">Corporate IT</t>
  </si>
  <si>
    <t xml:space="preserve">Mixed or unknown</t>
  </si>
  <si>
    <t xml:space="preserve">Not asked yet</t>
  </si>
  <si>
    <t xml:space="preserve">Not required (not vulnerable)</t>
  </si>
  <si>
    <t xml:space="preserve">In-house - our responsibility</t>
  </si>
  <si>
    <t xml:space="preserve">Hybrid SecP256r1MLKEM768 (RFC 10024)</t>
  </si>
  <si>
    <t xml:space="preserve">Blocked</t>
  </si>
  <si>
    <t xml:space="preserve">Hybrid SecP384r1MLKEM1024 (RFC 10024)</t>
  </si>
  <si>
    <t xml:space="preserve">Risk accepted</t>
  </si>
  <si>
    <t xml:space="preserve">Keep - not quantum-vulnerable</t>
  </si>
  <si>
    <t xml:space="preserve">Replace or decommission system</t>
  </si>
  <si>
    <t xml:space="preserve">To decide</t>
  </si>
</sst>
</file>

<file path=xl/styles.xml><?xml version="1.0" encoding="utf-8"?>
<styleSheet xmlns="http://schemas.openxmlformats.org/spreadsheetml/2006/main">
  <numFmts count="3">
    <numFmt numFmtId="164" formatCode="General"/>
    <numFmt numFmtId="165" formatCode="0%"/>
    <numFmt numFmtId="166" formatCode="dd\ mmm\ yyyy"/>
  </numFmts>
  <fonts count="22">
    <font>
      <sz val="11"/>
      <color theme="1"/>
      <name val="Calibri"/>
      <family val="2"/>
      <charset val="1"/>
    </font>
    <font>
      <sz val="10"/>
      <name val="Arial"/>
      <family val="0"/>
    </font>
    <font>
      <sz val="10"/>
      <name val="Arial"/>
      <family val="0"/>
    </font>
    <font>
      <sz val="10"/>
      <name val="Arial"/>
      <family val="0"/>
    </font>
    <font>
      <b val="true"/>
      <sz val="16"/>
      <color rgb="FF16213A"/>
      <name val="Arial"/>
      <family val="0"/>
      <charset val="1"/>
    </font>
    <font>
      <sz val="9"/>
      <color rgb="FF6B7280"/>
      <name val="Arial"/>
      <family val="0"/>
      <charset val="1"/>
    </font>
    <font>
      <b val="true"/>
      <sz val="12"/>
      <color rgb="FF16213A"/>
      <name val="Arial"/>
      <family val="0"/>
      <charset val="1"/>
    </font>
    <font>
      <sz val="10"/>
      <color rgb="FF111827"/>
      <name val="Arial"/>
      <family val="0"/>
      <charset val="1"/>
    </font>
    <font>
      <b val="true"/>
      <sz val="10"/>
      <color rgb="FFFFFFFF"/>
      <name val="Arial"/>
      <family val="0"/>
      <charset val="1"/>
    </font>
    <font>
      <sz val="10"/>
      <name val="Arial"/>
      <family val="0"/>
      <charset val="1"/>
    </font>
    <font>
      <b val="true"/>
      <sz val="11"/>
      <name val="Arial"/>
      <family val="0"/>
      <charset val="1"/>
    </font>
    <font>
      <b val="true"/>
      <sz val="10"/>
      <name val="Arial"/>
      <family val="0"/>
      <charset val="1"/>
    </font>
    <font>
      <i val="true"/>
      <sz val="8"/>
      <color rgb="FF6B7280"/>
      <name val="Arial"/>
      <family val="0"/>
      <charset val="1"/>
    </font>
    <font>
      <b val="true"/>
      <sz val="9"/>
      <name val="Arial"/>
      <family val="0"/>
      <charset val="1"/>
    </font>
    <font>
      <i val="true"/>
      <sz val="9"/>
      <color rgb="FF6B7280"/>
      <name val="Arial"/>
      <family val="0"/>
      <charset val="1"/>
    </font>
    <font>
      <sz val="9"/>
      <name val="Arial"/>
      <family val="0"/>
      <charset val="1"/>
    </font>
    <font>
      <b val="true"/>
      <sz val="14"/>
      <color rgb="FF16213A"/>
      <name val="Arial"/>
      <family val="0"/>
      <charset val="1"/>
    </font>
    <font>
      <b val="true"/>
      <sz val="10"/>
      <color rgb="FF16213A"/>
      <name val="Arial"/>
      <family val="0"/>
      <charset val="1"/>
    </font>
    <font>
      <sz val="9"/>
      <color rgb="FF111827"/>
      <name val="Arial"/>
      <family val="0"/>
      <charset val="1"/>
    </font>
    <font>
      <b val="true"/>
      <sz val="9"/>
      <color rgb="FF16213A"/>
      <name val="Arial"/>
      <family val="0"/>
      <charset val="1"/>
    </font>
    <font>
      <u val="single"/>
      <sz val="8"/>
      <color rgb="FF1D4ED8"/>
      <name val="Arial"/>
      <family val="0"/>
      <charset val="1"/>
    </font>
    <font>
      <u val="single"/>
      <sz val="10"/>
      <color rgb="FF1D4ED8"/>
      <name val="Arial"/>
      <family val="0"/>
      <charset val="1"/>
    </font>
  </fonts>
  <fills count="6">
    <fill>
      <patternFill patternType="none"/>
    </fill>
    <fill>
      <patternFill patternType="gray125"/>
    </fill>
    <fill>
      <patternFill patternType="solid">
        <fgColor rgb="FFFDB54A"/>
        <bgColor rgb="FFFF9900"/>
      </patternFill>
    </fill>
    <fill>
      <patternFill patternType="solid">
        <fgColor rgb="FF16213A"/>
        <bgColor rgb="FF111827"/>
      </patternFill>
    </fill>
    <fill>
      <patternFill patternType="solid">
        <fgColor rgb="FFF3F4F6"/>
        <bgColor rgb="FFFFFFFF"/>
      </patternFill>
    </fill>
    <fill>
      <patternFill patternType="solid">
        <fgColor rgb="FFFFF4D6"/>
        <bgColor rgb="FFF3F4F6"/>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center" vertical="bottom" textRotation="0" wrapText="false" indent="0" shrinkToFit="false"/>
      <protection locked="true" hidden="false"/>
    </xf>
    <xf numFmtId="164" fontId="13" fillId="4" borderId="1" xfId="0" applyFont="true" applyBorder="true" applyAlignment="true" applyProtection="false">
      <alignment horizontal="center" vertical="bottom"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15" fillId="5" borderId="1" xfId="0" applyFont="true" applyBorder="true" applyAlignment="true" applyProtection="false">
      <alignment horizontal="general" vertical="top" textRotation="0" wrapText="true" indent="0" shrinkToFit="false"/>
      <protection locked="true" hidden="false"/>
    </xf>
    <xf numFmtId="166" fontId="15" fillId="5"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9"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7" fillId="4" borderId="1" xfId="0" applyFont="true" applyBorder="true" applyAlignment="true" applyProtection="false">
      <alignment horizontal="center" vertical="bottom"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bgColor rgb="FFF8B4B4"/>
        </patternFill>
      </fill>
    </dxf>
    <dxf>
      <fill>
        <patternFill patternType="solid">
          <fgColor rgb="FF16213A"/>
          <bgColor rgb="FF000000"/>
        </patternFill>
      </fill>
    </dxf>
    <dxf>
      <fill>
        <patternFill patternType="solid">
          <fgColor rgb="FFFFF4D6"/>
          <bgColor rgb="FF000000"/>
        </patternFill>
      </fill>
    </dxf>
    <dxf>
      <fill>
        <patternFill patternType="solid">
          <fgColor rgb="FF6B7280"/>
          <bgColor rgb="FF000000"/>
        </patternFill>
      </fill>
    </dxf>
    <dxf>
      <fill>
        <patternFill patternType="solid">
          <fgColor rgb="FFFFFFFF"/>
          <bgColor rgb="FF000000"/>
        </patternFill>
      </fill>
    </dxf>
    <dxf>
      <fill>
        <patternFill patternType="solid">
          <bgColor rgb="FF000000"/>
        </patternFill>
      </fill>
    </dxf>
    <dxf>
      <fill>
        <patternFill patternType="solid">
          <fgColor rgb="FFF3F4F6"/>
          <bgColor rgb="FF000000"/>
        </patternFill>
      </fill>
    </dxf>
    <dxf>
      <fill>
        <patternFill patternType="solid">
          <fgColor rgb="FFF8B4B4"/>
          <bgColor rgb="FF000000"/>
        </patternFill>
      </fill>
    </dxf>
    <dxf>
      <fill>
        <patternFill patternType="solid">
          <fgColor rgb="FFFDE68A"/>
          <bgColor rgb="FF000000"/>
        </patternFill>
      </fill>
    </dxf>
    <dxf>
      <fill>
        <patternFill patternType="solid">
          <fgColor rgb="FFFDE2E1"/>
          <bgColor rgb="FF000000"/>
        </patternFill>
      </fill>
    </dxf>
    <dxf>
      <fill>
        <patternFill>
          <bgColor rgb="FFFDE2E1"/>
        </patternFill>
      </fill>
    </dxf>
    <dxf>
      <fill>
        <patternFill>
          <bgColor rgb="FFFDE68A"/>
        </patternFill>
      </fill>
    </dxf>
    <dxf>
      <fill>
        <patternFill>
          <bgColor rgb="FFBBF7D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6"/>
      <rgbColor rgb="FFF3F4F6"/>
      <rgbColor rgb="FF660066"/>
      <rgbColor rgb="FFFF8080"/>
      <rgbColor rgb="FF1D4ED8"/>
      <rgbColor rgb="FFD1D5DB"/>
      <rgbColor rgb="FF000080"/>
      <rgbColor rgb="FFFF00FF"/>
      <rgbColor rgb="FFFFFF00"/>
      <rgbColor rgb="FF00FFFF"/>
      <rgbColor rgb="FF800080"/>
      <rgbColor rgb="FF800000"/>
      <rgbColor rgb="FF008080"/>
      <rgbColor rgb="FF0000FF"/>
      <rgbColor rgb="FF00CCFF"/>
      <rgbColor rgb="FFFDE2E1"/>
      <rgbColor rgb="FFBBF7D0"/>
      <rgbColor rgb="FFFDE68A"/>
      <rgbColor rgb="FF99CCFF"/>
      <rgbColor rgb="FFFF99CC"/>
      <rgbColor rgb="FFCC99FF"/>
      <rgbColor rgb="FFF8B4B4"/>
      <rgbColor rgb="FF3366FF"/>
      <rgbColor rgb="FF33CCCC"/>
      <rgbColor rgb="FF99CC00"/>
      <rgbColor rgb="FFFDB54A"/>
      <rgbColor rgb="FFFF9900"/>
      <rgbColor rgb="FFFF6600"/>
      <rgbColor rgb="FF6B7280"/>
      <rgbColor rgb="FF969696"/>
      <rgbColor rgb="FF003366"/>
      <rgbColor rgb="FF339966"/>
      <rgbColor rgb="FF111827"/>
      <rgbColor rgb="FF333300"/>
      <rgbColor rgb="FF993300"/>
      <rgbColor rgb="FF993366"/>
      <rgbColor rgb="FF333399"/>
      <rgbColor rgb="FF1621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1.png"/>
</Relationships>
</file>

<file path=xl/drawings/_rels/drawing9.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1"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2"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3"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4"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5"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6"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7"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8"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9"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hyperlink" Target="https://www.nist.gov/news-events/news/2024/08/nist-releases-first-3-finalized-post-quantum-encryption-standards" TargetMode="External"/><Relationship Id="rId2" Type="http://schemas.openxmlformats.org/officeDocument/2006/relationships/hyperlink" Target="https://csrc.nist.gov/pubs/ir/8547/final" TargetMode="External"/><Relationship Id="rId3" Type="http://schemas.openxmlformats.org/officeDocument/2006/relationships/hyperlink" Target="https://csrc.nist.gov/pubs/ir/8547/final" TargetMode="External"/><Relationship Id="rId4" Type="http://schemas.openxmlformats.org/officeDocument/2006/relationships/hyperlink" Target="https://www.federalregister.gov/d/2026-12909" TargetMode="External"/><Relationship Id="rId5" Type="http://schemas.openxmlformats.org/officeDocument/2006/relationships/hyperlink" Target="https://www.federalregister.gov/d/2026-12909" TargetMode="External"/><Relationship Id="rId6" Type="http://schemas.openxmlformats.org/officeDocument/2006/relationships/hyperlink" Target="https://www.federalregister.gov/d/2026-12909" TargetMode="External"/><Relationship Id="rId7" Type="http://schemas.openxmlformats.org/officeDocument/2006/relationships/hyperlink" Target="https://www.whitehouse.gov/wp-content/uploads/2026/06/M-26-15-Execution-of-the-Migration-to-Post-Quantum-Cryptography.pdf" TargetMode="External"/><Relationship Id="rId8" Type="http://schemas.openxmlformats.org/officeDocument/2006/relationships/hyperlink" Target="https://www.whitehouse.gov/wp-content/uploads/2026/06/M-26-15-Execution-of-the-Migration-to-Post-Quantum-Cryptography.pdf" TargetMode="External"/><Relationship Id="rId9" Type="http://schemas.openxmlformats.org/officeDocument/2006/relationships/hyperlink" Target="https://www.ncsc.gov.uk/guidance/pqc-migration-timelines" TargetMode="External"/><Relationship Id="rId10" Type="http://schemas.openxmlformats.org/officeDocument/2006/relationships/hyperlink" Target="https://digital-strategy.ec.europa.eu/en/library/coordinated-implementation-roadmap-transition-post-quantum-cryptography" TargetMode="External"/><Relationship Id="rId1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hyperlink" Target="https://www.nist.gov/news-events/news/2024/08/nist-releases-first-3-finalized-post-quantum-encryption-standards" TargetMode="External"/><Relationship Id="rId2" Type="http://schemas.openxmlformats.org/officeDocument/2006/relationships/hyperlink" Target="https://csrc.nist.gov/pubs/fips/203/final" TargetMode="External"/><Relationship Id="rId3" Type="http://schemas.openxmlformats.org/officeDocument/2006/relationships/hyperlink" Target="https://csrc.nist.gov/pubs/fips/204/final" TargetMode="External"/><Relationship Id="rId4" Type="http://schemas.openxmlformats.org/officeDocument/2006/relationships/hyperlink" Target="https://csrc.nist.gov/pubs/fips/205/final" TargetMode="External"/><Relationship Id="rId5" Type="http://schemas.openxmlformats.org/officeDocument/2006/relationships/hyperlink" Target="https://csrc.nist.gov/pubs/ir/8547/final" TargetMode="External"/><Relationship Id="rId6" Type="http://schemas.openxmlformats.org/officeDocument/2006/relationships/hyperlink" Target="https://www.federalregister.gov/d/2026-12909" TargetMode="External"/><Relationship Id="rId7" Type="http://schemas.openxmlformats.org/officeDocument/2006/relationships/hyperlink" Target="https://www.govinfo.gov/app/details/DCPD-202600417" TargetMode="External"/><Relationship Id="rId8" Type="http://schemas.openxmlformats.org/officeDocument/2006/relationships/hyperlink" Target="https://www.whitehouse.gov/wp-content/uploads/2026/06/M-26-15-Execution-of-the-Migration-to-Post-Quantum-Cryptography.pdf" TargetMode="External"/><Relationship Id="rId9" Type="http://schemas.openxmlformats.org/officeDocument/2006/relationships/hyperlink" Target="https://blog.cloudflare.com/post-quantum-eo-2026/" TargetMode="External"/><Relationship Id="rId10" Type="http://schemas.openxmlformats.org/officeDocument/2006/relationships/hyperlink" Target="https://www.ncsc.gov.uk/guidance/pqc-migration-timelines" TargetMode="External"/><Relationship Id="rId11" Type="http://schemas.openxmlformats.org/officeDocument/2006/relationships/hyperlink" Target="https://digital-strategy.ec.europa.eu/en/library/coordinated-implementation-roadmap-transition-post-quantum-cryptography" TargetMode="External"/><Relationship Id="rId12" Type="http://schemas.openxmlformats.org/officeDocument/2006/relationships/hyperlink" Target="https://www.rfc-editor.org/rfc/rfc10024" TargetMode="External"/><Relationship Id="rId13" Type="http://schemas.openxmlformats.org/officeDocument/2006/relationships/hyperlink" Target="https://eprint.iacr.org/2015/1075" TargetMode="External"/><Relationship Id="rId14"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10"/>
  </cols>
  <sheetData>
    <row r="1" customFormat="false" ht="48" hidden="false" customHeight="true" outlineLevel="0" collapsed="false">
      <c r="B1" s="1" t="s">
        <v>0</v>
      </c>
    </row>
    <row r="2" customFormat="false" ht="18" hidden="false" customHeight="true" outlineLevel="0" collapsed="false">
      <c r="B2" s="2" t="s">
        <v>1</v>
      </c>
    </row>
    <row r="3" customFormat="false" ht="3.75" hidden="false" customHeight="true" outlineLevel="0" collapsed="false">
      <c r="A3" s="3"/>
      <c r="B3" s="3"/>
      <c r="C3" s="3"/>
      <c r="D3" s="3"/>
      <c r="E3" s="3"/>
      <c r="F3" s="3"/>
      <c r="G3" s="3"/>
      <c r="H3" s="3"/>
    </row>
    <row r="5" customFormat="false" ht="21.75" hidden="false" customHeight="true" outlineLevel="0" collapsed="false">
      <c r="B5" s="4" t="s">
        <v>2</v>
      </c>
    </row>
    <row r="6" customFormat="false" ht="63.75" hidden="false" customHeight="true" outlineLevel="0" collapsed="false">
      <c r="B6" s="5" t="s">
        <v>3</v>
      </c>
    </row>
    <row r="7" customFormat="false" ht="21.75" hidden="false" customHeight="true" outlineLevel="0" collapsed="false">
      <c r="B7" s="4" t="s">
        <v>4</v>
      </c>
    </row>
    <row r="8" customFormat="false" ht="33.75" hidden="false" customHeight="true" outlineLevel="0" collapsed="false">
      <c r="B8" s="5" t="s">
        <v>5</v>
      </c>
    </row>
    <row r="9" customFormat="false" ht="33.75" hidden="false" customHeight="true" outlineLevel="0" collapsed="false">
      <c r="B9" s="5" t="s">
        <v>6</v>
      </c>
    </row>
    <row r="10" customFormat="false" ht="33.75" hidden="false" customHeight="true" outlineLevel="0" collapsed="false">
      <c r="B10" s="5" t="s">
        <v>7</v>
      </c>
    </row>
    <row r="11" customFormat="false" ht="33.75" hidden="false" customHeight="true" outlineLevel="0" collapsed="false">
      <c r="B11" s="5" t="s">
        <v>8</v>
      </c>
    </row>
    <row r="12" customFormat="false" ht="33.75" hidden="false" customHeight="true" outlineLevel="0" collapsed="false">
      <c r="B12" s="5" t="s">
        <v>9</v>
      </c>
    </row>
    <row r="13" customFormat="false" ht="33.75" hidden="false" customHeight="true" outlineLevel="0" collapsed="false">
      <c r="B13" s="5" t="s">
        <v>10</v>
      </c>
    </row>
    <row r="14" customFormat="false" ht="33.75" hidden="false" customHeight="true" outlineLevel="0" collapsed="false">
      <c r="B14" s="5" t="s">
        <v>11</v>
      </c>
    </row>
    <row r="15" customFormat="false" ht="21.75" hidden="false" customHeight="true" outlineLevel="0" collapsed="false">
      <c r="B15" s="4" t="s">
        <v>12</v>
      </c>
    </row>
    <row r="16" customFormat="false" ht="33.75" hidden="false" customHeight="true" outlineLevel="0" collapsed="false">
      <c r="B16" s="5" t="s">
        <v>13</v>
      </c>
    </row>
    <row r="17" customFormat="false" ht="33.75" hidden="false" customHeight="true" outlineLevel="0" collapsed="false">
      <c r="B17" s="5" t="s">
        <v>14</v>
      </c>
    </row>
    <row r="18" customFormat="false" ht="48.75" hidden="false" customHeight="true" outlineLevel="0" collapsed="false">
      <c r="B18" s="5" t="s">
        <v>15</v>
      </c>
    </row>
    <row r="19" customFormat="false" ht="21.75" hidden="false" customHeight="true" outlineLevel="0" collapsed="false">
      <c r="B19" s="4" t="s">
        <v>16</v>
      </c>
    </row>
    <row r="20" customFormat="false" ht="33.75" hidden="false" customHeight="true" outlineLevel="0" collapsed="false">
      <c r="B20" s="5" t="s">
        <v>17</v>
      </c>
    </row>
    <row r="21" customFormat="false" ht="21.75" hidden="false" customHeight="true" outlineLevel="0" collapsed="false">
      <c r="B21" s="4" t="s">
        <v>18</v>
      </c>
    </row>
    <row r="22" customFormat="false" ht="78.75" hidden="false" customHeight="true" outlineLevel="0" collapsed="false">
      <c r="B22" s="5" t="s">
        <v>19</v>
      </c>
    </row>
    <row r="23" customFormat="false" ht="18.75" hidden="false" customHeight="true" outlineLevel="0" collapsed="false">
      <c r="B23" s="5" t="s">
        <v>20</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14"/>
    <col collapsed="false" customWidth="true" hidden="false" outlineLevel="0" max="4" min="4" style="0" width="4"/>
    <col collapsed="false" customWidth="true" hidden="false" outlineLevel="0" max="5" min="5" style="0" width="26"/>
    <col collapsed="false" customWidth="true" hidden="false" outlineLevel="0" max="8" min="6" style="0" width="11"/>
  </cols>
  <sheetData>
    <row r="1" customFormat="false" ht="48" hidden="false" customHeight="true" outlineLevel="0" collapsed="false">
      <c r="B1" s="1" t="s">
        <v>21</v>
      </c>
    </row>
    <row r="2" customFormat="false" ht="18" hidden="false" customHeight="true" outlineLevel="0" collapsed="false">
      <c r="B2" s="2" t="s">
        <v>1</v>
      </c>
    </row>
    <row r="3" customFormat="false" ht="3.75" hidden="false" customHeight="true" outlineLevel="0" collapsed="false">
      <c r="A3" s="3"/>
      <c r="B3" s="3"/>
      <c r="C3" s="3"/>
      <c r="D3" s="3"/>
      <c r="E3" s="3"/>
      <c r="F3" s="3"/>
      <c r="G3" s="3"/>
      <c r="H3" s="3"/>
    </row>
    <row r="5" customFormat="false" ht="30" hidden="false" customHeight="true" outlineLevel="0" collapsed="false">
      <c r="B5" s="6" t="s">
        <v>22</v>
      </c>
      <c r="C5" s="6" t="s">
        <v>23</v>
      </c>
      <c r="E5" s="6" t="s">
        <v>24</v>
      </c>
      <c r="F5" s="6" t="s">
        <v>25</v>
      </c>
      <c r="G5" s="6" t="s">
        <v>26</v>
      </c>
      <c r="H5" s="6" t="s">
        <v>27</v>
      </c>
    </row>
    <row r="6" customFormat="false" ht="15" hidden="false" customHeight="false" outlineLevel="0" collapsed="false">
      <c r="B6" s="7" t="s">
        <v>28</v>
      </c>
      <c r="C6" s="8" t="n">
        <f aca="false">COUNTA('Crypto Inventory'!$A$6:$A$205)</f>
        <v>1</v>
      </c>
      <c r="E6" s="7" t="s">
        <v>29</v>
      </c>
      <c r="F6" s="9" t="n">
        <f aca="false">COUNTIF('Crypto Inventory'!$H$6:$H$205,E6)</f>
        <v>1</v>
      </c>
      <c r="G6" s="9" t="n">
        <f aca="false">COUNTIFS('Crypto Inventory'!$H$6:$H$205,E6,'Crypto Inventory'!$R$6:$R$205,"&lt;&gt;No")</f>
        <v>1</v>
      </c>
      <c r="H6" s="9" t="n">
        <f aca="false">COUNTIFS('Crypto Inventory'!$H$6:$H$205,E6,'Crypto Inventory'!$T$6:$T$205,"AT RISK*")</f>
        <v>0</v>
      </c>
    </row>
    <row r="7" customFormat="false" ht="15" hidden="false" customHeight="false" outlineLevel="0" collapsed="false">
      <c r="B7" s="7" t="s">
        <v>30</v>
      </c>
      <c r="C7" s="8" t="n">
        <f aca="false">SUMPRODUCT(('Crypto Inventory'!$B$6:$B$205&lt;&gt;"")/COUNTIF('Crypto Inventory'!$B$6:$B$205,'Crypto Inventory'!$B$6:$B$205&amp;""))</f>
        <v>1</v>
      </c>
      <c r="E7" s="7" t="s">
        <v>31</v>
      </c>
      <c r="F7" s="9" t="n">
        <f aca="false">COUNTIF('Crypto Inventory'!$H$6:$H$205,E7)</f>
        <v>0</v>
      </c>
      <c r="G7" s="9" t="n">
        <f aca="false">COUNTIFS('Crypto Inventory'!$H$6:$H$205,E7,'Crypto Inventory'!$R$6:$R$205,"&lt;&gt;No")</f>
        <v>0</v>
      </c>
      <c r="H7" s="9" t="n">
        <f aca="false">COUNTIFS('Crypto Inventory'!$H$6:$H$205,E7,'Crypto Inventory'!$T$6:$T$205,"AT RISK*")</f>
        <v>0</v>
      </c>
    </row>
    <row r="8" customFormat="false" ht="15" hidden="false" customHeight="false" outlineLevel="0" collapsed="false">
      <c r="B8" s="7" t="s">
        <v>32</v>
      </c>
      <c r="C8" s="8" t="n">
        <f aca="false">COUNTIF('Crypto Inventory'!$R$6:$R$205,"Yes")</f>
        <v>1</v>
      </c>
      <c r="E8" s="7" t="s">
        <v>33</v>
      </c>
      <c r="F8" s="9" t="n">
        <f aca="false">COUNTIF('Crypto Inventory'!$H$6:$H$205,E8)</f>
        <v>0</v>
      </c>
      <c r="G8" s="9" t="n">
        <f aca="false">COUNTIFS('Crypto Inventory'!$H$6:$H$205,E8,'Crypto Inventory'!$R$6:$R$205,"&lt;&gt;No")</f>
        <v>0</v>
      </c>
      <c r="H8" s="9" t="n">
        <f aca="false">COUNTIFS('Crypto Inventory'!$H$6:$H$205,E8,'Crypto Inventory'!$T$6:$T$205,"AT RISK*")</f>
        <v>0</v>
      </c>
    </row>
    <row r="9" customFormat="false" ht="15" hidden="false" customHeight="false" outlineLevel="0" collapsed="false">
      <c r="B9" s="7" t="s">
        <v>34</v>
      </c>
      <c r="C9" s="8" t="n">
        <f aca="false">COUNTIF('Crypto Inventory'!$R$6:$R$205,"Unknown*")</f>
        <v>0</v>
      </c>
      <c r="E9" s="7" t="s">
        <v>35</v>
      </c>
      <c r="F9" s="9" t="n">
        <f aca="false">COUNTIF('Crypto Inventory'!$H$6:$H$205,E9)</f>
        <v>0</v>
      </c>
      <c r="G9" s="9" t="n">
        <f aca="false">COUNTIFS('Crypto Inventory'!$H$6:$H$205,E9,'Crypto Inventory'!$R$6:$R$205,"&lt;&gt;No")</f>
        <v>0</v>
      </c>
      <c r="H9" s="9" t="n">
        <f aca="false">COUNTIFS('Crypto Inventory'!$H$6:$H$205,E9,'Crypto Inventory'!$T$6:$T$205,"AT RISK*")</f>
        <v>0</v>
      </c>
    </row>
    <row r="10" customFormat="false" ht="15" hidden="false" customHeight="false" outlineLevel="0" collapsed="false">
      <c r="B10" s="7" t="s">
        <v>36</v>
      </c>
      <c r="C10" s="8" t="n">
        <f aca="false">COUNTIFS('Crypto Inventory'!$F$6:$F$205,"Yes",'Crypto Inventory'!$R$6:$R$205,"&lt;&gt;No",'Crypto Inventory'!$A$6:$A$205,"&lt;&gt;")</f>
        <v>1</v>
      </c>
      <c r="E10" s="7" t="s">
        <v>37</v>
      </c>
      <c r="F10" s="9" t="n">
        <f aca="false">COUNTIF('Crypto Inventory'!$H$6:$H$205,E10)</f>
        <v>0</v>
      </c>
      <c r="G10" s="9" t="n">
        <f aca="false">COUNTIFS('Crypto Inventory'!$H$6:$H$205,E10,'Crypto Inventory'!$R$6:$R$205,"&lt;&gt;No")</f>
        <v>0</v>
      </c>
      <c r="H10" s="9" t="n">
        <f aca="false">COUNTIFS('Crypto Inventory'!$H$6:$H$205,E10,'Crypto Inventory'!$T$6:$T$205,"AT RISK*")</f>
        <v>0</v>
      </c>
    </row>
    <row r="11" customFormat="false" ht="15" hidden="false" customHeight="false" outlineLevel="0" collapsed="false">
      <c r="B11" s="7" t="s">
        <v>38</v>
      </c>
      <c r="C11" s="8" t="n">
        <f aca="false">COUNTIF('Crypto Inventory'!$T$6:$T$205,"AT RISK*")</f>
        <v>0</v>
      </c>
      <c r="E11" s="7" t="s">
        <v>39</v>
      </c>
      <c r="F11" s="9" t="n">
        <f aca="false">COUNTIF('Crypto Inventory'!$H$6:$H$205,E11)</f>
        <v>0</v>
      </c>
      <c r="G11" s="9" t="n">
        <f aca="false">COUNTIFS('Crypto Inventory'!$H$6:$H$205,E11,'Crypto Inventory'!$R$6:$R$205,"&lt;&gt;No")</f>
        <v>0</v>
      </c>
      <c r="H11" s="9" t="n">
        <f aca="false">COUNTIFS('Crypto Inventory'!$H$6:$H$205,E11,'Crypto Inventory'!$T$6:$T$205,"AT RISK*")</f>
        <v>0</v>
      </c>
    </row>
    <row r="12" customFormat="false" ht="15" hidden="false" customHeight="false" outlineLevel="0" collapsed="false">
      <c r="B12" s="7" t="s">
        <v>40</v>
      </c>
      <c r="C12" s="8" t="n">
        <f aca="false">COUNTIF('Crypto Inventory'!$T$6:$T$205,"Enter*")+COUNTIF('Crypto Inventory'!$T$6:$T$205,"Set Z*")</f>
        <v>1</v>
      </c>
      <c r="E12" s="7" t="s">
        <v>41</v>
      </c>
      <c r="F12" s="9" t="n">
        <f aca="false">COUNTIF('Crypto Inventory'!$H$6:$H$205,E12)</f>
        <v>0</v>
      </c>
      <c r="G12" s="9" t="n">
        <f aca="false">COUNTIFS('Crypto Inventory'!$H$6:$H$205,E12,'Crypto Inventory'!$R$6:$R$205,"&lt;&gt;No")</f>
        <v>0</v>
      </c>
      <c r="H12" s="9" t="n">
        <f aca="false">COUNTIFS('Crypto Inventory'!$H$6:$H$205,E12,'Crypto Inventory'!$T$6:$T$205,"AT RISK*")</f>
        <v>0</v>
      </c>
    </row>
    <row r="13" customFormat="false" ht="15" hidden="false" customHeight="false" outlineLevel="0" collapsed="false">
      <c r="B13" s="7" t="s">
        <v>42</v>
      </c>
      <c r="C13" s="8" t="n">
        <f aca="false">COUNTIF('Crypto Inventory'!$U$6:$U$205,"Yes*")</f>
        <v>1</v>
      </c>
      <c r="E13" s="7" t="s">
        <v>43</v>
      </c>
      <c r="F13" s="9" t="n">
        <f aca="false">COUNTIF('Crypto Inventory'!$H$6:$H$205,E13)</f>
        <v>0</v>
      </c>
      <c r="G13" s="9" t="n">
        <f aca="false">COUNTIFS('Crypto Inventory'!$H$6:$H$205,E13,'Crypto Inventory'!$R$6:$R$205,"&lt;&gt;No")</f>
        <v>0</v>
      </c>
      <c r="H13" s="9" t="n">
        <f aca="false">COUNTIFS('Crypto Inventory'!$H$6:$H$205,E13,'Crypto Inventory'!$T$6:$T$205,"AT RISK*")</f>
        <v>0</v>
      </c>
    </row>
    <row r="14" customFormat="false" ht="15" hidden="false" customHeight="false" outlineLevel="0" collapsed="false">
      <c r="B14" s="7" t="s">
        <v>44</v>
      </c>
      <c r="C14" s="8" t="n">
        <f aca="false">COUNTIF('Crypto Inventory'!$Y$6:$Y$205,"High")</f>
        <v>0</v>
      </c>
      <c r="E14" s="7" t="s">
        <v>45</v>
      </c>
      <c r="F14" s="9" t="n">
        <f aca="false">COUNTIF('Crypto Inventory'!$H$6:$H$205,E14)</f>
        <v>0</v>
      </c>
      <c r="G14" s="9" t="n">
        <f aca="false">COUNTIFS('Crypto Inventory'!$H$6:$H$205,E14,'Crypto Inventory'!$R$6:$R$205,"&lt;&gt;No")</f>
        <v>0</v>
      </c>
      <c r="H14" s="9" t="n">
        <f aca="false">COUNTIFS('Crypto Inventory'!$H$6:$H$205,E14,'Crypto Inventory'!$T$6:$T$205,"AT RISK*")</f>
        <v>0</v>
      </c>
    </row>
    <row r="15" customFormat="false" ht="15" hidden="false" customHeight="false" outlineLevel="0" collapsed="false">
      <c r="B15" s="7" t="s">
        <v>46</v>
      </c>
      <c r="C15" s="8" t="n">
        <f aca="false">COUNTIFS('Crypto Inventory'!$R$6:$R$205,"&lt;&gt;No",'Crypto Inventory'!$A$6:$A$205,"&lt;&gt;",'Crypto Inventory'!$W$6:$W$205,"")+COUNTIFS('Crypto Inventory'!$R$6:$R$205,"&lt;&gt;No",'Crypto Inventory'!$A$6:$A$205,"&lt;&gt;",'Crypto Inventory'!$W$6:$W$205,"To decide")</f>
        <v>0</v>
      </c>
      <c r="E15" s="7" t="s">
        <v>47</v>
      </c>
      <c r="F15" s="9" t="n">
        <f aca="false">COUNTIF('Crypto Inventory'!$H$6:$H$205,E15)</f>
        <v>0</v>
      </c>
      <c r="G15" s="9" t="n">
        <f aca="false">COUNTIFS('Crypto Inventory'!$H$6:$H$205,E15,'Crypto Inventory'!$R$6:$R$205,"&lt;&gt;No")</f>
        <v>0</v>
      </c>
      <c r="H15" s="9" t="n">
        <f aca="false">COUNTIFS('Crypto Inventory'!$H$6:$H$205,E15,'Crypto Inventory'!$T$6:$T$205,"AT RISK*")</f>
        <v>0</v>
      </c>
    </row>
    <row r="16" customFormat="false" ht="15" hidden="false" customHeight="false" outlineLevel="0" collapsed="false">
      <c r="B16" s="7" t="s">
        <v>48</v>
      </c>
      <c r="C16" s="8" t="n">
        <f aca="false">COUNTIF('Crypto Inventory'!$AC$6:$AC$205,"OVERDUE")</f>
        <v>0</v>
      </c>
      <c r="E16" s="7" t="s">
        <v>49</v>
      </c>
      <c r="F16" s="9" t="n">
        <f aca="false">COUNTIF('Crypto Inventory'!$H$6:$H$205,E16)</f>
        <v>0</v>
      </c>
      <c r="G16" s="9" t="n">
        <f aca="false">COUNTIFS('Crypto Inventory'!$H$6:$H$205,E16,'Crypto Inventory'!$R$6:$R$205,"&lt;&gt;No")</f>
        <v>0</v>
      </c>
      <c r="H16" s="9" t="n">
        <f aca="false">COUNTIFS('Crypto Inventory'!$H$6:$H$205,E16,'Crypto Inventory'!$T$6:$T$205,"AT RISK*")</f>
        <v>0</v>
      </c>
    </row>
    <row r="17" customFormat="false" ht="15" hidden="false" customHeight="false" outlineLevel="0" collapsed="false">
      <c r="B17" s="7" t="s">
        <v>50</v>
      </c>
      <c r="C17" s="8" t="n">
        <f aca="true">COUNTIFS('Crypto Inventory'!$M$6:$M$205,"&gt;="&amp;TODAY(),'Crypto Inventory'!$M$6:$M$205,"&lt;="&amp;(TODAY()+Assumptions!$C$25))</f>
        <v>0</v>
      </c>
      <c r="E17" s="10" t="s">
        <v>51</v>
      </c>
      <c r="F17" s="9" t="n">
        <f aca="false">SUM(F6:F16)</f>
        <v>1</v>
      </c>
      <c r="G17" s="9" t="n">
        <f aca="false">SUM(G6:G16)</f>
        <v>1</v>
      </c>
      <c r="H17" s="9" t="n">
        <f aca="false">SUM(H6:H16)</f>
        <v>0</v>
      </c>
    </row>
    <row r="18" customFormat="false" ht="15" hidden="false" customHeight="false" outlineLevel="0" collapsed="false">
      <c r="B18" s="7" t="s">
        <v>52</v>
      </c>
      <c r="C18" s="8" t="n">
        <f aca="false">COUNTIF('Crypto Inventory'!$AB$6:$AB$205,"Hybrid deployed")+COUNTIF('Crypto Inventory'!$AB$6:$AB$205,"PQC deployed")</f>
        <v>0</v>
      </c>
      <c r="E18" s="11" t="s">
        <v>53</v>
      </c>
    </row>
    <row r="19" customFormat="false" ht="15" hidden="false" customHeight="false" outlineLevel="0" collapsed="false">
      <c r="B19" s="7" t="s">
        <v>54</v>
      </c>
      <c r="C19" s="12" t="n">
        <f aca="false">IFERROR(C18/COUNTIFS('Crypto Inventory'!$R$6:$R$205,"&lt;&gt;No",'Crypto Inventory'!$A$6:$A$205,"&lt;&gt;"),0)</f>
        <v>0</v>
      </c>
    </row>
    <row r="20" customFormat="false" ht="15" hidden="false" customHeight="false" outlineLevel="0" collapsed="false">
      <c r="B20" s="7" t="s">
        <v>55</v>
      </c>
      <c r="C20" s="8" t="n">
        <f aca="false">COUNTA('Vendor Tracker'!$A$6:$A$105)</f>
        <v>1</v>
      </c>
    </row>
    <row r="21" customFormat="false" ht="15" hidden="false" customHeight="false" outlineLevel="0" collapsed="false">
      <c r="B21" s="7" t="s">
        <v>56</v>
      </c>
      <c r="C21" s="8" t="n">
        <f aca="false">COUNTIFS('Vendor Tracker'!$A$6:$A$105,"&lt;&gt;",'Vendor Tracker'!$H$6:$H$105,"&lt;&gt;Yes",'Vendor Tracker'!$F$6:$F$105,"&lt;&gt;PQC available now",'Vendor Tracker'!$F$6:$F$105,"&lt;&gt;Hybrid available now")</f>
        <v>0</v>
      </c>
    </row>
    <row r="22" customFormat="false" ht="15" hidden="false" customHeight="false" outlineLevel="0" collapsed="false">
      <c r="B22" s="7" t="s">
        <v>57</v>
      </c>
      <c r="C22" s="8" t="n">
        <f aca="false">COUNTIF('Vendor Tracker'!$N$6:$N$105,"OVERDUE")</f>
        <v>0</v>
      </c>
    </row>
    <row r="24" customFormat="false" ht="15" hidden="false" customHeight="false" outlineLevel="0" collapsed="false">
      <c r="B24" s="10" t="s">
        <v>58</v>
      </c>
      <c r="C24" s="8" t="str">
        <f aca="false">IF(Assumptions!$C$6="","NOT SET",Assumptions!$C$6)</f>
        <v>NOT SET</v>
      </c>
    </row>
    <row r="25" customFormat="false" ht="25.5" hidden="false" customHeight="true" outlineLevel="0" collapsed="false">
      <c r="B25" s="7" t="s">
        <v>59</v>
      </c>
      <c r="C25" s="13" t="str">
        <f aca="false">IF(Assumptions!$C$8="","NOT RECORDED",Assumptions!$C$8)</f>
        <v>NOT RECORDED</v>
      </c>
    </row>
    <row r="27" customFormat="false" ht="43.5" hidden="false" customHeight="true" outlineLevel="0" collapsed="false">
      <c r="B27" s="14" t="s">
        <v>60</v>
      </c>
    </row>
  </sheetData>
  <conditionalFormatting sqref="C8">
    <cfRule type="cellIs" priority="2" operator="greaterThan" aboveAverage="0" equalAverage="0" bottom="0" percent="0" rank="0" text="" dxfId="0">
      <formula>0</formula>
    </cfRule>
  </conditionalFormatting>
  <conditionalFormatting sqref="C9">
    <cfRule type="cellIs" priority="3" operator="greaterThan" aboveAverage="0" equalAverage="0" bottom="0" percent="0" rank="0" text="" dxfId="0">
      <formula>0</formula>
    </cfRule>
  </conditionalFormatting>
  <conditionalFormatting sqref="C10">
    <cfRule type="cellIs" priority="4" operator="greaterThan" aboveAverage="0" equalAverage="0" bottom="0" percent="0" rank="0" text="" dxfId="0">
      <formula>0</formula>
    </cfRule>
  </conditionalFormatting>
  <conditionalFormatting sqref="C11">
    <cfRule type="cellIs" priority="5" operator="greaterThan" aboveAverage="0" equalAverage="0" bottom="0" percent="0" rank="0" text="" dxfId="0">
      <formula>0</formula>
    </cfRule>
  </conditionalFormatting>
  <conditionalFormatting sqref="C12">
    <cfRule type="cellIs" priority="6" operator="greaterThan" aboveAverage="0" equalAverage="0" bottom="0" percent="0" rank="0" text="" dxfId="0">
      <formula>0</formula>
    </cfRule>
  </conditionalFormatting>
  <conditionalFormatting sqref="C13">
    <cfRule type="cellIs" priority="7" operator="greaterThan" aboveAverage="0" equalAverage="0" bottom="0" percent="0" rank="0" text="" dxfId="0">
      <formula>0</formula>
    </cfRule>
  </conditionalFormatting>
  <conditionalFormatting sqref="C14">
    <cfRule type="cellIs" priority="8" operator="greaterThan" aboveAverage="0" equalAverage="0" bottom="0" percent="0" rank="0" text="" dxfId="0">
      <formula>0</formula>
    </cfRule>
  </conditionalFormatting>
  <conditionalFormatting sqref="C15">
    <cfRule type="cellIs" priority="9" operator="greaterThan" aboveAverage="0" equalAverage="0" bottom="0" percent="0" rank="0" text="" dxfId="0">
      <formula>0</formula>
    </cfRule>
  </conditionalFormatting>
  <conditionalFormatting sqref="C16">
    <cfRule type="cellIs" priority="10" operator="greaterThan" aboveAverage="0" equalAverage="0" bottom="0" percent="0" rank="0" text="" dxfId="0">
      <formula>0</formula>
    </cfRule>
  </conditionalFormatting>
  <conditionalFormatting sqref="C21">
    <cfRule type="cellIs" priority="11" operator="greaterThan" aboveAverage="0" equalAverage="0" bottom="0" percent="0" rank="0" text="" dxfId="0">
      <formula>0</formula>
    </cfRule>
  </conditionalFormatting>
  <conditionalFormatting sqref="C22">
    <cfRule type="cellIs" priority="12" operator="greaterThan" aboveAverage="0" equalAverage="0" bottom="0" percent="0" rank="0" text="" dxfId="0">
      <formula>0</formula>
    </cfRule>
  </conditionalFormatting>
  <conditionalFormatting sqref="C24">
    <cfRule type="expression" priority="13" aboveAverage="0" equalAverage="0" bottom="0" percent="0" rank="0" text="" dxfId="0">
      <formula>LEFT(C24,3)="NOT"</formula>
    </cfRule>
  </conditionalFormatting>
  <conditionalFormatting sqref="C25">
    <cfRule type="expression" priority="14" aboveAverage="0" equalAverage="0" bottom="0" percent="0" rank="0" text="" dxfId="0">
      <formula>LEFT(C25,3)="NOT"</formula>
    </cfRule>
  </conditionalFormatting>
  <conditionalFormatting sqref="H6:H17">
    <cfRule type="cellIs" priority="15"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D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4" min="3" style="0" width="16"/>
    <col collapsed="false" customWidth="true" hidden="false" outlineLevel="0" max="5" min="5" style="0" width="13"/>
    <col collapsed="false" customWidth="true" hidden="false" outlineLevel="0" max="6" min="6" style="0" width="10"/>
    <col collapsed="false" customWidth="true" hidden="false" outlineLevel="0" max="7" min="7" style="0" width="13"/>
    <col collapsed="false" customWidth="true" hidden="false" outlineLevel="0" max="8" min="8" style="0" width="16"/>
    <col collapsed="false" customWidth="true" hidden="false" outlineLevel="0" max="9" min="9" style="0" width="22"/>
    <col collapsed="false" customWidth="true" hidden="false" outlineLevel="0" max="10" min="10" style="0" width="20"/>
    <col collapsed="false" customWidth="true" hidden="false" outlineLevel="0" max="11" min="11" style="0" width="13"/>
    <col collapsed="false" customWidth="true" hidden="false" outlineLevel="0" max="12" min="12" style="0" width="22"/>
    <col collapsed="false" customWidth="true" hidden="false" outlineLevel="0" max="13" min="13" style="0" width="12"/>
    <col collapsed="false" customWidth="true" hidden="false" outlineLevel="0" max="14" min="14" style="0" width="18"/>
    <col collapsed="false" customWidth="true" hidden="false" outlineLevel="0" max="16" min="15" style="0" width="11"/>
    <col collapsed="false" customWidth="true" hidden="false" outlineLevel="0" max="17" min="17" style="0" width="10"/>
    <col collapsed="false" customWidth="true" hidden="false" outlineLevel="0" max="18" min="18" style="0" width="13"/>
    <col collapsed="false" customWidth="true" hidden="false" outlineLevel="0" max="19" min="19" style="0" width="7"/>
    <col collapsed="false" customWidth="true" hidden="false" outlineLevel="0" max="20" min="20" style="0" width="16"/>
    <col collapsed="false" customWidth="true" hidden="false" outlineLevel="0" max="21" min="21" style="0" width="14"/>
    <col collapsed="false" customWidth="true" hidden="false" outlineLevel="0" max="22" min="22" style="0" width="28"/>
    <col collapsed="false" customWidth="true" hidden="false" outlineLevel="0" max="23" min="23" style="0" width="24"/>
    <col collapsed="false" customWidth="true" hidden="false" outlineLevel="0" max="25" min="24" style="0" width="9"/>
    <col collapsed="false" customWidth="true" hidden="false" outlineLevel="0" max="26" min="26" style="0" width="16"/>
    <col collapsed="false" customWidth="true" hidden="false" outlineLevel="0" max="27" min="27" style="0" width="12"/>
    <col collapsed="false" customWidth="true" hidden="false" outlineLevel="0" max="28" min="28" style="0" width="15"/>
    <col collapsed="false" customWidth="true" hidden="false" outlineLevel="0" max="29" min="29" style="0" width="10"/>
    <col collapsed="false" customWidth="true" hidden="false" outlineLevel="0" max="30" min="30" style="0" width="62"/>
  </cols>
  <sheetData>
    <row r="1" customFormat="false" ht="48" hidden="false" customHeight="true" outlineLevel="0" collapsed="false">
      <c r="B1" s="1" t="s">
        <v>61</v>
      </c>
    </row>
    <row r="2" customFormat="false" ht="18" hidden="false" customHeight="true" outlineLevel="0" collapsed="false">
      <c r="B2" s="2" t="s">
        <v>1</v>
      </c>
    </row>
    <row r="3" customFormat="false" ht="3.7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5" customFormat="false" ht="63.75" hidden="false" customHeight="true" outlineLevel="0" collapsed="false">
      <c r="A5" s="6" t="s">
        <v>62</v>
      </c>
      <c r="B5" s="6" t="s">
        <v>63</v>
      </c>
      <c r="C5" s="6" t="s">
        <v>64</v>
      </c>
      <c r="D5" s="6" t="s">
        <v>65</v>
      </c>
      <c r="E5" s="6" t="s">
        <v>66</v>
      </c>
      <c r="F5" s="6" t="s">
        <v>67</v>
      </c>
      <c r="G5" s="6" t="s">
        <v>68</v>
      </c>
      <c r="H5" s="6" t="s">
        <v>24</v>
      </c>
      <c r="I5" s="6" t="s">
        <v>69</v>
      </c>
      <c r="J5" s="6" t="s">
        <v>70</v>
      </c>
      <c r="K5" s="6" t="s">
        <v>71</v>
      </c>
      <c r="L5" s="6" t="s">
        <v>72</v>
      </c>
      <c r="M5" s="6" t="s">
        <v>73</v>
      </c>
      <c r="N5" s="6" t="s">
        <v>74</v>
      </c>
      <c r="O5" s="6" t="s">
        <v>75</v>
      </c>
      <c r="P5" s="6" t="s">
        <v>76</v>
      </c>
      <c r="Q5" s="6" t="s">
        <v>77</v>
      </c>
      <c r="R5" s="6" t="s">
        <v>78</v>
      </c>
      <c r="S5" s="6" t="s">
        <v>79</v>
      </c>
      <c r="T5" s="6" t="s">
        <v>80</v>
      </c>
      <c r="U5" s="6" t="s">
        <v>42</v>
      </c>
      <c r="V5" s="6" t="s">
        <v>81</v>
      </c>
      <c r="W5" s="6" t="s">
        <v>82</v>
      </c>
      <c r="X5" s="6" t="s">
        <v>83</v>
      </c>
      <c r="Y5" s="6" t="s">
        <v>84</v>
      </c>
      <c r="Z5" s="6" t="s">
        <v>85</v>
      </c>
      <c r="AA5" s="6" t="s">
        <v>86</v>
      </c>
      <c r="AB5" s="6" t="s">
        <v>87</v>
      </c>
      <c r="AC5" s="6" t="s">
        <v>88</v>
      </c>
      <c r="AD5" s="6" t="s">
        <v>89</v>
      </c>
    </row>
    <row r="6" customFormat="false" ht="25.5" hidden="false" customHeight="true" outlineLevel="0" collapsed="false">
      <c r="A6" s="15" t="s">
        <v>90</v>
      </c>
      <c r="B6" s="16" t="s">
        <v>91</v>
      </c>
      <c r="C6" s="16" t="s">
        <v>92</v>
      </c>
      <c r="D6" s="16" t="s">
        <v>93</v>
      </c>
      <c r="E6" s="16" t="s">
        <v>94</v>
      </c>
      <c r="F6" s="16" t="s">
        <v>95</v>
      </c>
      <c r="G6" s="16" t="s">
        <v>96</v>
      </c>
      <c r="H6" s="16" t="s">
        <v>29</v>
      </c>
      <c r="I6" s="16" t="s">
        <v>97</v>
      </c>
      <c r="J6" s="16" t="s">
        <v>98</v>
      </c>
      <c r="K6" s="16" t="s">
        <v>99</v>
      </c>
      <c r="L6" s="16" t="s">
        <v>100</v>
      </c>
      <c r="M6" s="17" t="n">
        <v>46461</v>
      </c>
      <c r="N6" s="16" t="s">
        <v>101</v>
      </c>
      <c r="O6" s="16" t="n">
        <v>7</v>
      </c>
      <c r="P6" s="16" t="n">
        <v>3</v>
      </c>
      <c r="Q6" s="18" t="str">
        <f aca="false">IF(A6="","",IF(J6="","Unknown",IFERROR(INDEX('Algorithm Reference'!$C$6:$C$41,MATCH(J6,'Algorithm Reference'!$B$6:$B$41,0)),"Not in reference")))</f>
        <v>ECDH</v>
      </c>
      <c r="R6" s="18" t="str">
        <f aca="false">IF(A6="","",IF(J6="","Unknown - investigate",IFERROR(INDEX('Algorithm Reference'!$E$6:$E$41,MATCH(J6,'Algorithm Reference'!$B$6:$B$41,0)),"Unknown - investigate")))</f>
        <v>Yes</v>
      </c>
      <c r="S6" s="18" t="n">
        <f aca="false">IF(OR(O6="",P6=""),"",O6+P6)</f>
        <v>10</v>
      </c>
      <c r="T6" s="18" t="str">
        <f aca="false">IF(A6="","",IF(R6="No","N/A - not quantum-vulnerable",IF(OR(O6="",P6=""),"Enter X and Y",IF(Assumptions!$C$6="","Set Z on Assumptions",IF(O6+P6&gt;Assumptions!$C$6,"AT RISK (X+Y &gt; Z)","Within Z (X+Y &lt;= Z)")))))</f>
        <v>Set Z on Assumptions</v>
      </c>
      <c r="U6" s="18" t="str">
        <f aca="false">IF(A6="","",IF(AND(R6&lt;&gt;"No",OR(I6="Key establishment / encryption in transit",I6="Key wrapping / key transport",I6="Mixed or unknown",I6=""),OR(N(O6)&gt;0,G6="Confidential",G6="Restricted")),IF(F6="Yes","Yes - internet-facing","Yes"),"No"))</f>
        <v>Yes - internet-facing</v>
      </c>
      <c r="V6" s="18" t="str">
        <f aca="false">IF(A6="","",IF(R6="No","Keep - not quantum-vulnerable (review key size)",IF(I6="Digital signature / authentication","ML-DSA-65 (FIPS 204); SLH-DSA (FIPS 205) if hash-based is preferred",IF(OR(I6="Key establishment / encryption in transit",I6="Key wrapping / key transport"),"ML-KEM-768 (FIPS 203); hybrid X25519MLKEM768 for TLS 1.3",IF(I6="Mixed or unknown","Both: ML-KEM (FIPS 203) for keys, ML-DSA (FIPS 204) for signatures","Pick the crypto function first")))))</f>
        <v>ML-KEM-768 (FIPS 203); hybrid X25519MLKEM768 for TLS 1.3</v>
      </c>
      <c r="W6" s="16" t="s">
        <v>102</v>
      </c>
      <c r="X6" s="18" t="n">
        <f aca="false">IF(A6="","",IF(R6="No",0,IF(LEFT(T6,7)="AT RISK",Assumptions!$C$13,0)+IF(LEFT(U6,3)="Yes",Assumptions!$C$14,0)+IF(F6="Yes",Assumptions!$C$15,0)+IF(G6="Restricted",Assumptions!$C$16,IF(G6="Confidential",Assumptions!$C$17,IF(G6="Internal",Assumptions!$C$18,0)))+IF(OR(N6="Roadmap - verbal only",N6="No roadmap",N6="Not asked yet",N6=""),Assumptions!$C$19,0)+IF(E6="Production",Assumptions!$C$20,0)+IF(AND(ISNUMBER(P6),N(P6)&gt;=Assumptions!$C$22),Assumptions!$C$21,0)))</f>
        <v>55</v>
      </c>
      <c r="Y6" s="18" t="str">
        <f aca="false">IF(X6="","",IF(R6="No","None",IF(X6&gt;=Assumptions!$C$23,"High",IF(X6&gt;=Assumptions!$C$24,"Medium","Low"))))</f>
        <v>Medium</v>
      </c>
      <c r="Z6" s="16" t="s">
        <v>103</v>
      </c>
      <c r="AA6" s="17" t="n">
        <v>46568</v>
      </c>
      <c r="AB6" s="16" t="s">
        <v>104</v>
      </c>
      <c r="AC6" s="18" t="str">
        <f aca="true">IF(OR(AA6="",AB6="Hybrid deployed",AB6="PQC deployed",AB6="Not required (not vulnerable)",AB6="Risk accepted"),"",IF(AA6&lt;TODAY(),"OVERDUE",""))</f>
        <v/>
      </c>
      <c r="AD6" s="18" t="str">
        <f aca="true">IF(A6="","",IF(B6="","Name the system. ","")&amp;IF(LEFT(R6,7)="Unknown","Algorithm unknown - scan or ask the vendor. ","")&amp;IF(AND(R6&lt;&gt;"No",Assumptions!$C$6=""),"Set Z on Assumptions. ","")&amp;IF(AND(R6&lt;&gt;"No",OR(O6="",P6="")),"Enter X and Y. ","")&amp;IF(LEFT(T6,7)="AT RISK","Mosca: X+Y exceeds Z - migration should already be under way. ","")&amp;IF(AND(LEFT(U6,3)="Yes",OR(AB6="",AB6="Not started")),"Harvest-now-decrypt-later exposure and migration not started. ","")&amp;IF(AND(R6&lt;&gt;"No",OR(W6="",W6="To decide")),"Choose a target algorithm. ","")&amp;IF(AND(R6&lt;&gt;"No",W6="Keep - not quantum-vulnerable"),"Target 'Keep' conflicts with a quantum-vulnerable algorithm. ","")&amp;IF(LEFT(J6,5)="SHA-1","SHA-1 is deprecated - replace (NIST IR 8547). ","")&amp;IF(AND(R6&lt;&gt;"No",OR(N6="Roadmap - verbal only",N6="No roadmap",N6="Not asked yet")),"Get a written PQC roadmap from the vendor. ","")&amp;IF(AND(R6&lt;&gt;"No",N6=""),"Record the vendor PQC roadmap status. ","")&amp;IF(ISNUMBER(M6),IF(M6&lt;TODAY(),"Certificate or key expired. ",IF(M6-TODAY()&lt;=Assumptions!$C$25,"Expires soon - use the renewal to revisit the algorithm. ","")),"")&amp;IF(AC6="OVERDUE","Migration overdue. ","")&amp;IF(AND(R6&lt;&gt;"No",Z6=""),"Assign a migration owner. ",""))</f>
        <v>Set Z on Assumptions. </v>
      </c>
    </row>
    <row r="7" customFormat="false" ht="15" hidden="false" customHeight="false" outlineLevel="0" collapsed="false">
      <c r="A7" s="16"/>
      <c r="B7" s="16"/>
      <c r="C7" s="16"/>
      <c r="D7" s="16"/>
      <c r="E7" s="16"/>
      <c r="F7" s="16"/>
      <c r="G7" s="16"/>
      <c r="H7" s="16"/>
      <c r="I7" s="16"/>
      <c r="J7" s="16"/>
      <c r="K7" s="16"/>
      <c r="L7" s="16"/>
      <c r="M7" s="17"/>
      <c r="N7" s="16"/>
      <c r="O7" s="16"/>
      <c r="P7" s="16"/>
      <c r="Q7" s="18" t="str">
        <f aca="false">IF(A7="","",IF(J7="","Unknown",IFERROR(INDEX('Algorithm Reference'!$C$6:$C$41,MATCH(J7,'Algorithm Reference'!$B$6:$B$41,0)),"Not in reference")))</f>
        <v/>
      </c>
      <c r="R7" s="18" t="str">
        <f aca="false">IF(A7="","",IF(J7="","Unknown - investigate",IFERROR(INDEX('Algorithm Reference'!$E$6:$E$41,MATCH(J7,'Algorithm Reference'!$B$6:$B$41,0)),"Unknown - investigate")))</f>
        <v/>
      </c>
      <c r="S7" s="18" t="str">
        <f aca="false">IF(OR(O7="",P7=""),"",O7+P7)</f>
        <v/>
      </c>
      <c r="T7" s="18" t="str">
        <f aca="false">IF(A7="","",IF(R7="No","N/A - not quantum-vulnerable",IF(OR(O7="",P7=""),"Enter X and Y",IF(Assumptions!$C$6="","Set Z on Assumptions",IF(O7+P7&gt;Assumptions!$C$6,"AT RISK (X+Y &gt; Z)","Within Z (X+Y &lt;= Z)")))))</f>
        <v/>
      </c>
      <c r="U7" s="18" t="str">
        <f aca="false">IF(A7="","",IF(AND(R7&lt;&gt;"No",OR(I7="Key establishment / encryption in transit",I7="Key wrapping / key transport",I7="Mixed or unknown",I7=""),OR(N(O7)&gt;0,G7="Confidential",G7="Restricted")),IF(F7="Yes","Yes - internet-facing","Yes"),"No"))</f>
        <v/>
      </c>
      <c r="V7" s="18" t="str">
        <f aca="false">IF(A7="","",IF(R7="No","Keep - not quantum-vulnerable (review key size)",IF(I7="Digital signature / authentication","ML-DSA-65 (FIPS 204); SLH-DSA (FIPS 205) if hash-based is preferred",IF(OR(I7="Key establishment / encryption in transit",I7="Key wrapping / key transport"),"ML-KEM-768 (FIPS 203); hybrid X25519MLKEM768 for TLS 1.3",IF(I7="Mixed or unknown","Both: ML-KEM (FIPS 203) for keys, ML-DSA (FIPS 204) for signatures","Pick the crypto function first")))))</f>
        <v/>
      </c>
      <c r="W7" s="16"/>
      <c r="X7" s="18" t="str">
        <f aca="false">IF(A7="","",IF(R7="No",0,IF(LEFT(T7,7)="AT RISK",Assumptions!$C$13,0)+IF(LEFT(U7,3)="Yes",Assumptions!$C$14,0)+IF(F7="Yes",Assumptions!$C$15,0)+IF(G7="Restricted",Assumptions!$C$16,IF(G7="Confidential",Assumptions!$C$17,IF(G7="Internal",Assumptions!$C$18,0)))+IF(OR(N7="Roadmap - verbal only",N7="No roadmap",N7="Not asked yet",N7=""),Assumptions!$C$19,0)+IF(E7="Production",Assumptions!$C$20,0)+IF(AND(ISNUMBER(P7),N(P7)&gt;=Assumptions!$C$22),Assumptions!$C$21,0)))</f>
        <v/>
      </c>
      <c r="Y7" s="18" t="str">
        <f aca="false">IF(X7="","",IF(R7="No","None",IF(X7&gt;=Assumptions!$C$23,"High",IF(X7&gt;=Assumptions!$C$24,"Medium","Low"))))</f>
        <v/>
      </c>
      <c r="Z7" s="16"/>
      <c r="AA7" s="17"/>
      <c r="AB7" s="16"/>
      <c r="AC7" s="18" t="str">
        <f aca="true">IF(OR(AA7="",AB7="Hybrid deployed",AB7="PQC deployed",AB7="Not required (not vulnerable)",AB7="Risk accepted"),"",IF(AA7&lt;TODAY(),"OVERDUE",""))</f>
        <v/>
      </c>
      <c r="AD7" s="18" t="str">
        <f aca="true">IF(A7="","",IF(B7="","Name the system. ","")&amp;IF(LEFT(R7,7)="Unknown","Algorithm unknown - scan or ask the vendor. ","")&amp;IF(AND(R7&lt;&gt;"No",Assumptions!$C$6=""),"Set Z on Assumptions. ","")&amp;IF(AND(R7&lt;&gt;"No",OR(O7="",P7="")),"Enter X and Y. ","")&amp;IF(LEFT(T7,7)="AT RISK","Mosca: X+Y exceeds Z - migration should already be under way. ","")&amp;IF(AND(LEFT(U7,3)="Yes",OR(AB7="",AB7="Not started")),"Harvest-now-decrypt-later exposure and migration not started. ","")&amp;IF(AND(R7&lt;&gt;"No",OR(W7="",W7="To decide")),"Choose a target algorithm. ","")&amp;IF(AND(R7&lt;&gt;"No",W7="Keep - not quantum-vulnerable"),"Target 'Keep' conflicts with a quantum-vulnerable algorithm. ","")&amp;IF(LEFT(J7,5)="SHA-1","SHA-1 is deprecated - replace (NIST IR 8547). ","")&amp;IF(AND(R7&lt;&gt;"No",OR(N7="Roadmap - verbal only",N7="No roadmap",N7="Not asked yet")),"Get a written PQC roadmap from the vendor. ","")&amp;IF(AND(R7&lt;&gt;"No",N7=""),"Record the vendor PQC roadmap status. ","")&amp;IF(ISNUMBER(M7),IF(M7&lt;TODAY(),"Certificate or key expired. ",IF(M7-TODAY()&lt;=Assumptions!$C$25,"Expires soon - use the renewal to revisit the algorithm. ","")),"")&amp;IF(AC7="OVERDUE","Migration overdue. ","")&amp;IF(AND(R7&lt;&gt;"No",Z7=""),"Assign a migration owner. ",""))</f>
        <v/>
      </c>
    </row>
    <row r="8" customFormat="false" ht="15" hidden="false" customHeight="false" outlineLevel="0" collapsed="false">
      <c r="A8" s="16"/>
      <c r="B8" s="16"/>
      <c r="C8" s="16"/>
      <c r="D8" s="16"/>
      <c r="E8" s="16"/>
      <c r="F8" s="16"/>
      <c r="G8" s="16"/>
      <c r="H8" s="16"/>
      <c r="I8" s="16"/>
      <c r="J8" s="16"/>
      <c r="K8" s="16"/>
      <c r="L8" s="16"/>
      <c r="M8" s="17"/>
      <c r="N8" s="16"/>
      <c r="O8" s="16"/>
      <c r="P8" s="16"/>
      <c r="Q8" s="18" t="str">
        <f aca="false">IF(A8="","",IF(J8="","Unknown",IFERROR(INDEX('Algorithm Reference'!$C$6:$C$41,MATCH(J8,'Algorithm Reference'!$B$6:$B$41,0)),"Not in reference")))</f>
        <v/>
      </c>
      <c r="R8" s="18" t="str">
        <f aca="false">IF(A8="","",IF(J8="","Unknown - investigate",IFERROR(INDEX('Algorithm Reference'!$E$6:$E$41,MATCH(J8,'Algorithm Reference'!$B$6:$B$41,0)),"Unknown - investigate")))</f>
        <v/>
      </c>
      <c r="S8" s="18" t="str">
        <f aca="false">IF(OR(O8="",P8=""),"",O8+P8)</f>
        <v/>
      </c>
      <c r="T8" s="18" t="str">
        <f aca="false">IF(A8="","",IF(R8="No","N/A - not quantum-vulnerable",IF(OR(O8="",P8=""),"Enter X and Y",IF(Assumptions!$C$6="","Set Z on Assumptions",IF(O8+P8&gt;Assumptions!$C$6,"AT RISK (X+Y &gt; Z)","Within Z (X+Y &lt;= Z)")))))</f>
        <v/>
      </c>
      <c r="U8" s="18" t="str">
        <f aca="false">IF(A8="","",IF(AND(R8&lt;&gt;"No",OR(I8="Key establishment / encryption in transit",I8="Key wrapping / key transport",I8="Mixed or unknown",I8=""),OR(N(O8)&gt;0,G8="Confidential",G8="Restricted")),IF(F8="Yes","Yes - internet-facing","Yes"),"No"))</f>
        <v/>
      </c>
      <c r="V8" s="18" t="str">
        <f aca="false">IF(A8="","",IF(R8="No","Keep - not quantum-vulnerable (review key size)",IF(I8="Digital signature / authentication","ML-DSA-65 (FIPS 204); SLH-DSA (FIPS 205) if hash-based is preferred",IF(OR(I8="Key establishment / encryption in transit",I8="Key wrapping / key transport"),"ML-KEM-768 (FIPS 203); hybrid X25519MLKEM768 for TLS 1.3",IF(I8="Mixed or unknown","Both: ML-KEM (FIPS 203) for keys, ML-DSA (FIPS 204) for signatures","Pick the crypto function first")))))</f>
        <v/>
      </c>
      <c r="W8" s="16"/>
      <c r="X8" s="18" t="str">
        <f aca="false">IF(A8="","",IF(R8="No",0,IF(LEFT(T8,7)="AT RISK",Assumptions!$C$13,0)+IF(LEFT(U8,3)="Yes",Assumptions!$C$14,0)+IF(F8="Yes",Assumptions!$C$15,0)+IF(G8="Restricted",Assumptions!$C$16,IF(G8="Confidential",Assumptions!$C$17,IF(G8="Internal",Assumptions!$C$18,0)))+IF(OR(N8="Roadmap - verbal only",N8="No roadmap",N8="Not asked yet",N8=""),Assumptions!$C$19,0)+IF(E8="Production",Assumptions!$C$20,0)+IF(AND(ISNUMBER(P8),N(P8)&gt;=Assumptions!$C$22),Assumptions!$C$21,0)))</f>
        <v/>
      </c>
      <c r="Y8" s="18" t="str">
        <f aca="false">IF(X8="","",IF(R8="No","None",IF(X8&gt;=Assumptions!$C$23,"High",IF(X8&gt;=Assumptions!$C$24,"Medium","Low"))))</f>
        <v/>
      </c>
      <c r="Z8" s="16"/>
      <c r="AA8" s="17"/>
      <c r="AB8" s="16"/>
      <c r="AC8" s="18" t="str">
        <f aca="true">IF(OR(AA8="",AB8="Hybrid deployed",AB8="PQC deployed",AB8="Not required (not vulnerable)",AB8="Risk accepted"),"",IF(AA8&lt;TODAY(),"OVERDUE",""))</f>
        <v/>
      </c>
      <c r="AD8" s="18" t="str">
        <f aca="true">IF(A8="","",IF(B8="","Name the system. ","")&amp;IF(LEFT(R8,7)="Unknown","Algorithm unknown - scan or ask the vendor. ","")&amp;IF(AND(R8&lt;&gt;"No",Assumptions!$C$6=""),"Set Z on Assumptions. ","")&amp;IF(AND(R8&lt;&gt;"No",OR(O8="",P8="")),"Enter X and Y. ","")&amp;IF(LEFT(T8,7)="AT RISK","Mosca: X+Y exceeds Z - migration should already be under way. ","")&amp;IF(AND(LEFT(U8,3)="Yes",OR(AB8="",AB8="Not started")),"Harvest-now-decrypt-later exposure and migration not started. ","")&amp;IF(AND(R8&lt;&gt;"No",OR(W8="",W8="To decide")),"Choose a target algorithm. ","")&amp;IF(AND(R8&lt;&gt;"No",W8="Keep - not quantum-vulnerable"),"Target 'Keep' conflicts with a quantum-vulnerable algorithm. ","")&amp;IF(LEFT(J8,5)="SHA-1","SHA-1 is deprecated - replace (NIST IR 8547). ","")&amp;IF(AND(R8&lt;&gt;"No",OR(N8="Roadmap - verbal only",N8="No roadmap",N8="Not asked yet")),"Get a written PQC roadmap from the vendor. ","")&amp;IF(AND(R8&lt;&gt;"No",N8=""),"Record the vendor PQC roadmap status. ","")&amp;IF(ISNUMBER(M8),IF(M8&lt;TODAY(),"Certificate or key expired. ",IF(M8-TODAY()&lt;=Assumptions!$C$25,"Expires soon - use the renewal to revisit the algorithm. ","")),"")&amp;IF(AC8="OVERDUE","Migration overdue. ","")&amp;IF(AND(R8&lt;&gt;"No",Z8=""),"Assign a migration owner. ",""))</f>
        <v/>
      </c>
    </row>
    <row r="9" customFormat="false" ht="15" hidden="false" customHeight="false" outlineLevel="0" collapsed="false">
      <c r="A9" s="16"/>
      <c r="B9" s="16"/>
      <c r="C9" s="16"/>
      <c r="D9" s="16"/>
      <c r="E9" s="16"/>
      <c r="F9" s="16"/>
      <c r="G9" s="16"/>
      <c r="H9" s="16"/>
      <c r="I9" s="16"/>
      <c r="J9" s="16"/>
      <c r="K9" s="16"/>
      <c r="L9" s="16"/>
      <c r="M9" s="17"/>
      <c r="N9" s="16"/>
      <c r="O9" s="16"/>
      <c r="P9" s="16"/>
      <c r="Q9" s="18" t="str">
        <f aca="false">IF(A9="","",IF(J9="","Unknown",IFERROR(INDEX('Algorithm Reference'!$C$6:$C$41,MATCH(J9,'Algorithm Reference'!$B$6:$B$41,0)),"Not in reference")))</f>
        <v/>
      </c>
      <c r="R9" s="18" t="str">
        <f aca="false">IF(A9="","",IF(J9="","Unknown - investigate",IFERROR(INDEX('Algorithm Reference'!$E$6:$E$41,MATCH(J9,'Algorithm Reference'!$B$6:$B$41,0)),"Unknown - investigate")))</f>
        <v/>
      </c>
      <c r="S9" s="18" t="str">
        <f aca="false">IF(OR(O9="",P9=""),"",O9+P9)</f>
        <v/>
      </c>
      <c r="T9" s="18" t="str">
        <f aca="false">IF(A9="","",IF(R9="No","N/A - not quantum-vulnerable",IF(OR(O9="",P9=""),"Enter X and Y",IF(Assumptions!$C$6="","Set Z on Assumptions",IF(O9+P9&gt;Assumptions!$C$6,"AT RISK (X+Y &gt; Z)","Within Z (X+Y &lt;= Z)")))))</f>
        <v/>
      </c>
      <c r="U9" s="18" t="str">
        <f aca="false">IF(A9="","",IF(AND(R9&lt;&gt;"No",OR(I9="Key establishment / encryption in transit",I9="Key wrapping / key transport",I9="Mixed or unknown",I9=""),OR(N(O9)&gt;0,G9="Confidential",G9="Restricted")),IF(F9="Yes","Yes - internet-facing","Yes"),"No"))</f>
        <v/>
      </c>
      <c r="V9" s="18" t="str">
        <f aca="false">IF(A9="","",IF(R9="No","Keep - not quantum-vulnerable (review key size)",IF(I9="Digital signature / authentication","ML-DSA-65 (FIPS 204); SLH-DSA (FIPS 205) if hash-based is preferred",IF(OR(I9="Key establishment / encryption in transit",I9="Key wrapping / key transport"),"ML-KEM-768 (FIPS 203); hybrid X25519MLKEM768 for TLS 1.3",IF(I9="Mixed or unknown","Both: ML-KEM (FIPS 203) for keys, ML-DSA (FIPS 204) for signatures","Pick the crypto function first")))))</f>
        <v/>
      </c>
      <c r="W9" s="16"/>
      <c r="X9" s="18" t="str">
        <f aca="false">IF(A9="","",IF(R9="No",0,IF(LEFT(T9,7)="AT RISK",Assumptions!$C$13,0)+IF(LEFT(U9,3)="Yes",Assumptions!$C$14,0)+IF(F9="Yes",Assumptions!$C$15,0)+IF(G9="Restricted",Assumptions!$C$16,IF(G9="Confidential",Assumptions!$C$17,IF(G9="Internal",Assumptions!$C$18,0)))+IF(OR(N9="Roadmap - verbal only",N9="No roadmap",N9="Not asked yet",N9=""),Assumptions!$C$19,0)+IF(E9="Production",Assumptions!$C$20,0)+IF(AND(ISNUMBER(P9),N(P9)&gt;=Assumptions!$C$22),Assumptions!$C$21,0)))</f>
        <v/>
      </c>
      <c r="Y9" s="18" t="str">
        <f aca="false">IF(X9="","",IF(R9="No","None",IF(X9&gt;=Assumptions!$C$23,"High",IF(X9&gt;=Assumptions!$C$24,"Medium","Low"))))</f>
        <v/>
      </c>
      <c r="Z9" s="16"/>
      <c r="AA9" s="17"/>
      <c r="AB9" s="16"/>
      <c r="AC9" s="18" t="str">
        <f aca="true">IF(OR(AA9="",AB9="Hybrid deployed",AB9="PQC deployed",AB9="Not required (not vulnerable)",AB9="Risk accepted"),"",IF(AA9&lt;TODAY(),"OVERDUE",""))</f>
        <v/>
      </c>
      <c r="AD9" s="18" t="str">
        <f aca="true">IF(A9="","",IF(B9="","Name the system. ","")&amp;IF(LEFT(R9,7)="Unknown","Algorithm unknown - scan or ask the vendor. ","")&amp;IF(AND(R9&lt;&gt;"No",Assumptions!$C$6=""),"Set Z on Assumptions. ","")&amp;IF(AND(R9&lt;&gt;"No",OR(O9="",P9="")),"Enter X and Y. ","")&amp;IF(LEFT(T9,7)="AT RISK","Mosca: X+Y exceeds Z - migration should already be under way. ","")&amp;IF(AND(LEFT(U9,3)="Yes",OR(AB9="",AB9="Not started")),"Harvest-now-decrypt-later exposure and migration not started. ","")&amp;IF(AND(R9&lt;&gt;"No",OR(W9="",W9="To decide")),"Choose a target algorithm. ","")&amp;IF(AND(R9&lt;&gt;"No",W9="Keep - not quantum-vulnerable"),"Target 'Keep' conflicts with a quantum-vulnerable algorithm. ","")&amp;IF(LEFT(J9,5)="SHA-1","SHA-1 is deprecated - replace (NIST IR 8547). ","")&amp;IF(AND(R9&lt;&gt;"No",OR(N9="Roadmap - verbal only",N9="No roadmap",N9="Not asked yet")),"Get a written PQC roadmap from the vendor. ","")&amp;IF(AND(R9&lt;&gt;"No",N9=""),"Record the vendor PQC roadmap status. ","")&amp;IF(ISNUMBER(M9),IF(M9&lt;TODAY(),"Certificate or key expired. ",IF(M9-TODAY()&lt;=Assumptions!$C$25,"Expires soon - use the renewal to revisit the algorithm. ","")),"")&amp;IF(AC9="OVERDUE","Migration overdue. ","")&amp;IF(AND(R9&lt;&gt;"No",Z9=""),"Assign a migration owner. ",""))</f>
        <v/>
      </c>
    </row>
    <row r="10" customFormat="false" ht="15" hidden="false" customHeight="false" outlineLevel="0" collapsed="false">
      <c r="A10" s="16"/>
      <c r="B10" s="16"/>
      <c r="C10" s="16"/>
      <c r="D10" s="16"/>
      <c r="E10" s="16"/>
      <c r="F10" s="16"/>
      <c r="G10" s="16"/>
      <c r="H10" s="16"/>
      <c r="I10" s="16"/>
      <c r="J10" s="16"/>
      <c r="K10" s="16"/>
      <c r="L10" s="16"/>
      <c r="M10" s="17"/>
      <c r="N10" s="16"/>
      <c r="O10" s="16"/>
      <c r="P10" s="16"/>
      <c r="Q10" s="18" t="str">
        <f aca="false">IF(A10="","",IF(J10="","Unknown",IFERROR(INDEX('Algorithm Reference'!$C$6:$C$41,MATCH(J10,'Algorithm Reference'!$B$6:$B$41,0)),"Not in reference")))</f>
        <v/>
      </c>
      <c r="R10" s="18" t="str">
        <f aca="false">IF(A10="","",IF(J10="","Unknown - investigate",IFERROR(INDEX('Algorithm Reference'!$E$6:$E$41,MATCH(J10,'Algorithm Reference'!$B$6:$B$41,0)),"Unknown - investigate")))</f>
        <v/>
      </c>
      <c r="S10" s="18" t="str">
        <f aca="false">IF(OR(O10="",P10=""),"",O10+P10)</f>
        <v/>
      </c>
      <c r="T10" s="18" t="str">
        <f aca="false">IF(A10="","",IF(R10="No","N/A - not quantum-vulnerable",IF(OR(O10="",P10=""),"Enter X and Y",IF(Assumptions!$C$6="","Set Z on Assumptions",IF(O10+P10&gt;Assumptions!$C$6,"AT RISK (X+Y &gt; Z)","Within Z (X+Y &lt;= Z)")))))</f>
        <v/>
      </c>
      <c r="U10" s="18" t="str">
        <f aca="false">IF(A10="","",IF(AND(R10&lt;&gt;"No",OR(I10="Key establishment / encryption in transit",I10="Key wrapping / key transport",I10="Mixed or unknown",I10=""),OR(N(O10)&gt;0,G10="Confidential",G10="Restricted")),IF(F10="Yes","Yes - internet-facing","Yes"),"No"))</f>
        <v/>
      </c>
      <c r="V10" s="18" t="str">
        <f aca="false">IF(A10="","",IF(R10="No","Keep - not quantum-vulnerable (review key size)",IF(I10="Digital signature / authentication","ML-DSA-65 (FIPS 204); SLH-DSA (FIPS 205) if hash-based is preferred",IF(OR(I10="Key establishment / encryption in transit",I10="Key wrapping / key transport"),"ML-KEM-768 (FIPS 203); hybrid X25519MLKEM768 for TLS 1.3",IF(I10="Mixed or unknown","Both: ML-KEM (FIPS 203) for keys, ML-DSA (FIPS 204) for signatures","Pick the crypto function first")))))</f>
        <v/>
      </c>
      <c r="W10" s="16"/>
      <c r="X10" s="18" t="str">
        <f aca="false">IF(A10="","",IF(R10="No",0,IF(LEFT(T10,7)="AT RISK",Assumptions!$C$13,0)+IF(LEFT(U10,3)="Yes",Assumptions!$C$14,0)+IF(F10="Yes",Assumptions!$C$15,0)+IF(G10="Restricted",Assumptions!$C$16,IF(G10="Confidential",Assumptions!$C$17,IF(G10="Internal",Assumptions!$C$18,0)))+IF(OR(N10="Roadmap - verbal only",N10="No roadmap",N10="Not asked yet",N10=""),Assumptions!$C$19,0)+IF(E10="Production",Assumptions!$C$20,0)+IF(AND(ISNUMBER(P10),N(P10)&gt;=Assumptions!$C$22),Assumptions!$C$21,0)))</f>
        <v/>
      </c>
      <c r="Y10" s="18" t="str">
        <f aca="false">IF(X10="","",IF(R10="No","None",IF(X10&gt;=Assumptions!$C$23,"High",IF(X10&gt;=Assumptions!$C$24,"Medium","Low"))))</f>
        <v/>
      </c>
      <c r="Z10" s="16"/>
      <c r="AA10" s="17"/>
      <c r="AB10" s="16"/>
      <c r="AC10" s="18" t="str">
        <f aca="true">IF(OR(AA10="",AB10="Hybrid deployed",AB10="PQC deployed",AB10="Not required (not vulnerable)",AB10="Risk accepted"),"",IF(AA10&lt;TODAY(),"OVERDUE",""))</f>
        <v/>
      </c>
      <c r="AD10" s="18" t="str">
        <f aca="true">IF(A10="","",IF(B10="","Name the system. ","")&amp;IF(LEFT(R10,7)="Unknown","Algorithm unknown - scan or ask the vendor. ","")&amp;IF(AND(R10&lt;&gt;"No",Assumptions!$C$6=""),"Set Z on Assumptions. ","")&amp;IF(AND(R10&lt;&gt;"No",OR(O10="",P10="")),"Enter X and Y. ","")&amp;IF(LEFT(T10,7)="AT RISK","Mosca: X+Y exceeds Z - migration should already be under way. ","")&amp;IF(AND(LEFT(U10,3)="Yes",OR(AB10="",AB10="Not started")),"Harvest-now-decrypt-later exposure and migration not started. ","")&amp;IF(AND(R10&lt;&gt;"No",OR(W10="",W10="To decide")),"Choose a target algorithm. ","")&amp;IF(AND(R10&lt;&gt;"No",W10="Keep - not quantum-vulnerable"),"Target 'Keep' conflicts with a quantum-vulnerable algorithm. ","")&amp;IF(LEFT(J10,5)="SHA-1","SHA-1 is deprecated - replace (NIST IR 8547). ","")&amp;IF(AND(R10&lt;&gt;"No",OR(N10="Roadmap - verbal only",N10="No roadmap",N10="Not asked yet")),"Get a written PQC roadmap from the vendor. ","")&amp;IF(AND(R10&lt;&gt;"No",N10=""),"Record the vendor PQC roadmap status. ","")&amp;IF(ISNUMBER(M10),IF(M10&lt;TODAY(),"Certificate or key expired. ",IF(M10-TODAY()&lt;=Assumptions!$C$25,"Expires soon - use the renewal to revisit the algorithm. ","")),"")&amp;IF(AC10="OVERDUE","Migration overdue. ","")&amp;IF(AND(R10&lt;&gt;"No",Z10=""),"Assign a migration owner. ",""))</f>
        <v/>
      </c>
    </row>
    <row r="11" customFormat="false" ht="15" hidden="false" customHeight="false" outlineLevel="0" collapsed="false">
      <c r="A11" s="16"/>
      <c r="B11" s="16"/>
      <c r="C11" s="16"/>
      <c r="D11" s="16"/>
      <c r="E11" s="16"/>
      <c r="F11" s="16"/>
      <c r="G11" s="16"/>
      <c r="H11" s="16"/>
      <c r="I11" s="16"/>
      <c r="J11" s="16"/>
      <c r="K11" s="16"/>
      <c r="L11" s="16"/>
      <c r="M11" s="17"/>
      <c r="N11" s="16"/>
      <c r="O11" s="16"/>
      <c r="P11" s="16"/>
      <c r="Q11" s="18" t="str">
        <f aca="false">IF(A11="","",IF(J11="","Unknown",IFERROR(INDEX('Algorithm Reference'!$C$6:$C$41,MATCH(J11,'Algorithm Reference'!$B$6:$B$41,0)),"Not in reference")))</f>
        <v/>
      </c>
      <c r="R11" s="18" t="str">
        <f aca="false">IF(A11="","",IF(J11="","Unknown - investigate",IFERROR(INDEX('Algorithm Reference'!$E$6:$E$41,MATCH(J11,'Algorithm Reference'!$B$6:$B$41,0)),"Unknown - investigate")))</f>
        <v/>
      </c>
      <c r="S11" s="18" t="str">
        <f aca="false">IF(OR(O11="",P11=""),"",O11+P11)</f>
        <v/>
      </c>
      <c r="T11" s="18" t="str">
        <f aca="false">IF(A11="","",IF(R11="No","N/A - not quantum-vulnerable",IF(OR(O11="",P11=""),"Enter X and Y",IF(Assumptions!$C$6="","Set Z on Assumptions",IF(O11+P11&gt;Assumptions!$C$6,"AT RISK (X+Y &gt; Z)","Within Z (X+Y &lt;= Z)")))))</f>
        <v/>
      </c>
      <c r="U11" s="18" t="str">
        <f aca="false">IF(A11="","",IF(AND(R11&lt;&gt;"No",OR(I11="Key establishment / encryption in transit",I11="Key wrapping / key transport",I11="Mixed or unknown",I11=""),OR(N(O11)&gt;0,G11="Confidential",G11="Restricted")),IF(F11="Yes","Yes - internet-facing","Yes"),"No"))</f>
        <v/>
      </c>
      <c r="V11" s="18" t="str">
        <f aca="false">IF(A11="","",IF(R11="No","Keep - not quantum-vulnerable (review key size)",IF(I11="Digital signature / authentication","ML-DSA-65 (FIPS 204); SLH-DSA (FIPS 205) if hash-based is preferred",IF(OR(I11="Key establishment / encryption in transit",I11="Key wrapping / key transport"),"ML-KEM-768 (FIPS 203); hybrid X25519MLKEM768 for TLS 1.3",IF(I11="Mixed or unknown","Both: ML-KEM (FIPS 203) for keys, ML-DSA (FIPS 204) for signatures","Pick the crypto function first")))))</f>
        <v/>
      </c>
      <c r="W11" s="16"/>
      <c r="X11" s="18" t="str">
        <f aca="false">IF(A11="","",IF(R11="No",0,IF(LEFT(T11,7)="AT RISK",Assumptions!$C$13,0)+IF(LEFT(U11,3)="Yes",Assumptions!$C$14,0)+IF(F11="Yes",Assumptions!$C$15,0)+IF(G11="Restricted",Assumptions!$C$16,IF(G11="Confidential",Assumptions!$C$17,IF(G11="Internal",Assumptions!$C$18,0)))+IF(OR(N11="Roadmap - verbal only",N11="No roadmap",N11="Not asked yet",N11=""),Assumptions!$C$19,0)+IF(E11="Production",Assumptions!$C$20,0)+IF(AND(ISNUMBER(P11),N(P11)&gt;=Assumptions!$C$22),Assumptions!$C$21,0)))</f>
        <v/>
      </c>
      <c r="Y11" s="18" t="str">
        <f aca="false">IF(X11="","",IF(R11="No","None",IF(X11&gt;=Assumptions!$C$23,"High",IF(X11&gt;=Assumptions!$C$24,"Medium","Low"))))</f>
        <v/>
      </c>
      <c r="Z11" s="16"/>
      <c r="AA11" s="17"/>
      <c r="AB11" s="16"/>
      <c r="AC11" s="18" t="str">
        <f aca="true">IF(OR(AA11="",AB11="Hybrid deployed",AB11="PQC deployed",AB11="Not required (not vulnerable)",AB11="Risk accepted"),"",IF(AA11&lt;TODAY(),"OVERDUE",""))</f>
        <v/>
      </c>
      <c r="AD11" s="18" t="str">
        <f aca="true">IF(A11="","",IF(B11="","Name the system. ","")&amp;IF(LEFT(R11,7)="Unknown","Algorithm unknown - scan or ask the vendor. ","")&amp;IF(AND(R11&lt;&gt;"No",Assumptions!$C$6=""),"Set Z on Assumptions. ","")&amp;IF(AND(R11&lt;&gt;"No",OR(O11="",P11="")),"Enter X and Y. ","")&amp;IF(LEFT(T11,7)="AT RISK","Mosca: X+Y exceeds Z - migration should already be under way. ","")&amp;IF(AND(LEFT(U11,3)="Yes",OR(AB11="",AB11="Not started")),"Harvest-now-decrypt-later exposure and migration not started. ","")&amp;IF(AND(R11&lt;&gt;"No",OR(W11="",W11="To decide")),"Choose a target algorithm. ","")&amp;IF(AND(R11&lt;&gt;"No",W11="Keep - not quantum-vulnerable"),"Target 'Keep' conflicts with a quantum-vulnerable algorithm. ","")&amp;IF(LEFT(J11,5)="SHA-1","SHA-1 is deprecated - replace (NIST IR 8547). ","")&amp;IF(AND(R11&lt;&gt;"No",OR(N11="Roadmap - verbal only",N11="No roadmap",N11="Not asked yet")),"Get a written PQC roadmap from the vendor. ","")&amp;IF(AND(R11&lt;&gt;"No",N11=""),"Record the vendor PQC roadmap status. ","")&amp;IF(ISNUMBER(M11),IF(M11&lt;TODAY(),"Certificate or key expired. ",IF(M11-TODAY()&lt;=Assumptions!$C$25,"Expires soon - use the renewal to revisit the algorithm. ","")),"")&amp;IF(AC11="OVERDUE","Migration overdue. ","")&amp;IF(AND(R11&lt;&gt;"No",Z11=""),"Assign a migration owner. ",""))</f>
        <v/>
      </c>
    </row>
    <row r="12" customFormat="false" ht="15" hidden="false" customHeight="false" outlineLevel="0" collapsed="false">
      <c r="A12" s="16"/>
      <c r="B12" s="16"/>
      <c r="C12" s="16"/>
      <c r="D12" s="16"/>
      <c r="E12" s="16"/>
      <c r="F12" s="16"/>
      <c r="G12" s="16"/>
      <c r="H12" s="16"/>
      <c r="I12" s="16"/>
      <c r="J12" s="16"/>
      <c r="K12" s="16"/>
      <c r="L12" s="16"/>
      <c r="M12" s="17"/>
      <c r="N12" s="16"/>
      <c r="O12" s="16"/>
      <c r="P12" s="16"/>
      <c r="Q12" s="18" t="str">
        <f aca="false">IF(A12="","",IF(J12="","Unknown",IFERROR(INDEX('Algorithm Reference'!$C$6:$C$41,MATCH(J12,'Algorithm Reference'!$B$6:$B$41,0)),"Not in reference")))</f>
        <v/>
      </c>
      <c r="R12" s="18" t="str">
        <f aca="false">IF(A12="","",IF(J12="","Unknown - investigate",IFERROR(INDEX('Algorithm Reference'!$E$6:$E$41,MATCH(J12,'Algorithm Reference'!$B$6:$B$41,0)),"Unknown - investigate")))</f>
        <v/>
      </c>
      <c r="S12" s="18" t="str">
        <f aca="false">IF(OR(O12="",P12=""),"",O12+P12)</f>
        <v/>
      </c>
      <c r="T12" s="18" t="str">
        <f aca="false">IF(A12="","",IF(R12="No","N/A - not quantum-vulnerable",IF(OR(O12="",P12=""),"Enter X and Y",IF(Assumptions!$C$6="","Set Z on Assumptions",IF(O12+P12&gt;Assumptions!$C$6,"AT RISK (X+Y &gt; Z)","Within Z (X+Y &lt;= Z)")))))</f>
        <v/>
      </c>
      <c r="U12" s="18" t="str">
        <f aca="false">IF(A12="","",IF(AND(R12&lt;&gt;"No",OR(I12="Key establishment / encryption in transit",I12="Key wrapping / key transport",I12="Mixed or unknown",I12=""),OR(N(O12)&gt;0,G12="Confidential",G12="Restricted")),IF(F12="Yes","Yes - internet-facing","Yes"),"No"))</f>
        <v/>
      </c>
      <c r="V12" s="18" t="str">
        <f aca="false">IF(A12="","",IF(R12="No","Keep - not quantum-vulnerable (review key size)",IF(I12="Digital signature / authentication","ML-DSA-65 (FIPS 204); SLH-DSA (FIPS 205) if hash-based is preferred",IF(OR(I12="Key establishment / encryption in transit",I12="Key wrapping / key transport"),"ML-KEM-768 (FIPS 203); hybrid X25519MLKEM768 for TLS 1.3",IF(I12="Mixed or unknown","Both: ML-KEM (FIPS 203) for keys, ML-DSA (FIPS 204) for signatures","Pick the crypto function first")))))</f>
        <v/>
      </c>
      <c r="W12" s="16"/>
      <c r="X12" s="18" t="str">
        <f aca="false">IF(A12="","",IF(R12="No",0,IF(LEFT(T12,7)="AT RISK",Assumptions!$C$13,0)+IF(LEFT(U12,3)="Yes",Assumptions!$C$14,0)+IF(F12="Yes",Assumptions!$C$15,0)+IF(G12="Restricted",Assumptions!$C$16,IF(G12="Confidential",Assumptions!$C$17,IF(G12="Internal",Assumptions!$C$18,0)))+IF(OR(N12="Roadmap - verbal only",N12="No roadmap",N12="Not asked yet",N12=""),Assumptions!$C$19,0)+IF(E12="Production",Assumptions!$C$20,0)+IF(AND(ISNUMBER(P12),N(P12)&gt;=Assumptions!$C$22),Assumptions!$C$21,0)))</f>
        <v/>
      </c>
      <c r="Y12" s="18" t="str">
        <f aca="false">IF(X12="","",IF(R12="No","None",IF(X12&gt;=Assumptions!$C$23,"High",IF(X12&gt;=Assumptions!$C$24,"Medium","Low"))))</f>
        <v/>
      </c>
      <c r="Z12" s="16"/>
      <c r="AA12" s="17"/>
      <c r="AB12" s="16"/>
      <c r="AC12" s="18" t="str">
        <f aca="true">IF(OR(AA12="",AB12="Hybrid deployed",AB12="PQC deployed",AB12="Not required (not vulnerable)",AB12="Risk accepted"),"",IF(AA12&lt;TODAY(),"OVERDUE",""))</f>
        <v/>
      </c>
      <c r="AD12" s="18" t="str">
        <f aca="true">IF(A12="","",IF(B12="","Name the system. ","")&amp;IF(LEFT(R12,7)="Unknown","Algorithm unknown - scan or ask the vendor. ","")&amp;IF(AND(R12&lt;&gt;"No",Assumptions!$C$6=""),"Set Z on Assumptions. ","")&amp;IF(AND(R12&lt;&gt;"No",OR(O12="",P12="")),"Enter X and Y. ","")&amp;IF(LEFT(T12,7)="AT RISK","Mosca: X+Y exceeds Z - migration should already be under way. ","")&amp;IF(AND(LEFT(U12,3)="Yes",OR(AB12="",AB12="Not started")),"Harvest-now-decrypt-later exposure and migration not started. ","")&amp;IF(AND(R12&lt;&gt;"No",OR(W12="",W12="To decide")),"Choose a target algorithm. ","")&amp;IF(AND(R12&lt;&gt;"No",W12="Keep - not quantum-vulnerable"),"Target 'Keep' conflicts with a quantum-vulnerable algorithm. ","")&amp;IF(LEFT(J12,5)="SHA-1","SHA-1 is deprecated - replace (NIST IR 8547). ","")&amp;IF(AND(R12&lt;&gt;"No",OR(N12="Roadmap - verbal only",N12="No roadmap",N12="Not asked yet")),"Get a written PQC roadmap from the vendor. ","")&amp;IF(AND(R12&lt;&gt;"No",N12=""),"Record the vendor PQC roadmap status. ","")&amp;IF(ISNUMBER(M12),IF(M12&lt;TODAY(),"Certificate or key expired. ",IF(M12-TODAY()&lt;=Assumptions!$C$25,"Expires soon - use the renewal to revisit the algorithm. ","")),"")&amp;IF(AC12="OVERDUE","Migration overdue. ","")&amp;IF(AND(R12&lt;&gt;"No",Z12=""),"Assign a migration owner. ",""))</f>
        <v/>
      </c>
    </row>
    <row r="13" customFormat="false" ht="15" hidden="false" customHeight="false" outlineLevel="0" collapsed="false">
      <c r="A13" s="16"/>
      <c r="B13" s="16"/>
      <c r="C13" s="16"/>
      <c r="D13" s="16"/>
      <c r="E13" s="16"/>
      <c r="F13" s="16"/>
      <c r="G13" s="16"/>
      <c r="H13" s="16"/>
      <c r="I13" s="16"/>
      <c r="J13" s="16"/>
      <c r="K13" s="16"/>
      <c r="L13" s="16"/>
      <c r="M13" s="17"/>
      <c r="N13" s="16"/>
      <c r="O13" s="16"/>
      <c r="P13" s="16"/>
      <c r="Q13" s="18" t="str">
        <f aca="false">IF(A13="","",IF(J13="","Unknown",IFERROR(INDEX('Algorithm Reference'!$C$6:$C$41,MATCH(J13,'Algorithm Reference'!$B$6:$B$41,0)),"Not in reference")))</f>
        <v/>
      </c>
      <c r="R13" s="18" t="str">
        <f aca="false">IF(A13="","",IF(J13="","Unknown - investigate",IFERROR(INDEX('Algorithm Reference'!$E$6:$E$41,MATCH(J13,'Algorithm Reference'!$B$6:$B$41,0)),"Unknown - investigate")))</f>
        <v/>
      </c>
      <c r="S13" s="18" t="str">
        <f aca="false">IF(OR(O13="",P13=""),"",O13+P13)</f>
        <v/>
      </c>
      <c r="T13" s="18" t="str">
        <f aca="false">IF(A13="","",IF(R13="No","N/A - not quantum-vulnerable",IF(OR(O13="",P13=""),"Enter X and Y",IF(Assumptions!$C$6="","Set Z on Assumptions",IF(O13+P13&gt;Assumptions!$C$6,"AT RISK (X+Y &gt; Z)","Within Z (X+Y &lt;= Z)")))))</f>
        <v/>
      </c>
      <c r="U13" s="18" t="str">
        <f aca="false">IF(A13="","",IF(AND(R13&lt;&gt;"No",OR(I13="Key establishment / encryption in transit",I13="Key wrapping / key transport",I13="Mixed or unknown",I13=""),OR(N(O13)&gt;0,G13="Confidential",G13="Restricted")),IF(F13="Yes","Yes - internet-facing","Yes"),"No"))</f>
        <v/>
      </c>
      <c r="V13" s="18" t="str">
        <f aca="false">IF(A13="","",IF(R13="No","Keep - not quantum-vulnerable (review key size)",IF(I13="Digital signature / authentication","ML-DSA-65 (FIPS 204); SLH-DSA (FIPS 205) if hash-based is preferred",IF(OR(I13="Key establishment / encryption in transit",I13="Key wrapping / key transport"),"ML-KEM-768 (FIPS 203); hybrid X25519MLKEM768 for TLS 1.3",IF(I13="Mixed or unknown","Both: ML-KEM (FIPS 203) for keys, ML-DSA (FIPS 204) for signatures","Pick the crypto function first")))))</f>
        <v/>
      </c>
      <c r="W13" s="16"/>
      <c r="X13" s="18" t="str">
        <f aca="false">IF(A13="","",IF(R13="No",0,IF(LEFT(T13,7)="AT RISK",Assumptions!$C$13,0)+IF(LEFT(U13,3)="Yes",Assumptions!$C$14,0)+IF(F13="Yes",Assumptions!$C$15,0)+IF(G13="Restricted",Assumptions!$C$16,IF(G13="Confidential",Assumptions!$C$17,IF(G13="Internal",Assumptions!$C$18,0)))+IF(OR(N13="Roadmap - verbal only",N13="No roadmap",N13="Not asked yet",N13=""),Assumptions!$C$19,0)+IF(E13="Production",Assumptions!$C$20,0)+IF(AND(ISNUMBER(P13),N(P13)&gt;=Assumptions!$C$22),Assumptions!$C$21,0)))</f>
        <v/>
      </c>
      <c r="Y13" s="18" t="str">
        <f aca="false">IF(X13="","",IF(R13="No","None",IF(X13&gt;=Assumptions!$C$23,"High",IF(X13&gt;=Assumptions!$C$24,"Medium","Low"))))</f>
        <v/>
      </c>
      <c r="Z13" s="16"/>
      <c r="AA13" s="17"/>
      <c r="AB13" s="16"/>
      <c r="AC13" s="18" t="str">
        <f aca="true">IF(OR(AA13="",AB13="Hybrid deployed",AB13="PQC deployed",AB13="Not required (not vulnerable)",AB13="Risk accepted"),"",IF(AA13&lt;TODAY(),"OVERDUE",""))</f>
        <v/>
      </c>
      <c r="AD13" s="18" t="str">
        <f aca="true">IF(A13="","",IF(B13="","Name the system. ","")&amp;IF(LEFT(R13,7)="Unknown","Algorithm unknown - scan or ask the vendor. ","")&amp;IF(AND(R13&lt;&gt;"No",Assumptions!$C$6=""),"Set Z on Assumptions. ","")&amp;IF(AND(R13&lt;&gt;"No",OR(O13="",P13="")),"Enter X and Y. ","")&amp;IF(LEFT(T13,7)="AT RISK","Mosca: X+Y exceeds Z - migration should already be under way. ","")&amp;IF(AND(LEFT(U13,3)="Yes",OR(AB13="",AB13="Not started")),"Harvest-now-decrypt-later exposure and migration not started. ","")&amp;IF(AND(R13&lt;&gt;"No",OR(W13="",W13="To decide")),"Choose a target algorithm. ","")&amp;IF(AND(R13&lt;&gt;"No",W13="Keep - not quantum-vulnerable"),"Target 'Keep' conflicts with a quantum-vulnerable algorithm. ","")&amp;IF(LEFT(J13,5)="SHA-1","SHA-1 is deprecated - replace (NIST IR 8547). ","")&amp;IF(AND(R13&lt;&gt;"No",OR(N13="Roadmap - verbal only",N13="No roadmap",N13="Not asked yet")),"Get a written PQC roadmap from the vendor. ","")&amp;IF(AND(R13&lt;&gt;"No",N13=""),"Record the vendor PQC roadmap status. ","")&amp;IF(ISNUMBER(M13),IF(M13&lt;TODAY(),"Certificate or key expired. ",IF(M13-TODAY()&lt;=Assumptions!$C$25,"Expires soon - use the renewal to revisit the algorithm. ","")),"")&amp;IF(AC13="OVERDUE","Migration overdue. ","")&amp;IF(AND(R13&lt;&gt;"No",Z13=""),"Assign a migration owner. ",""))</f>
        <v/>
      </c>
    </row>
    <row r="14" customFormat="false" ht="15" hidden="false" customHeight="false" outlineLevel="0" collapsed="false">
      <c r="A14" s="16"/>
      <c r="B14" s="16"/>
      <c r="C14" s="16"/>
      <c r="D14" s="16"/>
      <c r="E14" s="16"/>
      <c r="F14" s="16"/>
      <c r="G14" s="16"/>
      <c r="H14" s="16"/>
      <c r="I14" s="16"/>
      <c r="J14" s="16"/>
      <c r="K14" s="16"/>
      <c r="L14" s="16"/>
      <c r="M14" s="17"/>
      <c r="N14" s="16"/>
      <c r="O14" s="16"/>
      <c r="P14" s="16"/>
      <c r="Q14" s="18" t="str">
        <f aca="false">IF(A14="","",IF(J14="","Unknown",IFERROR(INDEX('Algorithm Reference'!$C$6:$C$41,MATCH(J14,'Algorithm Reference'!$B$6:$B$41,0)),"Not in reference")))</f>
        <v/>
      </c>
      <c r="R14" s="18" t="str">
        <f aca="false">IF(A14="","",IF(J14="","Unknown - investigate",IFERROR(INDEX('Algorithm Reference'!$E$6:$E$41,MATCH(J14,'Algorithm Reference'!$B$6:$B$41,0)),"Unknown - investigate")))</f>
        <v/>
      </c>
      <c r="S14" s="18" t="str">
        <f aca="false">IF(OR(O14="",P14=""),"",O14+P14)</f>
        <v/>
      </c>
      <c r="T14" s="18" t="str">
        <f aca="false">IF(A14="","",IF(R14="No","N/A - not quantum-vulnerable",IF(OR(O14="",P14=""),"Enter X and Y",IF(Assumptions!$C$6="","Set Z on Assumptions",IF(O14+P14&gt;Assumptions!$C$6,"AT RISK (X+Y &gt; Z)","Within Z (X+Y &lt;= Z)")))))</f>
        <v/>
      </c>
      <c r="U14" s="18" t="str">
        <f aca="false">IF(A14="","",IF(AND(R14&lt;&gt;"No",OR(I14="Key establishment / encryption in transit",I14="Key wrapping / key transport",I14="Mixed or unknown",I14=""),OR(N(O14)&gt;0,G14="Confidential",G14="Restricted")),IF(F14="Yes","Yes - internet-facing","Yes"),"No"))</f>
        <v/>
      </c>
      <c r="V14" s="18" t="str">
        <f aca="false">IF(A14="","",IF(R14="No","Keep - not quantum-vulnerable (review key size)",IF(I14="Digital signature / authentication","ML-DSA-65 (FIPS 204); SLH-DSA (FIPS 205) if hash-based is preferred",IF(OR(I14="Key establishment / encryption in transit",I14="Key wrapping / key transport"),"ML-KEM-768 (FIPS 203); hybrid X25519MLKEM768 for TLS 1.3",IF(I14="Mixed or unknown","Both: ML-KEM (FIPS 203) for keys, ML-DSA (FIPS 204) for signatures","Pick the crypto function first")))))</f>
        <v/>
      </c>
      <c r="W14" s="16"/>
      <c r="X14" s="18" t="str">
        <f aca="false">IF(A14="","",IF(R14="No",0,IF(LEFT(T14,7)="AT RISK",Assumptions!$C$13,0)+IF(LEFT(U14,3)="Yes",Assumptions!$C$14,0)+IF(F14="Yes",Assumptions!$C$15,0)+IF(G14="Restricted",Assumptions!$C$16,IF(G14="Confidential",Assumptions!$C$17,IF(G14="Internal",Assumptions!$C$18,0)))+IF(OR(N14="Roadmap - verbal only",N14="No roadmap",N14="Not asked yet",N14=""),Assumptions!$C$19,0)+IF(E14="Production",Assumptions!$C$20,0)+IF(AND(ISNUMBER(P14),N(P14)&gt;=Assumptions!$C$22),Assumptions!$C$21,0)))</f>
        <v/>
      </c>
      <c r="Y14" s="18" t="str">
        <f aca="false">IF(X14="","",IF(R14="No","None",IF(X14&gt;=Assumptions!$C$23,"High",IF(X14&gt;=Assumptions!$C$24,"Medium","Low"))))</f>
        <v/>
      </c>
      <c r="Z14" s="16"/>
      <c r="AA14" s="17"/>
      <c r="AB14" s="16"/>
      <c r="AC14" s="18" t="str">
        <f aca="true">IF(OR(AA14="",AB14="Hybrid deployed",AB14="PQC deployed",AB14="Not required (not vulnerable)",AB14="Risk accepted"),"",IF(AA14&lt;TODAY(),"OVERDUE",""))</f>
        <v/>
      </c>
      <c r="AD14" s="18" t="str">
        <f aca="true">IF(A14="","",IF(B14="","Name the system. ","")&amp;IF(LEFT(R14,7)="Unknown","Algorithm unknown - scan or ask the vendor. ","")&amp;IF(AND(R14&lt;&gt;"No",Assumptions!$C$6=""),"Set Z on Assumptions. ","")&amp;IF(AND(R14&lt;&gt;"No",OR(O14="",P14="")),"Enter X and Y. ","")&amp;IF(LEFT(T14,7)="AT RISK","Mosca: X+Y exceeds Z - migration should already be under way. ","")&amp;IF(AND(LEFT(U14,3)="Yes",OR(AB14="",AB14="Not started")),"Harvest-now-decrypt-later exposure and migration not started. ","")&amp;IF(AND(R14&lt;&gt;"No",OR(W14="",W14="To decide")),"Choose a target algorithm. ","")&amp;IF(AND(R14&lt;&gt;"No",W14="Keep - not quantum-vulnerable"),"Target 'Keep' conflicts with a quantum-vulnerable algorithm. ","")&amp;IF(LEFT(J14,5)="SHA-1","SHA-1 is deprecated - replace (NIST IR 8547). ","")&amp;IF(AND(R14&lt;&gt;"No",OR(N14="Roadmap - verbal only",N14="No roadmap",N14="Not asked yet")),"Get a written PQC roadmap from the vendor. ","")&amp;IF(AND(R14&lt;&gt;"No",N14=""),"Record the vendor PQC roadmap status. ","")&amp;IF(ISNUMBER(M14),IF(M14&lt;TODAY(),"Certificate or key expired. ",IF(M14-TODAY()&lt;=Assumptions!$C$25,"Expires soon - use the renewal to revisit the algorithm. ","")),"")&amp;IF(AC14="OVERDUE","Migration overdue. ","")&amp;IF(AND(R14&lt;&gt;"No",Z14=""),"Assign a migration owner. ",""))</f>
        <v/>
      </c>
    </row>
    <row r="15" customFormat="false" ht="15" hidden="false" customHeight="false" outlineLevel="0" collapsed="false">
      <c r="A15" s="16"/>
      <c r="B15" s="16"/>
      <c r="C15" s="16"/>
      <c r="D15" s="16"/>
      <c r="E15" s="16"/>
      <c r="F15" s="16"/>
      <c r="G15" s="16"/>
      <c r="H15" s="16"/>
      <c r="I15" s="16"/>
      <c r="J15" s="16"/>
      <c r="K15" s="16"/>
      <c r="L15" s="16"/>
      <c r="M15" s="17"/>
      <c r="N15" s="16"/>
      <c r="O15" s="16"/>
      <c r="P15" s="16"/>
      <c r="Q15" s="18" t="str">
        <f aca="false">IF(A15="","",IF(J15="","Unknown",IFERROR(INDEX('Algorithm Reference'!$C$6:$C$41,MATCH(J15,'Algorithm Reference'!$B$6:$B$41,0)),"Not in reference")))</f>
        <v/>
      </c>
      <c r="R15" s="18" t="str">
        <f aca="false">IF(A15="","",IF(J15="","Unknown - investigate",IFERROR(INDEX('Algorithm Reference'!$E$6:$E$41,MATCH(J15,'Algorithm Reference'!$B$6:$B$41,0)),"Unknown - investigate")))</f>
        <v/>
      </c>
      <c r="S15" s="18" t="str">
        <f aca="false">IF(OR(O15="",P15=""),"",O15+P15)</f>
        <v/>
      </c>
      <c r="T15" s="18" t="str">
        <f aca="false">IF(A15="","",IF(R15="No","N/A - not quantum-vulnerable",IF(OR(O15="",P15=""),"Enter X and Y",IF(Assumptions!$C$6="","Set Z on Assumptions",IF(O15+P15&gt;Assumptions!$C$6,"AT RISK (X+Y &gt; Z)","Within Z (X+Y &lt;= Z)")))))</f>
        <v/>
      </c>
      <c r="U15" s="18" t="str">
        <f aca="false">IF(A15="","",IF(AND(R15&lt;&gt;"No",OR(I15="Key establishment / encryption in transit",I15="Key wrapping / key transport",I15="Mixed or unknown",I15=""),OR(N(O15)&gt;0,G15="Confidential",G15="Restricted")),IF(F15="Yes","Yes - internet-facing","Yes"),"No"))</f>
        <v/>
      </c>
      <c r="V15" s="18" t="str">
        <f aca="false">IF(A15="","",IF(R15="No","Keep - not quantum-vulnerable (review key size)",IF(I15="Digital signature / authentication","ML-DSA-65 (FIPS 204); SLH-DSA (FIPS 205) if hash-based is preferred",IF(OR(I15="Key establishment / encryption in transit",I15="Key wrapping / key transport"),"ML-KEM-768 (FIPS 203); hybrid X25519MLKEM768 for TLS 1.3",IF(I15="Mixed or unknown","Both: ML-KEM (FIPS 203) for keys, ML-DSA (FIPS 204) for signatures","Pick the crypto function first")))))</f>
        <v/>
      </c>
      <c r="W15" s="16"/>
      <c r="X15" s="18" t="str">
        <f aca="false">IF(A15="","",IF(R15="No",0,IF(LEFT(T15,7)="AT RISK",Assumptions!$C$13,0)+IF(LEFT(U15,3)="Yes",Assumptions!$C$14,0)+IF(F15="Yes",Assumptions!$C$15,0)+IF(G15="Restricted",Assumptions!$C$16,IF(G15="Confidential",Assumptions!$C$17,IF(G15="Internal",Assumptions!$C$18,0)))+IF(OR(N15="Roadmap - verbal only",N15="No roadmap",N15="Not asked yet",N15=""),Assumptions!$C$19,0)+IF(E15="Production",Assumptions!$C$20,0)+IF(AND(ISNUMBER(P15),N(P15)&gt;=Assumptions!$C$22),Assumptions!$C$21,0)))</f>
        <v/>
      </c>
      <c r="Y15" s="18" t="str">
        <f aca="false">IF(X15="","",IF(R15="No","None",IF(X15&gt;=Assumptions!$C$23,"High",IF(X15&gt;=Assumptions!$C$24,"Medium","Low"))))</f>
        <v/>
      </c>
      <c r="Z15" s="16"/>
      <c r="AA15" s="17"/>
      <c r="AB15" s="16"/>
      <c r="AC15" s="18" t="str">
        <f aca="true">IF(OR(AA15="",AB15="Hybrid deployed",AB15="PQC deployed",AB15="Not required (not vulnerable)",AB15="Risk accepted"),"",IF(AA15&lt;TODAY(),"OVERDUE",""))</f>
        <v/>
      </c>
      <c r="AD15" s="18" t="str">
        <f aca="true">IF(A15="","",IF(B15="","Name the system. ","")&amp;IF(LEFT(R15,7)="Unknown","Algorithm unknown - scan or ask the vendor. ","")&amp;IF(AND(R15&lt;&gt;"No",Assumptions!$C$6=""),"Set Z on Assumptions. ","")&amp;IF(AND(R15&lt;&gt;"No",OR(O15="",P15="")),"Enter X and Y. ","")&amp;IF(LEFT(T15,7)="AT RISK","Mosca: X+Y exceeds Z - migration should already be under way. ","")&amp;IF(AND(LEFT(U15,3)="Yes",OR(AB15="",AB15="Not started")),"Harvest-now-decrypt-later exposure and migration not started. ","")&amp;IF(AND(R15&lt;&gt;"No",OR(W15="",W15="To decide")),"Choose a target algorithm. ","")&amp;IF(AND(R15&lt;&gt;"No",W15="Keep - not quantum-vulnerable"),"Target 'Keep' conflicts with a quantum-vulnerable algorithm. ","")&amp;IF(LEFT(J15,5)="SHA-1","SHA-1 is deprecated - replace (NIST IR 8547). ","")&amp;IF(AND(R15&lt;&gt;"No",OR(N15="Roadmap - verbal only",N15="No roadmap",N15="Not asked yet")),"Get a written PQC roadmap from the vendor. ","")&amp;IF(AND(R15&lt;&gt;"No",N15=""),"Record the vendor PQC roadmap status. ","")&amp;IF(ISNUMBER(M15),IF(M15&lt;TODAY(),"Certificate or key expired. ",IF(M15-TODAY()&lt;=Assumptions!$C$25,"Expires soon - use the renewal to revisit the algorithm. ","")),"")&amp;IF(AC15="OVERDUE","Migration overdue. ","")&amp;IF(AND(R15&lt;&gt;"No",Z15=""),"Assign a migration owner. ",""))</f>
        <v/>
      </c>
    </row>
    <row r="16" customFormat="false" ht="15" hidden="false" customHeight="false" outlineLevel="0" collapsed="false">
      <c r="A16" s="16"/>
      <c r="B16" s="16"/>
      <c r="C16" s="16"/>
      <c r="D16" s="16"/>
      <c r="E16" s="16"/>
      <c r="F16" s="16"/>
      <c r="G16" s="16"/>
      <c r="H16" s="16"/>
      <c r="I16" s="16"/>
      <c r="J16" s="16"/>
      <c r="K16" s="16"/>
      <c r="L16" s="16"/>
      <c r="M16" s="17"/>
      <c r="N16" s="16"/>
      <c r="O16" s="16"/>
      <c r="P16" s="16"/>
      <c r="Q16" s="18" t="str">
        <f aca="false">IF(A16="","",IF(J16="","Unknown",IFERROR(INDEX('Algorithm Reference'!$C$6:$C$41,MATCH(J16,'Algorithm Reference'!$B$6:$B$41,0)),"Not in reference")))</f>
        <v/>
      </c>
      <c r="R16" s="18" t="str">
        <f aca="false">IF(A16="","",IF(J16="","Unknown - investigate",IFERROR(INDEX('Algorithm Reference'!$E$6:$E$41,MATCH(J16,'Algorithm Reference'!$B$6:$B$41,0)),"Unknown - investigate")))</f>
        <v/>
      </c>
      <c r="S16" s="18" t="str">
        <f aca="false">IF(OR(O16="",P16=""),"",O16+P16)</f>
        <v/>
      </c>
      <c r="T16" s="18" t="str">
        <f aca="false">IF(A16="","",IF(R16="No","N/A - not quantum-vulnerable",IF(OR(O16="",P16=""),"Enter X and Y",IF(Assumptions!$C$6="","Set Z on Assumptions",IF(O16+P16&gt;Assumptions!$C$6,"AT RISK (X+Y &gt; Z)","Within Z (X+Y &lt;= Z)")))))</f>
        <v/>
      </c>
      <c r="U16" s="18" t="str">
        <f aca="false">IF(A16="","",IF(AND(R16&lt;&gt;"No",OR(I16="Key establishment / encryption in transit",I16="Key wrapping / key transport",I16="Mixed or unknown",I16=""),OR(N(O16)&gt;0,G16="Confidential",G16="Restricted")),IF(F16="Yes","Yes - internet-facing","Yes"),"No"))</f>
        <v/>
      </c>
      <c r="V16" s="18" t="str">
        <f aca="false">IF(A16="","",IF(R16="No","Keep - not quantum-vulnerable (review key size)",IF(I16="Digital signature / authentication","ML-DSA-65 (FIPS 204); SLH-DSA (FIPS 205) if hash-based is preferred",IF(OR(I16="Key establishment / encryption in transit",I16="Key wrapping / key transport"),"ML-KEM-768 (FIPS 203); hybrid X25519MLKEM768 for TLS 1.3",IF(I16="Mixed or unknown","Both: ML-KEM (FIPS 203) for keys, ML-DSA (FIPS 204) for signatures","Pick the crypto function first")))))</f>
        <v/>
      </c>
      <c r="W16" s="16"/>
      <c r="X16" s="18" t="str">
        <f aca="false">IF(A16="","",IF(R16="No",0,IF(LEFT(T16,7)="AT RISK",Assumptions!$C$13,0)+IF(LEFT(U16,3)="Yes",Assumptions!$C$14,0)+IF(F16="Yes",Assumptions!$C$15,0)+IF(G16="Restricted",Assumptions!$C$16,IF(G16="Confidential",Assumptions!$C$17,IF(G16="Internal",Assumptions!$C$18,0)))+IF(OR(N16="Roadmap - verbal only",N16="No roadmap",N16="Not asked yet",N16=""),Assumptions!$C$19,0)+IF(E16="Production",Assumptions!$C$20,0)+IF(AND(ISNUMBER(P16),N(P16)&gt;=Assumptions!$C$22),Assumptions!$C$21,0)))</f>
        <v/>
      </c>
      <c r="Y16" s="18" t="str">
        <f aca="false">IF(X16="","",IF(R16="No","None",IF(X16&gt;=Assumptions!$C$23,"High",IF(X16&gt;=Assumptions!$C$24,"Medium","Low"))))</f>
        <v/>
      </c>
      <c r="Z16" s="16"/>
      <c r="AA16" s="17"/>
      <c r="AB16" s="16"/>
      <c r="AC16" s="18" t="str">
        <f aca="true">IF(OR(AA16="",AB16="Hybrid deployed",AB16="PQC deployed",AB16="Not required (not vulnerable)",AB16="Risk accepted"),"",IF(AA16&lt;TODAY(),"OVERDUE",""))</f>
        <v/>
      </c>
      <c r="AD16" s="18" t="str">
        <f aca="true">IF(A16="","",IF(B16="","Name the system. ","")&amp;IF(LEFT(R16,7)="Unknown","Algorithm unknown - scan or ask the vendor. ","")&amp;IF(AND(R16&lt;&gt;"No",Assumptions!$C$6=""),"Set Z on Assumptions. ","")&amp;IF(AND(R16&lt;&gt;"No",OR(O16="",P16="")),"Enter X and Y. ","")&amp;IF(LEFT(T16,7)="AT RISK","Mosca: X+Y exceeds Z - migration should already be under way. ","")&amp;IF(AND(LEFT(U16,3)="Yes",OR(AB16="",AB16="Not started")),"Harvest-now-decrypt-later exposure and migration not started. ","")&amp;IF(AND(R16&lt;&gt;"No",OR(W16="",W16="To decide")),"Choose a target algorithm. ","")&amp;IF(AND(R16&lt;&gt;"No",W16="Keep - not quantum-vulnerable"),"Target 'Keep' conflicts with a quantum-vulnerable algorithm. ","")&amp;IF(LEFT(J16,5)="SHA-1","SHA-1 is deprecated - replace (NIST IR 8547). ","")&amp;IF(AND(R16&lt;&gt;"No",OR(N16="Roadmap - verbal only",N16="No roadmap",N16="Not asked yet")),"Get a written PQC roadmap from the vendor. ","")&amp;IF(AND(R16&lt;&gt;"No",N16=""),"Record the vendor PQC roadmap status. ","")&amp;IF(ISNUMBER(M16),IF(M16&lt;TODAY(),"Certificate or key expired. ",IF(M16-TODAY()&lt;=Assumptions!$C$25,"Expires soon - use the renewal to revisit the algorithm. ","")),"")&amp;IF(AC16="OVERDUE","Migration overdue. ","")&amp;IF(AND(R16&lt;&gt;"No",Z16=""),"Assign a migration owner. ",""))</f>
        <v/>
      </c>
    </row>
    <row r="17" customFormat="false" ht="15" hidden="false" customHeight="false" outlineLevel="0" collapsed="false">
      <c r="A17" s="16"/>
      <c r="B17" s="16"/>
      <c r="C17" s="16"/>
      <c r="D17" s="16"/>
      <c r="E17" s="16"/>
      <c r="F17" s="16"/>
      <c r="G17" s="16"/>
      <c r="H17" s="16"/>
      <c r="I17" s="16"/>
      <c r="J17" s="16"/>
      <c r="K17" s="16"/>
      <c r="L17" s="16"/>
      <c r="M17" s="17"/>
      <c r="N17" s="16"/>
      <c r="O17" s="16"/>
      <c r="P17" s="16"/>
      <c r="Q17" s="18" t="str">
        <f aca="false">IF(A17="","",IF(J17="","Unknown",IFERROR(INDEX('Algorithm Reference'!$C$6:$C$41,MATCH(J17,'Algorithm Reference'!$B$6:$B$41,0)),"Not in reference")))</f>
        <v/>
      </c>
      <c r="R17" s="18" t="str">
        <f aca="false">IF(A17="","",IF(J17="","Unknown - investigate",IFERROR(INDEX('Algorithm Reference'!$E$6:$E$41,MATCH(J17,'Algorithm Reference'!$B$6:$B$41,0)),"Unknown - investigate")))</f>
        <v/>
      </c>
      <c r="S17" s="18" t="str">
        <f aca="false">IF(OR(O17="",P17=""),"",O17+P17)</f>
        <v/>
      </c>
      <c r="T17" s="18" t="str">
        <f aca="false">IF(A17="","",IF(R17="No","N/A - not quantum-vulnerable",IF(OR(O17="",P17=""),"Enter X and Y",IF(Assumptions!$C$6="","Set Z on Assumptions",IF(O17+P17&gt;Assumptions!$C$6,"AT RISK (X+Y &gt; Z)","Within Z (X+Y &lt;= Z)")))))</f>
        <v/>
      </c>
      <c r="U17" s="18" t="str">
        <f aca="false">IF(A17="","",IF(AND(R17&lt;&gt;"No",OR(I17="Key establishment / encryption in transit",I17="Key wrapping / key transport",I17="Mixed or unknown",I17=""),OR(N(O17)&gt;0,G17="Confidential",G17="Restricted")),IF(F17="Yes","Yes - internet-facing","Yes"),"No"))</f>
        <v/>
      </c>
      <c r="V17" s="18" t="str">
        <f aca="false">IF(A17="","",IF(R17="No","Keep - not quantum-vulnerable (review key size)",IF(I17="Digital signature / authentication","ML-DSA-65 (FIPS 204); SLH-DSA (FIPS 205) if hash-based is preferred",IF(OR(I17="Key establishment / encryption in transit",I17="Key wrapping / key transport"),"ML-KEM-768 (FIPS 203); hybrid X25519MLKEM768 for TLS 1.3",IF(I17="Mixed or unknown","Both: ML-KEM (FIPS 203) for keys, ML-DSA (FIPS 204) for signatures","Pick the crypto function first")))))</f>
        <v/>
      </c>
      <c r="W17" s="16"/>
      <c r="X17" s="18" t="str">
        <f aca="false">IF(A17="","",IF(R17="No",0,IF(LEFT(T17,7)="AT RISK",Assumptions!$C$13,0)+IF(LEFT(U17,3)="Yes",Assumptions!$C$14,0)+IF(F17="Yes",Assumptions!$C$15,0)+IF(G17="Restricted",Assumptions!$C$16,IF(G17="Confidential",Assumptions!$C$17,IF(G17="Internal",Assumptions!$C$18,0)))+IF(OR(N17="Roadmap - verbal only",N17="No roadmap",N17="Not asked yet",N17=""),Assumptions!$C$19,0)+IF(E17="Production",Assumptions!$C$20,0)+IF(AND(ISNUMBER(P17),N(P17)&gt;=Assumptions!$C$22),Assumptions!$C$21,0)))</f>
        <v/>
      </c>
      <c r="Y17" s="18" t="str">
        <f aca="false">IF(X17="","",IF(R17="No","None",IF(X17&gt;=Assumptions!$C$23,"High",IF(X17&gt;=Assumptions!$C$24,"Medium","Low"))))</f>
        <v/>
      </c>
      <c r="Z17" s="16"/>
      <c r="AA17" s="17"/>
      <c r="AB17" s="16"/>
      <c r="AC17" s="18" t="str">
        <f aca="true">IF(OR(AA17="",AB17="Hybrid deployed",AB17="PQC deployed",AB17="Not required (not vulnerable)",AB17="Risk accepted"),"",IF(AA17&lt;TODAY(),"OVERDUE",""))</f>
        <v/>
      </c>
      <c r="AD17" s="18" t="str">
        <f aca="true">IF(A17="","",IF(B17="","Name the system. ","")&amp;IF(LEFT(R17,7)="Unknown","Algorithm unknown - scan or ask the vendor. ","")&amp;IF(AND(R17&lt;&gt;"No",Assumptions!$C$6=""),"Set Z on Assumptions. ","")&amp;IF(AND(R17&lt;&gt;"No",OR(O17="",P17="")),"Enter X and Y. ","")&amp;IF(LEFT(T17,7)="AT RISK","Mosca: X+Y exceeds Z - migration should already be under way. ","")&amp;IF(AND(LEFT(U17,3)="Yes",OR(AB17="",AB17="Not started")),"Harvest-now-decrypt-later exposure and migration not started. ","")&amp;IF(AND(R17&lt;&gt;"No",OR(W17="",W17="To decide")),"Choose a target algorithm. ","")&amp;IF(AND(R17&lt;&gt;"No",W17="Keep - not quantum-vulnerable"),"Target 'Keep' conflicts with a quantum-vulnerable algorithm. ","")&amp;IF(LEFT(J17,5)="SHA-1","SHA-1 is deprecated - replace (NIST IR 8547). ","")&amp;IF(AND(R17&lt;&gt;"No",OR(N17="Roadmap - verbal only",N17="No roadmap",N17="Not asked yet")),"Get a written PQC roadmap from the vendor. ","")&amp;IF(AND(R17&lt;&gt;"No",N17=""),"Record the vendor PQC roadmap status. ","")&amp;IF(ISNUMBER(M17),IF(M17&lt;TODAY(),"Certificate or key expired. ",IF(M17-TODAY()&lt;=Assumptions!$C$25,"Expires soon - use the renewal to revisit the algorithm. ","")),"")&amp;IF(AC17="OVERDUE","Migration overdue. ","")&amp;IF(AND(R17&lt;&gt;"No",Z17=""),"Assign a migration owner. ",""))</f>
        <v/>
      </c>
    </row>
    <row r="18" customFormat="false" ht="15" hidden="false" customHeight="false" outlineLevel="0" collapsed="false">
      <c r="A18" s="16"/>
      <c r="B18" s="16"/>
      <c r="C18" s="16"/>
      <c r="D18" s="16"/>
      <c r="E18" s="16"/>
      <c r="F18" s="16"/>
      <c r="G18" s="16"/>
      <c r="H18" s="16"/>
      <c r="I18" s="16"/>
      <c r="J18" s="16"/>
      <c r="K18" s="16"/>
      <c r="L18" s="16"/>
      <c r="M18" s="17"/>
      <c r="N18" s="16"/>
      <c r="O18" s="16"/>
      <c r="P18" s="16"/>
      <c r="Q18" s="18" t="str">
        <f aca="false">IF(A18="","",IF(J18="","Unknown",IFERROR(INDEX('Algorithm Reference'!$C$6:$C$41,MATCH(J18,'Algorithm Reference'!$B$6:$B$41,0)),"Not in reference")))</f>
        <v/>
      </c>
      <c r="R18" s="18" t="str">
        <f aca="false">IF(A18="","",IF(J18="","Unknown - investigate",IFERROR(INDEX('Algorithm Reference'!$E$6:$E$41,MATCH(J18,'Algorithm Reference'!$B$6:$B$41,0)),"Unknown - investigate")))</f>
        <v/>
      </c>
      <c r="S18" s="18" t="str">
        <f aca="false">IF(OR(O18="",P18=""),"",O18+P18)</f>
        <v/>
      </c>
      <c r="T18" s="18" t="str">
        <f aca="false">IF(A18="","",IF(R18="No","N/A - not quantum-vulnerable",IF(OR(O18="",P18=""),"Enter X and Y",IF(Assumptions!$C$6="","Set Z on Assumptions",IF(O18+P18&gt;Assumptions!$C$6,"AT RISK (X+Y &gt; Z)","Within Z (X+Y &lt;= Z)")))))</f>
        <v/>
      </c>
      <c r="U18" s="18" t="str">
        <f aca="false">IF(A18="","",IF(AND(R18&lt;&gt;"No",OR(I18="Key establishment / encryption in transit",I18="Key wrapping / key transport",I18="Mixed or unknown",I18=""),OR(N(O18)&gt;0,G18="Confidential",G18="Restricted")),IF(F18="Yes","Yes - internet-facing","Yes"),"No"))</f>
        <v/>
      </c>
      <c r="V18" s="18" t="str">
        <f aca="false">IF(A18="","",IF(R18="No","Keep - not quantum-vulnerable (review key size)",IF(I18="Digital signature / authentication","ML-DSA-65 (FIPS 204); SLH-DSA (FIPS 205) if hash-based is preferred",IF(OR(I18="Key establishment / encryption in transit",I18="Key wrapping / key transport"),"ML-KEM-768 (FIPS 203); hybrid X25519MLKEM768 for TLS 1.3",IF(I18="Mixed or unknown","Both: ML-KEM (FIPS 203) for keys, ML-DSA (FIPS 204) for signatures","Pick the crypto function first")))))</f>
        <v/>
      </c>
      <c r="W18" s="16"/>
      <c r="X18" s="18" t="str">
        <f aca="false">IF(A18="","",IF(R18="No",0,IF(LEFT(T18,7)="AT RISK",Assumptions!$C$13,0)+IF(LEFT(U18,3)="Yes",Assumptions!$C$14,0)+IF(F18="Yes",Assumptions!$C$15,0)+IF(G18="Restricted",Assumptions!$C$16,IF(G18="Confidential",Assumptions!$C$17,IF(G18="Internal",Assumptions!$C$18,0)))+IF(OR(N18="Roadmap - verbal only",N18="No roadmap",N18="Not asked yet",N18=""),Assumptions!$C$19,0)+IF(E18="Production",Assumptions!$C$20,0)+IF(AND(ISNUMBER(P18),N(P18)&gt;=Assumptions!$C$22),Assumptions!$C$21,0)))</f>
        <v/>
      </c>
      <c r="Y18" s="18" t="str">
        <f aca="false">IF(X18="","",IF(R18="No","None",IF(X18&gt;=Assumptions!$C$23,"High",IF(X18&gt;=Assumptions!$C$24,"Medium","Low"))))</f>
        <v/>
      </c>
      <c r="Z18" s="16"/>
      <c r="AA18" s="17"/>
      <c r="AB18" s="16"/>
      <c r="AC18" s="18" t="str">
        <f aca="true">IF(OR(AA18="",AB18="Hybrid deployed",AB18="PQC deployed",AB18="Not required (not vulnerable)",AB18="Risk accepted"),"",IF(AA18&lt;TODAY(),"OVERDUE",""))</f>
        <v/>
      </c>
      <c r="AD18" s="18" t="str">
        <f aca="true">IF(A18="","",IF(B18="","Name the system. ","")&amp;IF(LEFT(R18,7)="Unknown","Algorithm unknown - scan or ask the vendor. ","")&amp;IF(AND(R18&lt;&gt;"No",Assumptions!$C$6=""),"Set Z on Assumptions. ","")&amp;IF(AND(R18&lt;&gt;"No",OR(O18="",P18="")),"Enter X and Y. ","")&amp;IF(LEFT(T18,7)="AT RISK","Mosca: X+Y exceeds Z - migration should already be under way. ","")&amp;IF(AND(LEFT(U18,3)="Yes",OR(AB18="",AB18="Not started")),"Harvest-now-decrypt-later exposure and migration not started. ","")&amp;IF(AND(R18&lt;&gt;"No",OR(W18="",W18="To decide")),"Choose a target algorithm. ","")&amp;IF(AND(R18&lt;&gt;"No",W18="Keep - not quantum-vulnerable"),"Target 'Keep' conflicts with a quantum-vulnerable algorithm. ","")&amp;IF(LEFT(J18,5)="SHA-1","SHA-1 is deprecated - replace (NIST IR 8547). ","")&amp;IF(AND(R18&lt;&gt;"No",OR(N18="Roadmap - verbal only",N18="No roadmap",N18="Not asked yet")),"Get a written PQC roadmap from the vendor. ","")&amp;IF(AND(R18&lt;&gt;"No",N18=""),"Record the vendor PQC roadmap status. ","")&amp;IF(ISNUMBER(M18),IF(M18&lt;TODAY(),"Certificate or key expired. ",IF(M18-TODAY()&lt;=Assumptions!$C$25,"Expires soon - use the renewal to revisit the algorithm. ","")),"")&amp;IF(AC18="OVERDUE","Migration overdue. ","")&amp;IF(AND(R18&lt;&gt;"No",Z18=""),"Assign a migration owner. ",""))</f>
        <v/>
      </c>
    </row>
    <row r="19" customFormat="false" ht="15" hidden="false" customHeight="false" outlineLevel="0" collapsed="false">
      <c r="A19" s="16"/>
      <c r="B19" s="16"/>
      <c r="C19" s="16"/>
      <c r="D19" s="16"/>
      <c r="E19" s="16"/>
      <c r="F19" s="16"/>
      <c r="G19" s="16"/>
      <c r="H19" s="16"/>
      <c r="I19" s="16"/>
      <c r="J19" s="16"/>
      <c r="K19" s="16"/>
      <c r="L19" s="16"/>
      <c r="M19" s="17"/>
      <c r="N19" s="16"/>
      <c r="O19" s="16"/>
      <c r="P19" s="16"/>
      <c r="Q19" s="18" t="str">
        <f aca="false">IF(A19="","",IF(J19="","Unknown",IFERROR(INDEX('Algorithm Reference'!$C$6:$C$41,MATCH(J19,'Algorithm Reference'!$B$6:$B$41,0)),"Not in reference")))</f>
        <v/>
      </c>
      <c r="R19" s="18" t="str">
        <f aca="false">IF(A19="","",IF(J19="","Unknown - investigate",IFERROR(INDEX('Algorithm Reference'!$E$6:$E$41,MATCH(J19,'Algorithm Reference'!$B$6:$B$41,0)),"Unknown - investigate")))</f>
        <v/>
      </c>
      <c r="S19" s="18" t="str">
        <f aca="false">IF(OR(O19="",P19=""),"",O19+P19)</f>
        <v/>
      </c>
      <c r="T19" s="18" t="str">
        <f aca="false">IF(A19="","",IF(R19="No","N/A - not quantum-vulnerable",IF(OR(O19="",P19=""),"Enter X and Y",IF(Assumptions!$C$6="","Set Z on Assumptions",IF(O19+P19&gt;Assumptions!$C$6,"AT RISK (X+Y &gt; Z)","Within Z (X+Y &lt;= Z)")))))</f>
        <v/>
      </c>
      <c r="U19" s="18" t="str">
        <f aca="false">IF(A19="","",IF(AND(R19&lt;&gt;"No",OR(I19="Key establishment / encryption in transit",I19="Key wrapping / key transport",I19="Mixed or unknown",I19=""),OR(N(O19)&gt;0,G19="Confidential",G19="Restricted")),IF(F19="Yes","Yes - internet-facing","Yes"),"No"))</f>
        <v/>
      </c>
      <c r="V19" s="18" t="str">
        <f aca="false">IF(A19="","",IF(R19="No","Keep - not quantum-vulnerable (review key size)",IF(I19="Digital signature / authentication","ML-DSA-65 (FIPS 204); SLH-DSA (FIPS 205) if hash-based is preferred",IF(OR(I19="Key establishment / encryption in transit",I19="Key wrapping / key transport"),"ML-KEM-768 (FIPS 203); hybrid X25519MLKEM768 for TLS 1.3",IF(I19="Mixed or unknown","Both: ML-KEM (FIPS 203) for keys, ML-DSA (FIPS 204) for signatures","Pick the crypto function first")))))</f>
        <v/>
      </c>
      <c r="W19" s="16"/>
      <c r="X19" s="18" t="str">
        <f aca="false">IF(A19="","",IF(R19="No",0,IF(LEFT(T19,7)="AT RISK",Assumptions!$C$13,0)+IF(LEFT(U19,3)="Yes",Assumptions!$C$14,0)+IF(F19="Yes",Assumptions!$C$15,0)+IF(G19="Restricted",Assumptions!$C$16,IF(G19="Confidential",Assumptions!$C$17,IF(G19="Internal",Assumptions!$C$18,0)))+IF(OR(N19="Roadmap - verbal only",N19="No roadmap",N19="Not asked yet",N19=""),Assumptions!$C$19,0)+IF(E19="Production",Assumptions!$C$20,0)+IF(AND(ISNUMBER(P19),N(P19)&gt;=Assumptions!$C$22),Assumptions!$C$21,0)))</f>
        <v/>
      </c>
      <c r="Y19" s="18" t="str">
        <f aca="false">IF(X19="","",IF(R19="No","None",IF(X19&gt;=Assumptions!$C$23,"High",IF(X19&gt;=Assumptions!$C$24,"Medium","Low"))))</f>
        <v/>
      </c>
      <c r="Z19" s="16"/>
      <c r="AA19" s="17"/>
      <c r="AB19" s="16"/>
      <c r="AC19" s="18" t="str">
        <f aca="true">IF(OR(AA19="",AB19="Hybrid deployed",AB19="PQC deployed",AB19="Not required (not vulnerable)",AB19="Risk accepted"),"",IF(AA19&lt;TODAY(),"OVERDUE",""))</f>
        <v/>
      </c>
      <c r="AD19" s="18" t="str">
        <f aca="true">IF(A19="","",IF(B19="","Name the system. ","")&amp;IF(LEFT(R19,7)="Unknown","Algorithm unknown - scan or ask the vendor. ","")&amp;IF(AND(R19&lt;&gt;"No",Assumptions!$C$6=""),"Set Z on Assumptions. ","")&amp;IF(AND(R19&lt;&gt;"No",OR(O19="",P19="")),"Enter X and Y. ","")&amp;IF(LEFT(T19,7)="AT RISK","Mosca: X+Y exceeds Z - migration should already be under way. ","")&amp;IF(AND(LEFT(U19,3)="Yes",OR(AB19="",AB19="Not started")),"Harvest-now-decrypt-later exposure and migration not started. ","")&amp;IF(AND(R19&lt;&gt;"No",OR(W19="",W19="To decide")),"Choose a target algorithm. ","")&amp;IF(AND(R19&lt;&gt;"No",W19="Keep - not quantum-vulnerable"),"Target 'Keep' conflicts with a quantum-vulnerable algorithm. ","")&amp;IF(LEFT(J19,5)="SHA-1","SHA-1 is deprecated - replace (NIST IR 8547). ","")&amp;IF(AND(R19&lt;&gt;"No",OR(N19="Roadmap - verbal only",N19="No roadmap",N19="Not asked yet")),"Get a written PQC roadmap from the vendor. ","")&amp;IF(AND(R19&lt;&gt;"No",N19=""),"Record the vendor PQC roadmap status. ","")&amp;IF(ISNUMBER(M19),IF(M19&lt;TODAY(),"Certificate or key expired. ",IF(M19-TODAY()&lt;=Assumptions!$C$25,"Expires soon - use the renewal to revisit the algorithm. ","")),"")&amp;IF(AC19="OVERDUE","Migration overdue. ","")&amp;IF(AND(R19&lt;&gt;"No",Z19=""),"Assign a migration owner. ",""))</f>
        <v/>
      </c>
    </row>
    <row r="20" customFormat="false" ht="15" hidden="false" customHeight="false" outlineLevel="0" collapsed="false">
      <c r="A20" s="16"/>
      <c r="B20" s="16"/>
      <c r="C20" s="16"/>
      <c r="D20" s="16"/>
      <c r="E20" s="16"/>
      <c r="F20" s="16"/>
      <c r="G20" s="16"/>
      <c r="H20" s="16"/>
      <c r="I20" s="16"/>
      <c r="J20" s="16"/>
      <c r="K20" s="16"/>
      <c r="L20" s="16"/>
      <c r="M20" s="17"/>
      <c r="N20" s="16"/>
      <c r="O20" s="16"/>
      <c r="P20" s="16"/>
      <c r="Q20" s="18" t="str">
        <f aca="false">IF(A20="","",IF(J20="","Unknown",IFERROR(INDEX('Algorithm Reference'!$C$6:$C$41,MATCH(J20,'Algorithm Reference'!$B$6:$B$41,0)),"Not in reference")))</f>
        <v/>
      </c>
      <c r="R20" s="18" t="str">
        <f aca="false">IF(A20="","",IF(J20="","Unknown - investigate",IFERROR(INDEX('Algorithm Reference'!$E$6:$E$41,MATCH(J20,'Algorithm Reference'!$B$6:$B$41,0)),"Unknown - investigate")))</f>
        <v/>
      </c>
      <c r="S20" s="18" t="str">
        <f aca="false">IF(OR(O20="",P20=""),"",O20+P20)</f>
        <v/>
      </c>
      <c r="T20" s="18" t="str">
        <f aca="false">IF(A20="","",IF(R20="No","N/A - not quantum-vulnerable",IF(OR(O20="",P20=""),"Enter X and Y",IF(Assumptions!$C$6="","Set Z on Assumptions",IF(O20+P20&gt;Assumptions!$C$6,"AT RISK (X+Y &gt; Z)","Within Z (X+Y &lt;= Z)")))))</f>
        <v/>
      </c>
      <c r="U20" s="18" t="str">
        <f aca="false">IF(A20="","",IF(AND(R20&lt;&gt;"No",OR(I20="Key establishment / encryption in transit",I20="Key wrapping / key transport",I20="Mixed or unknown",I20=""),OR(N(O20)&gt;0,G20="Confidential",G20="Restricted")),IF(F20="Yes","Yes - internet-facing","Yes"),"No"))</f>
        <v/>
      </c>
      <c r="V20" s="18" t="str">
        <f aca="false">IF(A20="","",IF(R20="No","Keep - not quantum-vulnerable (review key size)",IF(I20="Digital signature / authentication","ML-DSA-65 (FIPS 204); SLH-DSA (FIPS 205) if hash-based is preferred",IF(OR(I20="Key establishment / encryption in transit",I20="Key wrapping / key transport"),"ML-KEM-768 (FIPS 203); hybrid X25519MLKEM768 for TLS 1.3",IF(I20="Mixed or unknown","Both: ML-KEM (FIPS 203) for keys, ML-DSA (FIPS 204) for signatures","Pick the crypto function first")))))</f>
        <v/>
      </c>
      <c r="W20" s="16"/>
      <c r="X20" s="18" t="str">
        <f aca="false">IF(A20="","",IF(R20="No",0,IF(LEFT(T20,7)="AT RISK",Assumptions!$C$13,0)+IF(LEFT(U20,3)="Yes",Assumptions!$C$14,0)+IF(F20="Yes",Assumptions!$C$15,0)+IF(G20="Restricted",Assumptions!$C$16,IF(G20="Confidential",Assumptions!$C$17,IF(G20="Internal",Assumptions!$C$18,0)))+IF(OR(N20="Roadmap - verbal only",N20="No roadmap",N20="Not asked yet",N20=""),Assumptions!$C$19,0)+IF(E20="Production",Assumptions!$C$20,0)+IF(AND(ISNUMBER(P20),N(P20)&gt;=Assumptions!$C$22),Assumptions!$C$21,0)))</f>
        <v/>
      </c>
      <c r="Y20" s="18" t="str">
        <f aca="false">IF(X20="","",IF(R20="No","None",IF(X20&gt;=Assumptions!$C$23,"High",IF(X20&gt;=Assumptions!$C$24,"Medium","Low"))))</f>
        <v/>
      </c>
      <c r="Z20" s="16"/>
      <c r="AA20" s="17"/>
      <c r="AB20" s="16"/>
      <c r="AC20" s="18" t="str">
        <f aca="true">IF(OR(AA20="",AB20="Hybrid deployed",AB20="PQC deployed",AB20="Not required (not vulnerable)",AB20="Risk accepted"),"",IF(AA20&lt;TODAY(),"OVERDUE",""))</f>
        <v/>
      </c>
      <c r="AD20" s="18" t="str">
        <f aca="true">IF(A20="","",IF(B20="","Name the system. ","")&amp;IF(LEFT(R20,7)="Unknown","Algorithm unknown - scan or ask the vendor. ","")&amp;IF(AND(R20&lt;&gt;"No",Assumptions!$C$6=""),"Set Z on Assumptions. ","")&amp;IF(AND(R20&lt;&gt;"No",OR(O20="",P20="")),"Enter X and Y. ","")&amp;IF(LEFT(T20,7)="AT RISK","Mosca: X+Y exceeds Z - migration should already be under way. ","")&amp;IF(AND(LEFT(U20,3)="Yes",OR(AB20="",AB20="Not started")),"Harvest-now-decrypt-later exposure and migration not started. ","")&amp;IF(AND(R20&lt;&gt;"No",OR(W20="",W20="To decide")),"Choose a target algorithm. ","")&amp;IF(AND(R20&lt;&gt;"No",W20="Keep - not quantum-vulnerable"),"Target 'Keep' conflicts with a quantum-vulnerable algorithm. ","")&amp;IF(LEFT(J20,5)="SHA-1","SHA-1 is deprecated - replace (NIST IR 8547). ","")&amp;IF(AND(R20&lt;&gt;"No",OR(N20="Roadmap - verbal only",N20="No roadmap",N20="Not asked yet")),"Get a written PQC roadmap from the vendor. ","")&amp;IF(AND(R20&lt;&gt;"No",N20=""),"Record the vendor PQC roadmap status. ","")&amp;IF(ISNUMBER(M20),IF(M20&lt;TODAY(),"Certificate or key expired. ",IF(M20-TODAY()&lt;=Assumptions!$C$25,"Expires soon - use the renewal to revisit the algorithm. ","")),"")&amp;IF(AC20="OVERDUE","Migration overdue. ","")&amp;IF(AND(R20&lt;&gt;"No",Z20=""),"Assign a migration owner. ",""))</f>
        <v/>
      </c>
    </row>
    <row r="21" customFormat="false" ht="15" hidden="false" customHeight="false" outlineLevel="0" collapsed="false">
      <c r="A21" s="16"/>
      <c r="B21" s="16"/>
      <c r="C21" s="16"/>
      <c r="D21" s="16"/>
      <c r="E21" s="16"/>
      <c r="F21" s="16"/>
      <c r="G21" s="16"/>
      <c r="H21" s="16"/>
      <c r="I21" s="16"/>
      <c r="J21" s="16"/>
      <c r="K21" s="16"/>
      <c r="L21" s="16"/>
      <c r="M21" s="17"/>
      <c r="N21" s="16"/>
      <c r="O21" s="16"/>
      <c r="P21" s="16"/>
      <c r="Q21" s="18" t="str">
        <f aca="false">IF(A21="","",IF(J21="","Unknown",IFERROR(INDEX('Algorithm Reference'!$C$6:$C$41,MATCH(J21,'Algorithm Reference'!$B$6:$B$41,0)),"Not in reference")))</f>
        <v/>
      </c>
      <c r="R21" s="18" t="str">
        <f aca="false">IF(A21="","",IF(J21="","Unknown - investigate",IFERROR(INDEX('Algorithm Reference'!$E$6:$E$41,MATCH(J21,'Algorithm Reference'!$B$6:$B$41,0)),"Unknown - investigate")))</f>
        <v/>
      </c>
      <c r="S21" s="18" t="str">
        <f aca="false">IF(OR(O21="",P21=""),"",O21+P21)</f>
        <v/>
      </c>
      <c r="T21" s="18" t="str">
        <f aca="false">IF(A21="","",IF(R21="No","N/A - not quantum-vulnerable",IF(OR(O21="",P21=""),"Enter X and Y",IF(Assumptions!$C$6="","Set Z on Assumptions",IF(O21+P21&gt;Assumptions!$C$6,"AT RISK (X+Y &gt; Z)","Within Z (X+Y &lt;= Z)")))))</f>
        <v/>
      </c>
      <c r="U21" s="18" t="str">
        <f aca="false">IF(A21="","",IF(AND(R21&lt;&gt;"No",OR(I21="Key establishment / encryption in transit",I21="Key wrapping / key transport",I21="Mixed or unknown",I21=""),OR(N(O21)&gt;0,G21="Confidential",G21="Restricted")),IF(F21="Yes","Yes - internet-facing","Yes"),"No"))</f>
        <v/>
      </c>
      <c r="V21" s="18" t="str">
        <f aca="false">IF(A21="","",IF(R21="No","Keep - not quantum-vulnerable (review key size)",IF(I21="Digital signature / authentication","ML-DSA-65 (FIPS 204); SLH-DSA (FIPS 205) if hash-based is preferred",IF(OR(I21="Key establishment / encryption in transit",I21="Key wrapping / key transport"),"ML-KEM-768 (FIPS 203); hybrid X25519MLKEM768 for TLS 1.3",IF(I21="Mixed or unknown","Both: ML-KEM (FIPS 203) for keys, ML-DSA (FIPS 204) for signatures","Pick the crypto function first")))))</f>
        <v/>
      </c>
      <c r="W21" s="16"/>
      <c r="X21" s="18" t="str">
        <f aca="false">IF(A21="","",IF(R21="No",0,IF(LEFT(T21,7)="AT RISK",Assumptions!$C$13,0)+IF(LEFT(U21,3)="Yes",Assumptions!$C$14,0)+IF(F21="Yes",Assumptions!$C$15,0)+IF(G21="Restricted",Assumptions!$C$16,IF(G21="Confidential",Assumptions!$C$17,IF(G21="Internal",Assumptions!$C$18,0)))+IF(OR(N21="Roadmap - verbal only",N21="No roadmap",N21="Not asked yet",N21=""),Assumptions!$C$19,0)+IF(E21="Production",Assumptions!$C$20,0)+IF(AND(ISNUMBER(P21),N(P21)&gt;=Assumptions!$C$22),Assumptions!$C$21,0)))</f>
        <v/>
      </c>
      <c r="Y21" s="18" t="str">
        <f aca="false">IF(X21="","",IF(R21="No","None",IF(X21&gt;=Assumptions!$C$23,"High",IF(X21&gt;=Assumptions!$C$24,"Medium","Low"))))</f>
        <v/>
      </c>
      <c r="Z21" s="16"/>
      <c r="AA21" s="17"/>
      <c r="AB21" s="16"/>
      <c r="AC21" s="18" t="str">
        <f aca="true">IF(OR(AA21="",AB21="Hybrid deployed",AB21="PQC deployed",AB21="Not required (not vulnerable)",AB21="Risk accepted"),"",IF(AA21&lt;TODAY(),"OVERDUE",""))</f>
        <v/>
      </c>
      <c r="AD21" s="18" t="str">
        <f aca="true">IF(A21="","",IF(B21="","Name the system. ","")&amp;IF(LEFT(R21,7)="Unknown","Algorithm unknown - scan or ask the vendor. ","")&amp;IF(AND(R21&lt;&gt;"No",Assumptions!$C$6=""),"Set Z on Assumptions. ","")&amp;IF(AND(R21&lt;&gt;"No",OR(O21="",P21="")),"Enter X and Y. ","")&amp;IF(LEFT(T21,7)="AT RISK","Mosca: X+Y exceeds Z - migration should already be under way. ","")&amp;IF(AND(LEFT(U21,3)="Yes",OR(AB21="",AB21="Not started")),"Harvest-now-decrypt-later exposure and migration not started. ","")&amp;IF(AND(R21&lt;&gt;"No",OR(W21="",W21="To decide")),"Choose a target algorithm. ","")&amp;IF(AND(R21&lt;&gt;"No",W21="Keep - not quantum-vulnerable"),"Target 'Keep' conflicts with a quantum-vulnerable algorithm. ","")&amp;IF(LEFT(J21,5)="SHA-1","SHA-1 is deprecated - replace (NIST IR 8547). ","")&amp;IF(AND(R21&lt;&gt;"No",OR(N21="Roadmap - verbal only",N21="No roadmap",N21="Not asked yet")),"Get a written PQC roadmap from the vendor. ","")&amp;IF(AND(R21&lt;&gt;"No",N21=""),"Record the vendor PQC roadmap status. ","")&amp;IF(ISNUMBER(M21),IF(M21&lt;TODAY(),"Certificate or key expired. ",IF(M21-TODAY()&lt;=Assumptions!$C$25,"Expires soon - use the renewal to revisit the algorithm. ","")),"")&amp;IF(AC21="OVERDUE","Migration overdue. ","")&amp;IF(AND(R21&lt;&gt;"No",Z21=""),"Assign a migration owner. ",""))</f>
        <v/>
      </c>
    </row>
    <row r="22" customFormat="false" ht="15" hidden="false" customHeight="false" outlineLevel="0" collapsed="false">
      <c r="A22" s="16"/>
      <c r="B22" s="16"/>
      <c r="C22" s="16"/>
      <c r="D22" s="16"/>
      <c r="E22" s="16"/>
      <c r="F22" s="16"/>
      <c r="G22" s="16"/>
      <c r="H22" s="16"/>
      <c r="I22" s="16"/>
      <c r="J22" s="16"/>
      <c r="K22" s="16"/>
      <c r="L22" s="16"/>
      <c r="M22" s="17"/>
      <c r="N22" s="16"/>
      <c r="O22" s="16"/>
      <c r="P22" s="16"/>
      <c r="Q22" s="18" t="str">
        <f aca="false">IF(A22="","",IF(J22="","Unknown",IFERROR(INDEX('Algorithm Reference'!$C$6:$C$41,MATCH(J22,'Algorithm Reference'!$B$6:$B$41,0)),"Not in reference")))</f>
        <v/>
      </c>
      <c r="R22" s="18" t="str">
        <f aca="false">IF(A22="","",IF(J22="","Unknown - investigate",IFERROR(INDEX('Algorithm Reference'!$E$6:$E$41,MATCH(J22,'Algorithm Reference'!$B$6:$B$41,0)),"Unknown - investigate")))</f>
        <v/>
      </c>
      <c r="S22" s="18" t="str">
        <f aca="false">IF(OR(O22="",P22=""),"",O22+P22)</f>
        <v/>
      </c>
      <c r="T22" s="18" t="str">
        <f aca="false">IF(A22="","",IF(R22="No","N/A - not quantum-vulnerable",IF(OR(O22="",P22=""),"Enter X and Y",IF(Assumptions!$C$6="","Set Z on Assumptions",IF(O22+P22&gt;Assumptions!$C$6,"AT RISK (X+Y &gt; Z)","Within Z (X+Y &lt;= Z)")))))</f>
        <v/>
      </c>
      <c r="U22" s="18" t="str">
        <f aca="false">IF(A22="","",IF(AND(R22&lt;&gt;"No",OR(I22="Key establishment / encryption in transit",I22="Key wrapping / key transport",I22="Mixed or unknown",I22=""),OR(N(O22)&gt;0,G22="Confidential",G22="Restricted")),IF(F22="Yes","Yes - internet-facing","Yes"),"No"))</f>
        <v/>
      </c>
      <c r="V22" s="18" t="str">
        <f aca="false">IF(A22="","",IF(R22="No","Keep - not quantum-vulnerable (review key size)",IF(I22="Digital signature / authentication","ML-DSA-65 (FIPS 204); SLH-DSA (FIPS 205) if hash-based is preferred",IF(OR(I22="Key establishment / encryption in transit",I22="Key wrapping / key transport"),"ML-KEM-768 (FIPS 203); hybrid X25519MLKEM768 for TLS 1.3",IF(I22="Mixed or unknown","Both: ML-KEM (FIPS 203) for keys, ML-DSA (FIPS 204) for signatures","Pick the crypto function first")))))</f>
        <v/>
      </c>
      <c r="W22" s="16"/>
      <c r="X22" s="18" t="str">
        <f aca="false">IF(A22="","",IF(R22="No",0,IF(LEFT(T22,7)="AT RISK",Assumptions!$C$13,0)+IF(LEFT(U22,3)="Yes",Assumptions!$C$14,0)+IF(F22="Yes",Assumptions!$C$15,0)+IF(G22="Restricted",Assumptions!$C$16,IF(G22="Confidential",Assumptions!$C$17,IF(G22="Internal",Assumptions!$C$18,0)))+IF(OR(N22="Roadmap - verbal only",N22="No roadmap",N22="Not asked yet",N22=""),Assumptions!$C$19,0)+IF(E22="Production",Assumptions!$C$20,0)+IF(AND(ISNUMBER(P22),N(P22)&gt;=Assumptions!$C$22),Assumptions!$C$21,0)))</f>
        <v/>
      </c>
      <c r="Y22" s="18" t="str">
        <f aca="false">IF(X22="","",IF(R22="No","None",IF(X22&gt;=Assumptions!$C$23,"High",IF(X22&gt;=Assumptions!$C$24,"Medium","Low"))))</f>
        <v/>
      </c>
      <c r="Z22" s="16"/>
      <c r="AA22" s="17"/>
      <c r="AB22" s="16"/>
      <c r="AC22" s="18" t="str">
        <f aca="true">IF(OR(AA22="",AB22="Hybrid deployed",AB22="PQC deployed",AB22="Not required (not vulnerable)",AB22="Risk accepted"),"",IF(AA22&lt;TODAY(),"OVERDUE",""))</f>
        <v/>
      </c>
      <c r="AD22" s="18" t="str">
        <f aca="true">IF(A22="","",IF(B22="","Name the system. ","")&amp;IF(LEFT(R22,7)="Unknown","Algorithm unknown - scan or ask the vendor. ","")&amp;IF(AND(R22&lt;&gt;"No",Assumptions!$C$6=""),"Set Z on Assumptions. ","")&amp;IF(AND(R22&lt;&gt;"No",OR(O22="",P22="")),"Enter X and Y. ","")&amp;IF(LEFT(T22,7)="AT RISK","Mosca: X+Y exceeds Z - migration should already be under way. ","")&amp;IF(AND(LEFT(U22,3)="Yes",OR(AB22="",AB22="Not started")),"Harvest-now-decrypt-later exposure and migration not started. ","")&amp;IF(AND(R22&lt;&gt;"No",OR(W22="",W22="To decide")),"Choose a target algorithm. ","")&amp;IF(AND(R22&lt;&gt;"No",W22="Keep - not quantum-vulnerable"),"Target 'Keep' conflicts with a quantum-vulnerable algorithm. ","")&amp;IF(LEFT(J22,5)="SHA-1","SHA-1 is deprecated - replace (NIST IR 8547). ","")&amp;IF(AND(R22&lt;&gt;"No",OR(N22="Roadmap - verbal only",N22="No roadmap",N22="Not asked yet")),"Get a written PQC roadmap from the vendor. ","")&amp;IF(AND(R22&lt;&gt;"No",N22=""),"Record the vendor PQC roadmap status. ","")&amp;IF(ISNUMBER(M22),IF(M22&lt;TODAY(),"Certificate or key expired. ",IF(M22-TODAY()&lt;=Assumptions!$C$25,"Expires soon - use the renewal to revisit the algorithm. ","")),"")&amp;IF(AC22="OVERDUE","Migration overdue. ","")&amp;IF(AND(R22&lt;&gt;"No",Z22=""),"Assign a migration owner. ",""))</f>
        <v/>
      </c>
    </row>
    <row r="23" customFormat="false" ht="15" hidden="false" customHeight="false" outlineLevel="0" collapsed="false">
      <c r="A23" s="16"/>
      <c r="B23" s="16"/>
      <c r="C23" s="16"/>
      <c r="D23" s="16"/>
      <c r="E23" s="16"/>
      <c r="F23" s="16"/>
      <c r="G23" s="16"/>
      <c r="H23" s="16"/>
      <c r="I23" s="16"/>
      <c r="J23" s="16"/>
      <c r="K23" s="16"/>
      <c r="L23" s="16"/>
      <c r="M23" s="17"/>
      <c r="N23" s="16"/>
      <c r="O23" s="16"/>
      <c r="P23" s="16"/>
      <c r="Q23" s="18" t="str">
        <f aca="false">IF(A23="","",IF(J23="","Unknown",IFERROR(INDEX('Algorithm Reference'!$C$6:$C$41,MATCH(J23,'Algorithm Reference'!$B$6:$B$41,0)),"Not in reference")))</f>
        <v/>
      </c>
      <c r="R23" s="18" t="str">
        <f aca="false">IF(A23="","",IF(J23="","Unknown - investigate",IFERROR(INDEX('Algorithm Reference'!$E$6:$E$41,MATCH(J23,'Algorithm Reference'!$B$6:$B$41,0)),"Unknown - investigate")))</f>
        <v/>
      </c>
      <c r="S23" s="18" t="str">
        <f aca="false">IF(OR(O23="",P23=""),"",O23+P23)</f>
        <v/>
      </c>
      <c r="T23" s="18" t="str">
        <f aca="false">IF(A23="","",IF(R23="No","N/A - not quantum-vulnerable",IF(OR(O23="",P23=""),"Enter X and Y",IF(Assumptions!$C$6="","Set Z on Assumptions",IF(O23+P23&gt;Assumptions!$C$6,"AT RISK (X+Y &gt; Z)","Within Z (X+Y &lt;= Z)")))))</f>
        <v/>
      </c>
      <c r="U23" s="18" t="str">
        <f aca="false">IF(A23="","",IF(AND(R23&lt;&gt;"No",OR(I23="Key establishment / encryption in transit",I23="Key wrapping / key transport",I23="Mixed or unknown",I23=""),OR(N(O23)&gt;0,G23="Confidential",G23="Restricted")),IF(F23="Yes","Yes - internet-facing","Yes"),"No"))</f>
        <v/>
      </c>
      <c r="V23" s="18" t="str">
        <f aca="false">IF(A23="","",IF(R23="No","Keep - not quantum-vulnerable (review key size)",IF(I23="Digital signature / authentication","ML-DSA-65 (FIPS 204); SLH-DSA (FIPS 205) if hash-based is preferred",IF(OR(I23="Key establishment / encryption in transit",I23="Key wrapping / key transport"),"ML-KEM-768 (FIPS 203); hybrid X25519MLKEM768 for TLS 1.3",IF(I23="Mixed or unknown","Both: ML-KEM (FIPS 203) for keys, ML-DSA (FIPS 204) for signatures","Pick the crypto function first")))))</f>
        <v/>
      </c>
      <c r="W23" s="16"/>
      <c r="X23" s="18" t="str">
        <f aca="false">IF(A23="","",IF(R23="No",0,IF(LEFT(T23,7)="AT RISK",Assumptions!$C$13,0)+IF(LEFT(U23,3)="Yes",Assumptions!$C$14,0)+IF(F23="Yes",Assumptions!$C$15,0)+IF(G23="Restricted",Assumptions!$C$16,IF(G23="Confidential",Assumptions!$C$17,IF(G23="Internal",Assumptions!$C$18,0)))+IF(OR(N23="Roadmap - verbal only",N23="No roadmap",N23="Not asked yet",N23=""),Assumptions!$C$19,0)+IF(E23="Production",Assumptions!$C$20,0)+IF(AND(ISNUMBER(P23),N(P23)&gt;=Assumptions!$C$22),Assumptions!$C$21,0)))</f>
        <v/>
      </c>
      <c r="Y23" s="18" t="str">
        <f aca="false">IF(X23="","",IF(R23="No","None",IF(X23&gt;=Assumptions!$C$23,"High",IF(X23&gt;=Assumptions!$C$24,"Medium","Low"))))</f>
        <v/>
      </c>
      <c r="Z23" s="16"/>
      <c r="AA23" s="17"/>
      <c r="AB23" s="16"/>
      <c r="AC23" s="18" t="str">
        <f aca="true">IF(OR(AA23="",AB23="Hybrid deployed",AB23="PQC deployed",AB23="Not required (not vulnerable)",AB23="Risk accepted"),"",IF(AA23&lt;TODAY(),"OVERDUE",""))</f>
        <v/>
      </c>
      <c r="AD23" s="18" t="str">
        <f aca="true">IF(A23="","",IF(B23="","Name the system. ","")&amp;IF(LEFT(R23,7)="Unknown","Algorithm unknown - scan or ask the vendor. ","")&amp;IF(AND(R23&lt;&gt;"No",Assumptions!$C$6=""),"Set Z on Assumptions. ","")&amp;IF(AND(R23&lt;&gt;"No",OR(O23="",P23="")),"Enter X and Y. ","")&amp;IF(LEFT(T23,7)="AT RISK","Mosca: X+Y exceeds Z - migration should already be under way. ","")&amp;IF(AND(LEFT(U23,3)="Yes",OR(AB23="",AB23="Not started")),"Harvest-now-decrypt-later exposure and migration not started. ","")&amp;IF(AND(R23&lt;&gt;"No",OR(W23="",W23="To decide")),"Choose a target algorithm. ","")&amp;IF(AND(R23&lt;&gt;"No",W23="Keep - not quantum-vulnerable"),"Target 'Keep' conflicts with a quantum-vulnerable algorithm. ","")&amp;IF(LEFT(J23,5)="SHA-1","SHA-1 is deprecated - replace (NIST IR 8547). ","")&amp;IF(AND(R23&lt;&gt;"No",OR(N23="Roadmap - verbal only",N23="No roadmap",N23="Not asked yet")),"Get a written PQC roadmap from the vendor. ","")&amp;IF(AND(R23&lt;&gt;"No",N23=""),"Record the vendor PQC roadmap status. ","")&amp;IF(ISNUMBER(M23),IF(M23&lt;TODAY(),"Certificate or key expired. ",IF(M23-TODAY()&lt;=Assumptions!$C$25,"Expires soon - use the renewal to revisit the algorithm. ","")),"")&amp;IF(AC23="OVERDUE","Migration overdue. ","")&amp;IF(AND(R23&lt;&gt;"No",Z23=""),"Assign a migration owner. ",""))</f>
        <v/>
      </c>
    </row>
    <row r="24" customFormat="false" ht="15" hidden="false" customHeight="false" outlineLevel="0" collapsed="false">
      <c r="A24" s="16"/>
      <c r="B24" s="16"/>
      <c r="C24" s="16"/>
      <c r="D24" s="16"/>
      <c r="E24" s="16"/>
      <c r="F24" s="16"/>
      <c r="G24" s="16"/>
      <c r="H24" s="16"/>
      <c r="I24" s="16"/>
      <c r="J24" s="16"/>
      <c r="K24" s="16"/>
      <c r="L24" s="16"/>
      <c r="M24" s="17"/>
      <c r="N24" s="16"/>
      <c r="O24" s="16"/>
      <c r="P24" s="16"/>
      <c r="Q24" s="18" t="str">
        <f aca="false">IF(A24="","",IF(J24="","Unknown",IFERROR(INDEX('Algorithm Reference'!$C$6:$C$41,MATCH(J24,'Algorithm Reference'!$B$6:$B$41,0)),"Not in reference")))</f>
        <v/>
      </c>
      <c r="R24" s="18" t="str">
        <f aca="false">IF(A24="","",IF(J24="","Unknown - investigate",IFERROR(INDEX('Algorithm Reference'!$E$6:$E$41,MATCH(J24,'Algorithm Reference'!$B$6:$B$41,0)),"Unknown - investigate")))</f>
        <v/>
      </c>
      <c r="S24" s="18" t="str">
        <f aca="false">IF(OR(O24="",P24=""),"",O24+P24)</f>
        <v/>
      </c>
      <c r="T24" s="18" t="str">
        <f aca="false">IF(A24="","",IF(R24="No","N/A - not quantum-vulnerable",IF(OR(O24="",P24=""),"Enter X and Y",IF(Assumptions!$C$6="","Set Z on Assumptions",IF(O24+P24&gt;Assumptions!$C$6,"AT RISK (X+Y &gt; Z)","Within Z (X+Y &lt;= Z)")))))</f>
        <v/>
      </c>
      <c r="U24" s="18" t="str">
        <f aca="false">IF(A24="","",IF(AND(R24&lt;&gt;"No",OR(I24="Key establishment / encryption in transit",I24="Key wrapping / key transport",I24="Mixed or unknown",I24=""),OR(N(O24)&gt;0,G24="Confidential",G24="Restricted")),IF(F24="Yes","Yes - internet-facing","Yes"),"No"))</f>
        <v/>
      </c>
      <c r="V24" s="18" t="str">
        <f aca="false">IF(A24="","",IF(R24="No","Keep - not quantum-vulnerable (review key size)",IF(I24="Digital signature / authentication","ML-DSA-65 (FIPS 204); SLH-DSA (FIPS 205) if hash-based is preferred",IF(OR(I24="Key establishment / encryption in transit",I24="Key wrapping / key transport"),"ML-KEM-768 (FIPS 203); hybrid X25519MLKEM768 for TLS 1.3",IF(I24="Mixed or unknown","Both: ML-KEM (FIPS 203) for keys, ML-DSA (FIPS 204) for signatures","Pick the crypto function first")))))</f>
        <v/>
      </c>
      <c r="W24" s="16"/>
      <c r="X24" s="18" t="str">
        <f aca="false">IF(A24="","",IF(R24="No",0,IF(LEFT(T24,7)="AT RISK",Assumptions!$C$13,0)+IF(LEFT(U24,3)="Yes",Assumptions!$C$14,0)+IF(F24="Yes",Assumptions!$C$15,0)+IF(G24="Restricted",Assumptions!$C$16,IF(G24="Confidential",Assumptions!$C$17,IF(G24="Internal",Assumptions!$C$18,0)))+IF(OR(N24="Roadmap - verbal only",N24="No roadmap",N24="Not asked yet",N24=""),Assumptions!$C$19,0)+IF(E24="Production",Assumptions!$C$20,0)+IF(AND(ISNUMBER(P24),N(P24)&gt;=Assumptions!$C$22),Assumptions!$C$21,0)))</f>
        <v/>
      </c>
      <c r="Y24" s="18" t="str">
        <f aca="false">IF(X24="","",IF(R24="No","None",IF(X24&gt;=Assumptions!$C$23,"High",IF(X24&gt;=Assumptions!$C$24,"Medium","Low"))))</f>
        <v/>
      </c>
      <c r="Z24" s="16"/>
      <c r="AA24" s="17"/>
      <c r="AB24" s="16"/>
      <c r="AC24" s="18" t="str">
        <f aca="true">IF(OR(AA24="",AB24="Hybrid deployed",AB24="PQC deployed",AB24="Not required (not vulnerable)",AB24="Risk accepted"),"",IF(AA24&lt;TODAY(),"OVERDUE",""))</f>
        <v/>
      </c>
      <c r="AD24" s="18" t="str">
        <f aca="true">IF(A24="","",IF(B24="","Name the system. ","")&amp;IF(LEFT(R24,7)="Unknown","Algorithm unknown - scan or ask the vendor. ","")&amp;IF(AND(R24&lt;&gt;"No",Assumptions!$C$6=""),"Set Z on Assumptions. ","")&amp;IF(AND(R24&lt;&gt;"No",OR(O24="",P24="")),"Enter X and Y. ","")&amp;IF(LEFT(T24,7)="AT RISK","Mosca: X+Y exceeds Z - migration should already be under way. ","")&amp;IF(AND(LEFT(U24,3)="Yes",OR(AB24="",AB24="Not started")),"Harvest-now-decrypt-later exposure and migration not started. ","")&amp;IF(AND(R24&lt;&gt;"No",OR(W24="",W24="To decide")),"Choose a target algorithm. ","")&amp;IF(AND(R24&lt;&gt;"No",W24="Keep - not quantum-vulnerable"),"Target 'Keep' conflicts with a quantum-vulnerable algorithm. ","")&amp;IF(LEFT(J24,5)="SHA-1","SHA-1 is deprecated - replace (NIST IR 8547). ","")&amp;IF(AND(R24&lt;&gt;"No",OR(N24="Roadmap - verbal only",N24="No roadmap",N24="Not asked yet")),"Get a written PQC roadmap from the vendor. ","")&amp;IF(AND(R24&lt;&gt;"No",N24=""),"Record the vendor PQC roadmap status. ","")&amp;IF(ISNUMBER(M24),IF(M24&lt;TODAY(),"Certificate or key expired. ",IF(M24-TODAY()&lt;=Assumptions!$C$25,"Expires soon - use the renewal to revisit the algorithm. ","")),"")&amp;IF(AC24="OVERDUE","Migration overdue. ","")&amp;IF(AND(R24&lt;&gt;"No",Z24=""),"Assign a migration owner. ",""))</f>
        <v/>
      </c>
    </row>
    <row r="25" customFormat="false" ht="15" hidden="false" customHeight="false" outlineLevel="0" collapsed="false">
      <c r="A25" s="16"/>
      <c r="B25" s="16"/>
      <c r="C25" s="16"/>
      <c r="D25" s="16"/>
      <c r="E25" s="16"/>
      <c r="F25" s="16"/>
      <c r="G25" s="16"/>
      <c r="H25" s="16"/>
      <c r="I25" s="16"/>
      <c r="J25" s="16"/>
      <c r="K25" s="16"/>
      <c r="L25" s="16"/>
      <c r="M25" s="17"/>
      <c r="N25" s="16"/>
      <c r="O25" s="16"/>
      <c r="P25" s="16"/>
      <c r="Q25" s="18" t="str">
        <f aca="false">IF(A25="","",IF(J25="","Unknown",IFERROR(INDEX('Algorithm Reference'!$C$6:$C$41,MATCH(J25,'Algorithm Reference'!$B$6:$B$41,0)),"Not in reference")))</f>
        <v/>
      </c>
      <c r="R25" s="18" t="str">
        <f aca="false">IF(A25="","",IF(J25="","Unknown - investigate",IFERROR(INDEX('Algorithm Reference'!$E$6:$E$41,MATCH(J25,'Algorithm Reference'!$B$6:$B$41,0)),"Unknown - investigate")))</f>
        <v/>
      </c>
      <c r="S25" s="18" t="str">
        <f aca="false">IF(OR(O25="",P25=""),"",O25+P25)</f>
        <v/>
      </c>
      <c r="T25" s="18" t="str">
        <f aca="false">IF(A25="","",IF(R25="No","N/A - not quantum-vulnerable",IF(OR(O25="",P25=""),"Enter X and Y",IF(Assumptions!$C$6="","Set Z on Assumptions",IF(O25+P25&gt;Assumptions!$C$6,"AT RISK (X+Y &gt; Z)","Within Z (X+Y &lt;= Z)")))))</f>
        <v/>
      </c>
      <c r="U25" s="18" t="str">
        <f aca="false">IF(A25="","",IF(AND(R25&lt;&gt;"No",OR(I25="Key establishment / encryption in transit",I25="Key wrapping / key transport",I25="Mixed or unknown",I25=""),OR(N(O25)&gt;0,G25="Confidential",G25="Restricted")),IF(F25="Yes","Yes - internet-facing","Yes"),"No"))</f>
        <v/>
      </c>
      <c r="V25" s="18" t="str">
        <f aca="false">IF(A25="","",IF(R25="No","Keep - not quantum-vulnerable (review key size)",IF(I25="Digital signature / authentication","ML-DSA-65 (FIPS 204); SLH-DSA (FIPS 205) if hash-based is preferred",IF(OR(I25="Key establishment / encryption in transit",I25="Key wrapping / key transport"),"ML-KEM-768 (FIPS 203); hybrid X25519MLKEM768 for TLS 1.3",IF(I25="Mixed or unknown","Both: ML-KEM (FIPS 203) for keys, ML-DSA (FIPS 204) for signatures","Pick the crypto function first")))))</f>
        <v/>
      </c>
      <c r="W25" s="16"/>
      <c r="X25" s="18" t="str">
        <f aca="false">IF(A25="","",IF(R25="No",0,IF(LEFT(T25,7)="AT RISK",Assumptions!$C$13,0)+IF(LEFT(U25,3)="Yes",Assumptions!$C$14,0)+IF(F25="Yes",Assumptions!$C$15,0)+IF(G25="Restricted",Assumptions!$C$16,IF(G25="Confidential",Assumptions!$C$17,IF(G25="Internal",Assumptions!$C$18,0)))+IF(OR(N25="Roadmap - verbal only",N25="No roadmap",N25="Not asked yet",N25=""),Assumptions!$C$19,0)+IF(E25="Production",Assumptions!$C$20,0)+IF(AND(ISNUMBER(P25),N(P25)&gt;=Assumptions!$C$22),Assumptions!$C$21,0)))</f>
        <v/>
      </c>
      <c r="Y25" s="18" t="str">
        <f aca="false">IF(X25="","",IF(R25="No","None",IF(X25&gt;=Assumptions!$C$23,"High",IF(X25&gt;=Assumptions!$C$24,"Medium","Low"))))</f>
        <v/>
      </c>
      <c r="Z25" s="16"/>
      <c r="AA25" s="17"/>
      <c r="AB25" s="16"/>
      <c r="AC25" s="18" t="str">
        <f aca="true">IF(OR(AA25="",AB25="Hybrid deployed",AB25="PQC deployed",AB25="Not required (not vulnerable)",AB25="Risk accepted"),"",IF(AA25&lt;TODAY(),"OVERDUE",""))</f>
        <v/>
      </c>
      <c r="AD25" s="18" t="str">
        <f aca="true">IF(A25="","",IF(B25="","Name the system. ","")&amp;IF(LEFT(R25,7)="Unknown","Algorithm unknown - scan or ask the vendor. ","")&amp;IF(AND(R25&lt;&gt;"No",Assumptions!$C$6=""),"Set Z on Assumptions. ","")&amp;IF(AND(R25&lt;&gt;"No",OR(O25="",P25="")),"Enter X and Y. ","")&amp;IF(LEFT(T25,7)="AT RISK","Mosca: X+Y exceeds Z - migration should already be under way. ","")&amp;IF(AND(LEFT(U25,3)="Yes",OR(AB25="",AB25="Not started")),"Harvest-now-decrypt-later exposure and migration not started. ","")&amp;IF(AND(R25&lt;&gt;"No",OR(W25="",W25="To decide")),"Choose a target algorithm. ","")&amp;IF(AND(R25&lt;&gt;"No",W25="Keep - not quantum-vulnerable"),"Target 'Keep' conflicts with a quantum-vulnerable algorithm. ","")&amp;IF(LEFT(J25,5)="SHA-1","SHA-1 is deprecated - replace (NIST IR 8547). ","")&amp;IF(AND(R25&lt;&gt;"No",OR(N25="Roadmap - verbal only",N25="No roadmap",N25="Not asked yet")),"Get a written PQC roadmap from the vendor. ","")&amp;IF(AND(R25&lt;&gt;"No",N25=""),"Record the vendor PQC roadmap status. ","")&amp;IF(ISNUMBER(M25),IF(M25&lt;TODAY(),"Certificate or key expired. ",IF(M25-TODAY()&lt;=Assumptions!$C$25,"Expires soon - use the renewal to revisit the algorithm. ","")),"")&amp;IF(AC25="OVERDUE","Migration overdue. ","")&amp;IF(AND(R25&lt;&gt;"No",Z25=""),"Assign a migration owner. ",""))</f>
        <v/>
      </c>
    </row>
    <row r="26" customFormat="false" ht="15" hidden="false" customHeight="false" outlineLevel="0" collapsed="false">
      <c r="A26" s="16"/>
      <c r="B26" s="16"/>
      <c r="C26" s="16"/>
      <c r="D26" s="16"/>
      <c r="E26" s="16"/>
      <c r="F26" s="16"/>
      <c r="G26" s="16"/>
      <c r="H26" s="16"/>
      <c r="I26" s="16"/>
      <c r="J26" s="16"/>
      <c r="K26" s="16"/>
      <c r="L26" s="16"/>
      <c r="M26" s="17"/>
      <c r="N26" s="16"/>
      <c r="O26" s="16"/>
      <c r="P26" s="16"/>
      <c r="Q26" s="18" t="str">
        <f aca="false">IF(A26="","",IF(J26="","Unknown",IFERROR(INDEX('Algorithm Reference'!$C$6:$C$41,MATCH(J26,'Algorithm Reference'!$B$6:$B$41,0)),"Not in reference")))</f>
        <v/>
      </c>
      <c r="R26" s="18" t="str">
        <f aca="false">IF(A26="","",IF(J26="","Unknown - investigate",IFERROR(INDEX('Algorithm Reference'!$E$6:$E$41,MATCH(J26,'Algorithm Reference'!$B$6:$B$41,0)),"Unknown - investigate")))</f>
        <v/>
      </c>
      <c r="S26" s="18" t="str">
        <f aca="false">IF(OR(O26="",P26=""),"",O26+P26)</f>
        <v/>
      </c>
      <c r="T26" s="18" t="str">
        <f aca="false">IF(A26="","",IF(R26="No","N/A - not quantum-vulnerable",IF(OR(O26="",P26=""),"Enter X and Y",IF(Assumptions!$C$6="","Set Z on Assumptions",IF(O26+P26&gt;Assumptions!$C$6,"AT RISK (X+Y &gt; Z)","Within Z (X+Y &lt;= Z)")))))</f>
        <v/>
      </c>
      <c r="U26" s="18" t="str">
        <f aca="false">IF(A26="","",IF(AND(R26&lt;&gt;"No",OR(I26="Key establishment / encryption in transit",I26="Key wrapping / key transport",I26="Mixed or unknown",I26=""),OR(N(O26)&gt;0,G26="Confidential",G26="Restricted")),IF(F26="Yes","Yes - internet-facing","Yes"),"No"))</f>
        <v/>
      </c>
      <c r="V26" s="18" t="str">
        <f aca="false">IF(A26="","",IF(R26="No","Keep - not quantum-vulnerable (review key size)",IF(I26="Digital signature / authentication","ML-DSA-65 (FIPS 204); SLH-DSA (FIPS 205) if hash-based is preferred",IF(OR(I26="Key establishment / encryption in transit",I26="Key wrapping / key transport"),"ML-KEM-768 (FIPS 203); hybrid X25519MLKEM768 for TLS 1.3",IF(I26="Mixed or unknown","Both: ML-KEM (FIPS 203) for keys, ML-DSA (FIPS 204) for signatures","Pick the crypto function first")))))</f>
        <v/>
      </c>
      <c r="W26" s="16"/>
      <c r="X26" s="18" t="str">
        <f aca="false">IF(A26="","",IF(R26="No",0,IF(LEFT(T26,7)="AT RISK",Assumptions!$C$13,0)+IF(LEFT(U26,3)="Yes",Assumptions!$C$14,0)+IF(F26="Yes",Assumptions!$C$15,0)+IF(G26="Restricted",Assumptions!$C$16,IF(G26="Confidential",Assumptions!$C$17,IF(G26="Internal",Assumptions!$C$18,0)))+IF(OR(N26="Roadmap - verbal only",N26="No roadmap",N26="Not asked yet",N26=""),Assumptions!$C$19,0)+IF(E26="Production",Assumptions!$C$20,0)+IF(AND(ISNUMBER(P26),N(P26)&gt;=Assumptions!$C$22),Assumptions!$C$21,0)))</f>
        <v/>
      </c>
      <c r="Y26" s="18" t="str">
        <f aca="false">IF(X26="","",IF(R26="No","None",IF(X26&gt;=Assumptions!$C$23,"High",IF(X26&gt;=Assumptions!$C$24,"Medium","Low"))))</f>
        <v/>
      </c>
      <c r="Z26" s="16"/>
      <c r="AA26" s="17"/>
      <c r="AB26" s="16"/>
      <c r="AC26" s="18" t="str">
        <f aca="true">IF(OR(AA26="",AB26="Hybrid deployed",AB26="PQC deployed",AB26="Not required (not vulnerable)",AB26="Risk accepted"),"",IF(AA26&lt;TODAY(),"OVERDUE",""))</f>
        <v/>
      </c>
      <c r="AD26" s="18" t="str">
        <f aca="true">IF(A26="","",IF(B26="","Name the system. ","")&amp;IF(LEFT(R26,7)="Unknown","Algorithm unknown - scan or ask the vendor. ","")&amp;IF(AND(R26&lt;&gt;"No",Assumptions!$C$6=""),"Set Z on Assumptions. ","")&amp;IF(AND(R26&lt;&gt;"No",OR(O26="",P26="")),"Enter X and Y. ","")&amp;IF(LEFT(T26,7)="AT RISK","Mosca: X+Y exceeds Z - migration should already be under way. ","")&amp;IF(AND(LEFT(U26,3)="Yes",OR(AB26="",AB26="Not started")),"Harvest-now-decrypt-later exposure and migration not started. ","")&amp;IF(AND(R26&lt;&gt;"No",OR(W26="",W26="To decide")),"Choose a target algorithm. ","")&amp;IF(AND(R26&lt;&gt;"No",W26="Keep - not quantum-vulnerable"),"Target 'Keep' conflicts with a quantum-vulnerable algorithm. ","")&amp;IF(LEFT(J26,5)="SHA-1","SHA-1 is deprecated - replace (NIST IR 8547). ","")&amp;IF(AND(R26&lt;&gt;"No",OR(N26="Roadmap - verbal only",N26="No roadmap",N26="Not asked yet")),"Get a written PQC roadmap from the vendor. ","")&amp;IF(AND(R26&lt;&gt;"No",N26=""),"Record the vendor PQC roadmap status. ","")&amp;IF(ISNUMBER(M26),IF(M26&lt;TODAY(),"Certificate or key expired. ",IF(M26-TODAY()&lt;=Assumptions!$C$25,"Expires soon - use the renewal to revisit the algorithm. ","")),"")&amp;IF(AC26="OVERDUE","Migration overdue. ","")&amp;IF(AND(R26&lt;&gt;"No",Z26=""),"Assign a migration owner. ",""))</f>
        <v/>
      </c>
    </row>
    <row r="27" customFormat="false" ht="15" hidden="false" customHeight="false" outlineLevel="0" collapsed="false">
      <c r="A27" s="16"/>
      <c r="B27" s="16"/>
      <c r="C27" s="16"/>
      <c r="D27" s="16"/>
      <c r="E27" s="16"/>
      <c r="F27" s="16"/>
      <c r="G27" s="16"/>
      <c r="H27" s="16"/>
      <c r="I27" s="16"/>
      <c r="J27" s="16"/>
      <c r="K27" s="16"/>
      <c r="L27" s="16"/>
      <c r="M27" s="17"/>
      <c r="N27" s="16"/>
      <c r="O27" s="16"/>
      <c r="P27" s="16"/>
      <c r="Q27" s="18" t="str">
        <f aca="false">IF(A27="","",IF(J27="","Unknown",IFERROR(INDEX('Algorithm Reference'!$C$6:$C$41,MATCH(J27,'Algorithm Reference'!$B$6:$B$41,0)),"Not in reference")))</f>
        <v/>
      </c>
      <c r="R27" s="18" t="str">
        <f aca="false">IF(A27="","",IF(J27="","Unknown - investigate",IFERROR(INDEX('Algorithm Reference'!$E$6:$E$41,MATCH(J27,'Algorithm Reference'!$B$6:$B$41,0)),"Unknown - investigate")))</f>
        <v/>
      </c>
      <c r="S27" s="18" t="str">
        <f aca="false">IF(OR(O27="",P27=""),"",O27+P27)</f>
        <v/>
      </c>
      <c r="T27" s="18" t="str">
        <f aca="false">IF(A27="","",IF(R27="No","N/A - not quantum-vulnerable",IF(OR(O27="",P27=""),"Enter X and Y",IF(Assumptions!$C$6="","Set Z on Assumptions",IF(O27+P27&gt;Assumptions!$C$6,"AT RISK (X+Y &gt; Z)","Within Z (X+Y &lt;= Z)")))))</f>
        <v/>
      </c>
      <c r="U27" s="18" t="str">
        <f aca="false">IF(A27="","",IF(AND(R27&lt;&gt;"No",OR(I27="Key establishment / encryption in transit",I27="Key wrapping / key transport",I27="Mixed or unknown",I27=""),OR(N(O27)&gt;0,G27="Confidential",G27="Restricted")),IF(F27="Yes","Yes - internet-facing","Yes"),"No"))</f>
        <v/>
      </c>
      <c r="V27" s="18" t="str">
        <f aca="false">IF(A27="","",IF(R27="No","Keep - not quantum-vulnerable (review key size)",IF(I27="Digital signature / authentication","ML-DSA-65 (FIPS 204); SLH-DSA (FIPS 205) if hash-based is preferred",IF(OR(I27="Key establishment / encryption in transit",I27="Key wrapping / key transport"),"ML-KEM-768 (FIPS 203); hybrid X25519MLKEM768 for TLS 1.3",IF(I27="Mixed or unknown","Both: ML-KEM (FIPS 203) for keys, ML-DSA (FIPS 204) for signatures","Pick the crypto function first")))))</f>
        <v/>
      </c>
      <c r="W27" s="16"/>
      <c r="X27" s="18" t="str">
        <f aca="false">IF(A27="","",IF(R27="No",0,IF(LEFT(T27,7)="AT RISK",Assumptions!$C$13,0)+IF(LEFT(U27,3)="Yes",Assumptions!$C$14,0)+IF(F27="Yes",Assumptions!$C$15,0)+IF(G27="Restricted",Assumptions!$C$16,IF(G27="Confidential",Assumptions!$C$17,IF(G27="Internal",Assumptions!$C$18,0)))+IF(OR(N27="Roadmap - verbal only",N27="No roadmap",N27="Not asked yet",N27=""),Assumptions!$C$19,0)+IF(E27="Production",Assumptions!$C$20,0)+IF(AND(ISNUMBER(P27),N(P27)&gt;=Assumptions!$C$22),Assumptions!$C$21,0)))</f>
        <v/>
      </c>
      <c r="Y27" s="18" t="str">
        <f aca="false">IF(X27="","",IF(R27="No","None",IF(X27&gt;=Assumptions!$C$23,"High",IF(X27&gt;=Assumptions!$C$24,"Medium","Low"))))</f>
        <v/>
      </c>
      <c r="Z27" s="16"/>
      <c r="AA27" s="17"/>
      <c r="AB27" s="16"/>
      <c r="AC27" s="18" t="str">
        <f aca="true">IF(OR(AA27="",AB27="Hybrid deployed",AB27="PQC deployed",AB27="Not required (not vulnerable)",AB27="Risk accepted"),"",IF(AA27&lt;TODAY(),"OVERDUE",""))</f>
        <v/>
      </c>
      <c r="AD27" s="18" t="str">
        <f aca="true">IF(A27="","",IF(B27="","Name the system. ","")&amp;IF(LEFT(R27,7)="Unknown","Algorithm unknown - scan or ask the vendor. ","")&amp;IF(AND(R27&lt;&gt;"No",Assumptions!$C$6=""),"Set Z on Assumptions. ","")&amp;IF(AND(R27&lt;&gt;"No",OR(O27="",P27="")),"Enter X and Y. ","")&amp;IF(LEFT(T27,7)="AT RISK","Mosca: X+Y exceeds Z - migration should already be under way. ","")&amp;IF(AND(LEFT(U27,3)="Yes",OR(AB27="",AB27="Not started")),"Harvest-now-decrypt-later exposure and migration not started. ","")&amp;IF(AND(R27&lt;&gt;"No",OR(W27="",W27="To decide")),"Choose a target algorithm. ","")&amp;IF(AND(R27&lt;&gt;"No",W27="Keep - not quantum-vulnerable"),"Target 'Keep' conflicts with a quantum-vulnerable algorithm. ","")&amp;IF(LEFT(J27,5)="SHA-1","SHA-1 is deprecated - replace (NIST IR 8547). ","")&amp;IF(AND(R27&lt;&gt;"No",OR(N27="Roadmap - verbal only",N27="No roadmap",N27="Not asked yet")),"Get a written PQC roadmap from the vendor. ","")&amp;IF(AND(R27&lt;&gt;"No",N27=""),"Record the vendor PQC roadmap status. ","")&amp;IF(ISNUMBER(M27),IF(M27&lt;TODAY(),"Certificate or key expired. ",IF(M27-TODAY()&lt;=Assumptions!$C$25,"Expires soon - use the renewal to revisit the algorithm. ","")),"")&amp;IF(AC27="OVERDUE","Migration overdue. ","")&amp;IF(AND(R27&lt;&gt;"No",Z27=""),"Assign a migration owner. ",""))</f>
        <v/>
      </c>
    </row>
    <row r="28" customFormat="false" ht="15" hidden="false" customHeight="false" outlineLevel="0" collapsed="false">
      <c r="A28" s="16"/>
      <c r="B28" s="16"/>
      <c r="C28" s="16"/>
      <c r="D28" s="16"/>
      <c r="E28" s="16"/>
      <c r="F28" s="16"/>
      <c r="G28" s="16"/>
      <c r="H28" s="16"/>
      <c r="I28" s="16"/>
      <c r="J28" s="16"/>
      <c r="K28" s="16"/>
      <c r="L28" s="16"/>
      <c r="M28" s="17"/>
      <c r="N28" s="16"/>
      <c r="O28" s="16"/>
      <c r="P28" s="16"/>
      <c r="Q28" s="18" t="str">
        <f aca="false">IF(A28="","",IF(J28="","Unknown",IFERROR(INDEX('Algorithm Reference'!$C$6:$C$41,MATCH(J28,'Algorithm Reference'!$B$6:$B$41,0)),"Not in reference")))</f>
        <v/>
      </c>
      <c r="R28" s="18" t="str">
        <f aca="false">IF(A28="","",IF(J28="","Unknown - investigate",IFERROR(INDEX('Algorithm Reference'!$E$6:$E$41,MATCH(J28,'Algorithm Reference'!$B$6:$B$41,0)),"Unknown - investigate")))</f>
        <v/>
      </c>
      <c r="S28" s="18" t="str">
        <f aca="false">IF(OR(O28="",P28=""),"",O28+P28)</f>
        <v/>
      </c>
      <c r="T28" s="18" t="str">
        <f aca="false">IF(A28="","",IF(R28="No","N/A - not quantum-vulnerable",IF(OR(O28="",P28=""),"Enter X and Y",IF(Assumptions!$C$6="","Set Z on Assumptions",IF(O28+P28&gt;Assumptions!$C$6,"AT RISK (X+Y &gt; Z)","Within Z (X+Y &lt;= Z)")))))</f>
        <v/>
      </c>
      <c r="U28" s="18" t="str">
        <f aca="false">IF(A28="","",IF(AND(R28&lt;&gt;"No",OR(I28="Key establishment / encryption in transit",I28="Key wrapping / key transport",I28="Mixed or unknown",I28=""),OR(N(O28)&gt;0,G28="Confidential",G28="Restricted")),IF(F28="Yes","Yes - internet-facing","Yes"),"No"))</f>
        <v/>
      </c>
      <c r="V28" s="18" t="str">
        <f aca="false">IF(A28="","",IF(R28="No","Keep - not quantum-vulnerable (review key size)",IF(I28="Digital signature / authentication","ML-DSA-65 (FIPS 204); SLH-DSA (FIPS 205) if hash-based is preferred",IF(OR(I28="Key establishment / encryption in transit",I28="Key wrapping / key transport"),"ML-KEM-768 (FIPS 203); hybrid X25519MLKEM768 for TLS 1.3",IF(I28="Mixed or unknown","Both: ML-KEM (FIPS 203) for keys, ML-DSA (FIPS 204) for signatures","Pick the crypto function first")))))</f>
        <v/>
      </c>
      <c r="W28" s="16"/>
      <c r="X28" s="18" t="str">
        <f aca="false">IF(A28="","",IF(R28="No",0,IF(LEFT(T28,7)="AT RISK",Assumptions!$C$13,0)+IF(LEFT(U28,3)="Yes",Assumptions!$C$14,0)+IF(F28="Yes",Assumptions!$C$15,0)+IF(G28="Restricted",Assumptions!$C$16,IF(G28="Confidential",Assumptions!$C$17,IF(G28="Internal",Assumptions!$C$18,0)))+IF(OR(N28="Roadmap - verbal only",N28="No roadmap",N28="Not asked yet",N28=""),Assumptions!$C$19,0)+IF(E28="Production",Assumptions!$C$20,0)+IF(AND(ISNUMBER(P28),N(P28)&gt;=Assumptions!$C$22),Assumptions!$C$21,0)))</f>
        <v/>
      </c>
      <c r="Y28" s="18" t="str">
        <f aca="false">IF(X28="","",IF(R28="No","None",IF(X28&gt;=Assumptions!$C$23,"High",IF(X28&gt;=Assumptions!$C$24,"Medium","Low"))))</f>
        <v/>
      </c>
      <c r="Z28" s="16"/>
      <c r="AA28" s="17"/>
      <c r="AB28" s="16"/>
      <c r="AC28" s="18" t="str">
        <f aca="true">IF(OR(AA28="",AB28="Hybrid deployed",AB28="PQC deployed",AB28="Not required (not vulnerable)",AB28="Risk accepted"),"",IF(AA28&lt;TODAY(),"OVERDUE",""))</f>
        <v/>
      </c>
      <c r="AD28" s="18" t="str">
        <f aca="true">IF(A28="","",IF(B28="","Name the system. ","")&amp;IF(LEFT(R28,7)="Unknown","Algorithm unknown - scan or ask the vendor. ","")&amp;IF(AND(R28&lt;&gt;"No",Assumptions!$C$6=""),"Set Z on Assumptions. ","")&amp;IF(AND(R28&lt;&gt;"No",OR(O28="",P28="")),"Enter X and Y. ","")&amp;IF(LEFT(T28,7)="AT RISK","Mosca: X+Y exceeds Z - migration should already be under way. ","")&amp;IF(AND(LEFT(U28,3)="Yes",OR(AB28="",AB28="Not started")),"Harvest-now-decrypt-later exposure and migration not started. ","")&amp;IF(AND(R28&lt;&gt;"No",OR(W28="",W28="To decide")),"Choose a target algorithm. ","")&amp;IF(AND(R28&lt;&gt;"No",W28="Keep - not quantum-vulnerable"),"Target 'Keep' conflicts with a quantum-vulnerable algorithm. ","")&amp;IF(LEFT(J28,5)="SHA-1","SHA-1 is deprecated - replace (NIST IR 8547). ","")&amp;IF(AND(R28&lt;&gt;"No",OR(N28="Roadmap - verbal only",N28="No roadmap",N28="Not asked yet")),"Get a written PQC roadmap from the vendor. ","")&amp;IF(AND(R28&lt;&gt;"No",N28=""),"Record the vendor PQC roadmap status. ","")&amp;IF(ISNUMBER(M28),IF(M28&lt;TODAY(),"Certificate or key expired. ",IF(M28-TODAY()&lt;=Assumptions!$C$25,"Expires soon - use the renewal to revisit the algorithm. ","")),"")&amp;IF(AC28="OVERDUE","Migration overdue. ","")&amp;IF(AND(R28&lt;&gt;"No",Z28=""),"Assign a migration owner. ",""))</f>
        <v/>
      </c>
    </row>
    <row r="29" customFormat="false" ht="15" hidden="false" customHeight="false" outlineLevel="0" collapsed="false">
      <c r="A29" s="16"/>
      <c r="B29" s="16"/>
      <c r="C29" s="16"/>
      <c r="D29" s="16"/>
      <c r="E29" s="16"/>
      <c r="F29" s="16"/>
      <c r="G29" s="16"/>
      <c r="H29" s="16"/>
      <c r="I29" s="16"/>
      <c r="J29" s="16"/>
      <c r="K29" s="16"/>
      <c r="L29" s="16"/>
      <c r="M29" s="17"/>
      <c r="N29" s="16"/>
      <c r="O29" s="16"/>
      <c r="P29" s="16"/>
      <c r="Q29" s="18" t="str">
        <f aca="false">IF(A29="","",IF(J29="","Unknown",IFERROR(INDEX('Algorithm Reference'!$C$6:$C$41,MATCH(J29,'Algorithm Reference'!$B$6:$B$41,0)),"Not in reference")))</f>
        <v/>
      </c>
      <c r="R29" s="18" t="str">
        <f aca="false">IF(A29="","",IF(J29="","Unknown - investigate",IFERROR(INDEX('Algorithm Reference'!$E$6:$E$41,MATCH(J29,'Algorithm Reference'!$B$6:$B$41,0)),"Unknown - investigate")))</f>
        <v/>
      </c>
      <c r="S29" s="18" t="str">
        <f aca="false">IF(OR(O29="",P29=""),"",O29+P29)</f>
        <v/>
      </c>
      <c r="T29" s="18" t="str">
        <f aca="false">IF(A29="","",IF(R29="No","N/A - not quantum-vulnerable",IF(OR(O29="",P29=""),"Enter X and Y",IF(Assumptions!$C$6="","Set Z on Assumptions",IF(O29+P29&gt;Assumptions!$C$6,"AT RISK (X+Y &gt; Z)","Within Z (X+Y &lt;= Z)")))))</f>
        <v/>
      </c>
      <c r="U29" s="18" t="str">
        <f aca="false">IF(A29="","",IF(AND(R29&lt;&gt;"No",OR(I29="Key establishment / encryption in transit",I29="Key wrapping / key transport",I29="Mixed or unknown",I29=""),OR(N(O29)&gt;0,G29="Confidential",G29="Restricted")),IF(F29="Yes","Yes - internet-facing","Yes"),"No"))</f>
        <v/>
      </c>
      <c r="V29" s="18" t="str">
        <f aca="false">IF(A29="","",IF(R29="No","Keep - not quantum-vulnerable (review key size)",IF(I29="Digital signature / authentication","ML-DSA-65 (FIPS 204); SLH-DSA (FIPS 205) if hash-based is preferred",IF(OR(I29="Key establishment / encryption in transit",I29="Key wrapping / key transport"),"ML-KEM-768 (FIPS 203); hybrid X25519MLKEM768 for TLS 1.3",IF(I29="Mixed or unknown","Both: ML-KEM (FIPS 203) for keys, ML-DSA (FIPS 204) for signatures","Pick the crypto function first")))))</f>
        <v/>
      </c>
      <c r="W29" s="16"/>
      <c r="X29" s="18" t="str">
        <f aca="false">IF(A29="","",IF(R29="No",0,IF(LEFT(T29,7)="AT RISK",Assumptions!$C$13,0)+IF(LEFT(U29,3)="Yes",Assumptions!$C$14,0)+IF(F29="Yes",Assumptions!$C$15,0)+IF(G29="Restricted",Assumptions!$C$16,IF(G29="Confidential",Assumptions!$C$17,IF(G29="Internal",Assumptions!$C$18,0)))+IF(OR(N29="Roadmap - verbal only",N29="No roadmap",N29="Not asked yet",N29=""),Assumptions!$C$19,0)+IF(E29="Production",Assumptions!$C$20,0)+IF(AND(ISNUMBER(P29),N(P29)&gt;=Assumptions!$C$22),Assumptions!$C$21,0)))</f>
        <v/>
      </c>
      <c r="Y29" s="18" t="str">
        <f aca="false">IF(X29="","",IF(R29="No","None",IF(X29&gt;=Assumptions!$C$23,"High",IF(X29&gt;=Assumptions!$C$24,"Medium","Low"))))</f>
        <v/>
      </c>
      <c r="Z29" s="16"/>
      <c r="AA29" s="17"/>
      <c r="AB29" s="16"/>
      <c r="AC29" s="18" t="str">
        <f aca="true">IF(OR(AA29="",AB29="Hybrid deployed",AB29="PQC deployed",AB29="Not required (not vulnerable)",AB29="Risk accepted"),"",IF(AA29&lt;TODAY(),"OVERDUE",""))</f>
        <v/>
      </c>
      <c r="AD29" s="18" t="str">
        <f aca="true">IF(A29="","",IF(B29="","Name the system. ","")&amp;IF(LEFT(R29,7)="Unknown","Algorithm unknown - scan or ask the vendor. ","")&amp;IF(AND(R29&lt;&gt;"No",Assumptions!$C$6=""),"Set Z on Assumptions. ","")&amp;IF(AND(R29&lt;&gt;"No",OR(O29="",P29="")),"Enter X and Y. ","")&amp;IF(LEFT(T29,7)="AT RISK","Mosca: X+Y exceeds Z - migration should already be under way. ","")&amp;IF(AND(LEFT(U29,3)="Yes",OR(AB29="",AB29="Not started")),"Harvest-now-decrypt-later exposure and migration not started. ","")&amp;IF(AND(R29&lt;&gt;"No",OR(W29="",W29="To decide")),"Choose a target algorithm. ","")&amp;IF(AND(R29&lt;&gt;"No",W29="Keep - not quantum-vulnerable"),"Target 'Keep' conflicts with a quantum-vulnerable algorithm. ","")&amp;IF(LEFT(J29,5)="SHA-1","SHA-1 is deprecated - replace (NIST IR 8547). ","")&amp;IF(AND(R29&lt;&gt;"No",OR(N29="Roadmap - verbal only",N29="No roadmap",N29="Not asked yet")),"Get a written PQC roadmap from the vendor. ","")&amp;IF(AND(R29&lt;&gt;"No",N29=""),"Record the vendor PQC roadmap status. ","")&amp;IF(ISNUMBER(M29),IF(M29&lt;TODAY(),"Certificate or key expired. ",IF(M29-TODAY()&lt;=Assumptions!$C$25,"Expires soon - use the renewal to revisit the algorithm. ","")),"")&amp;IF(AC29="OVERDUE","Migration overdue. ","")&amp;IF(AND(R29&lt;&gt;"No",Z29=""),"Assign a migration owner. ",""))</f>
        <v/>
      </c>
    </row>
    <row r="30" customFormat="false" ht="15" hidden="false" customHeight="false" outlineLevel="0" collapsed="false">
      <c r="A30" s="16"/>
      <c r="B30" s="16"/>
      <c r="C30" s="16"/>
      <c r="D30" s="16"/>
      <c r="E30" s="16"/>
      <c r="F30" s="16"/>
      <c r="G30" s="16"/>
      <c r="H30" s="16"/>
      <c r="I30" s="16"/>
      <c r="J30" s="16"/>
      <c r="K30" s="16"/>
      <c r="L30" s="16"/>
      <c r="M30" s="17"/>
      <c r="N30" s="16"/>
      <c r="O30" s="16"/>
      <c r="P30" s="16"/>
      <c r="Q30" s="18" t="str">
        <f aca="false">IF(A30="","",IF(J30="","Unknown",IFERROR(INDEX('Algorithm Reference'!$C$6:$C$41,MATCH(J30,'Algorithm Reference'!$B$6:$B$41,0)),"Not in reference")))</f>
        <v/>
      </c>
      <c r="R30" s="18" t="str">
        <f aca="false">IF(A30="","",IF(J30="","Unknown - investigate",IFERROR(INDEX('Algorithm Reference'!$E$6:$E$41,MATCH(J30,'Algorithm Reference'!$B$6:$B$41,0)),"Unknown - investigate")))</f>
        <v/>
      </c>
      <c r="S30" s="18" t="str">
        <f aca="false">IF(OR(O30="",P30=""),"",O30+P30)</f>
        <v/>
      </c>
      <c r="T30" s="18" t="str">
        <f aca="false">IF(A30="","",IF(R30="No","N/A - not quantum-vulnerable",IF(OR(O30="",P30=""),"Enter X and Y",IF(Assumptions!$C$6="","Set Z on Assumptions",IF(O30+P30&gt;Assumptions!$C$6,"AT RISK (X+Y &gt; Z)","Within Z (X+Y &lt;= Z)")))))</f>
        <v/>
      </c>
      <c r="U30" s="18" t="str">
        <f aca="false">IF(A30="","",IF(AND(R30&lt;&gt;"No",OR(I30="Key establishment / encryption in transit",I30="Key wrapping / key transport",I30="Mixed or unknown",I30=""),OR(N(O30)&gt;0,G30="Confidential",G30="Restricted")),IF(F30="Yes","Yes - internet-facing","Yes"),"No"))</f>
        <v/>
      </c>
      <c r="V30" s="18" t="str">
        <f aca="false">IF(A30="","",IF(R30="No","Keep - not quantum-vulnerable (review key size)",IF(I30="Digital signature / authentication","ML-DSA-65 (FIPS 204); SLH-DSA (FIPS 205) if hash-based is preferred",IF(OR(I30="Key establishment / encryption in transit",I30="Key wrapping / key transport"),"ML-KEM-768 (FIPS 203); hybrid X25519MLKEM768 for TLS 1.3",IF(I30="Mixed or unknown","Both: ML-KEM (FIPS 203) for keys, ML-DSA (FIPS 204) for signatures","Pick the crypto function first")))))</f>
        <v/>
      </c>
      <c r="W30" s="16"/>
      <c r="X30" s="18" t="str">
        <f aca="false">IF(A30="","",IF(R30="No",0,IF(LEFT(T30,7)="AT RISK",Assumptions!$C$13,0)+IF(LEFT(U30,3)="Yes",Assumptions!$C$14,0)+IF(F30="Yes",Assumptions!$C$15,0)+IF(G30="Restricted",Assumptions!$C$16,IF(G30="Confidential",Assumptions!$C$17,IF(G30="Internal",Assumptions!$C$18,0)))+IF(OR(N30="Roadmap - verbal only",N30="No roadmap",N30="Not asked yet",N30=""),Assumptions!$C$19,0)+IF(E30="Production",Assumptions!$C$20,0)+IF(AND(ISNUMBER(P30),N(P30)&gt;=Assumptions!$C$22),Assumptions!$C$21,0)))</f>
        <v/>
      </c>
      <c r="Y30" s="18" t="str">
        <f aca="false">IF(X30="","",IF(R30="No","None",IF(X30&gt;=Assumptions!$C$23,"High",IF(X30&gt;=Assumptions!$C$24,"Medium","Low"))))</f>
        <v/>
      </c>
      <c r="Z30" s="16"/>
      <c r="AA30" s="17"/>
      <c r="AB30" s="16"/>
      <c r="AC30" s="18" t="str">
        <f aca="true">IF(OR(AA30="",AB30="Hybrid deployed",AB30="PQC deployed",AB30="Not required (not vulnerable)",AB30="Risk accepted"),"",IF(AA30&lt;TODAY(),"OVERDUE",""))</f>
        <v/>
      </c>
      <c r="AD30" s="18" t="str">
        <f aca="true">IF(A30="","",IF(B30="","Name the system. ","")&amp;IF(LEFT(R30,7)="Unknown","Algorithm unknown - scan or ask the vendor. ","")&amp;IF(AND(R30&lt;&gt;"No",Assumptions!$C$6=""),"Set Z on Assumptions. ","")&amp;IF(AND(R30&lt;&gt;"No",OR(O30="",P30="")),"Enter X and Y. ","")&amp;IF(LEFT(T30,7)="AT RISK","Mosca: X+Y exceeds Z - migration should already be under way. ","")&amp;IF(AND(LEFT(U30,3)="Yes",OR(AB30="",AB30="Not started")),"Harvest-now-decrypt-later exposure and migration not started. ","")&amp;IF(AND(R30&lt;&gt;"No",OR(W30="",W30="To decide")),"Choose a target algorithm. ","")&amp;IF(AND(R30&lt;&gt;"No",W30="Keep - not quantum-vulnerable"),"Target 'Keep' conflicts with a quantum-vulnerable algorithm. ","")&amp;IF(LEFT(J30,5)="SHA-1","SHA-1 is deprecated - replace (NIST IR 8547). ","")&amp;IF(AND(R30&lt;&gt;"No",OR(N30="Roadmap - verbal only",N30="No roadmap",N30="Not asked yet")),"Get a written PQC roadmap from the vendor. ","")&amp;IF(AND(R30&lt;&gt;"No",N30=""),"Record the vendor PQC roadmap status. ","")&amp;IF(ISNUMBER(M30),IF(M30&lt;TODAY(),"Certificate or key expired. ",IF(M30-TODAY()&lt;=Assumptions!$C$25,"Expires soon - use the renewal to revisit the algorithm. ","")),"")&amp;IF(AC30="OVERDUE","Migration overdue. ","")&amp;IF(AND(R30&lt;&gt;"No",Z30=""),"Assign a migration owner. ",""))</f>
        <v/>
      </c>
    </row>
    <row r="31" customFormat="false" ht="15" hidden="false" customHeight="false" outlineLevel="0" collapsed="false">
      <c r="A31" s="16"/>
      <c r="B31" s="16"/>
      <c r="C31" s="16"/>
      <c r="D31" s="16"/>
      <c r="E31" s="16"/>
      <c r="F31" s="16"/>
      <c r="G31" s="16"/>
      <c r="H31" s="16"/>
      <c r="I31" s="16"/>
      <c r="J31" s="16"/>
      <c r="K31" s="16"/>
      <c r="L31" s="16"/>
      <c r="M31" s="17"/>
      <c r="N31" s="16"/>
      <c r="O31" s="16"/>
      <c r="P31" s="16"/>
      <c r="Q31" s="18" t="str">
        <f aca="false">IF(A31="","",IF(J31="","Unknown",IFERROR(INDEX('Algorithm Reference'!$C$6:$C$41,MATCH(J31,'Algorithm Reference'!$B$6:$B$41,0)),"Not in reference")))</f>
        <v/>
      </c>
      <c r="R31" s="18" t="str">
        <f aca="false">IF(A31="","",IF(J31="","Unknown - investigate",IFERROR(INDEX('Algorithm Reference'!$E$6:$E$41,MATCH(J31,'Algorithm Reference'!$B$6:$B$41,0)),"Unknown - investigate")))</f>
        <v/>
      </c>
      <c r="S31" s="18" t="str">
        <f aca="false">IF(OR(O31="",P31=""),"",O31+P31)</f>
        <v/>
      </c>
      <c r="T31" s="18" t="str">
        <f aca="false">IF(A31="","",IF(R31="No","N/A - not quantum-vulnerable",IF(OR(O31="",P31=""),"Enter X and Y",IF(Assumptions!$C$6="","Set Z on Assumptions",IF(O31+P31&gt;Assumptions!$C$6,"AT RISK (X+Y &gt; Z)","Within Z (X+Y &lt;= Z)")))))</f>
        <v/>
      </c>
      <c r="U31" s="18" t="str">
        <f aca="false">IF(A31="","",IF(AND(R31&lt;&gt;"No",OR(I31="Key establishment / encryption in transit",I31="Key wrapping / key transport",I31="Mixed or unknown",I31=""),OR(N(O31)&gt;0,G31="Confidential",G31="Restricted")),IF(F31="Yes","Yes - internet-facing","Yes"),"No"))</f>
        <v/>
      </c>
      <c r="V31" s="18" t="str">
        <f aca="false">IF(A31="","",IF(R31="No","Keep - not quantum-vulnerable (review key size)",IF(I31="Digital signature / authentication","ML-DSA-65 (FIPS 204); SLH-DSA (FIPS 205) if hash-based is preferred",IF(OR(I31="Key establishment / encryption in transit",I31="Key wrapping / key transport"),"ML-KEM-768 (FIPS 203); hybrid X25519MLKEM768 for TLS 1.3",IF(I31="Mixed or unknown","Both: ML-KEM (FIPS 203) for keys, ML-DSA (FIPS 204) for signatures","Pick the crypto function first")))))</f>
        <v/>
      </c>
      <c r="W31" s="16"/>
      <c r="X31" s="18" t="str">
        <f aca="false">IF(A31="","",IF(R31="No",0,IF(LEFT(T31,7)="AT RISK",Assumptions!$C$13,0)+IF(LEFT(U31,3)="Yes",Assumptions!$C$14,0)+IF(F31="Yes",Assumptions!$C$15,0)+IF(G31="Restricted",Assumptions!$C$16,IF(G31="Confidential",Assumptions!$C$17,IF(G31="Internal",Assumptions!$C$18,0)))+IF(OR(N31="Roadmap - verbal only",N31="No roadmap",N31="Not asked yet",N31=""),Assumptions!$C$19,0)+IF(E31="Production",Assumptions!$C$20,0)+IF(AND(ISNUMBER(P31),N(P31)&gt;=Assumptions!$C$22),Assumptions!$C$21,0)))</f>
        <v/>
      </c>
      <c r="Y31" s="18" t="str">
        <f aca="false">IF(X31="","",IF(R31="No","None",IF(X31&gt;=Assumptions!$C$23,"High",IF(X31&gt;=Assumptions!$C$24,"Medium","Low"))))</f>
        <v/>
      </c>
      <c r="Z31" s="16"/>
      <c r="AA31" s="17"/>
      <c r="AB31" s="16"/>
      <c r="AC31" s="18" t="str">
        <f aca="true">IF(OR(AA31="",AB31="Hybrid deployed",AB31="PQC deployed",AB31="Not required (not vulnerable)",AB31="Risk accepted"),"",IF(AA31&lt;TODAY(),"OVERDUE",""))</f>
        <v/>
      </c>
      <c r="AD31" s="18" t="str">
        <f aca="true">IF(A31="","",IF(B31="","Name the system. ","")&amp;IF(LEFT(R31,7)="Unknown","Algorithm unknown - scan or ask the vendor. ","")&amp;IF(AND(R31&lt;&gt;"No",Assumptions!$C$6=""),"Set Z on Assumptions. ","")&amp;IF(AND(R31&lt;&gt;"No",OR(O31="",P31="")),"Enter X and Y. ","")&amp;IF(LEFT(T31,7)="AT RISK","Mosca: X+Y exceeds Z - migration should already be under way. ","")&amp;IF(AND(LEFT(U31,3)="Yes",OR(AB31="",AB31="Not started")),"Harvest-now-decrypt-later exposure and migration not started. ","")&amp;IF(AND(R31&lt;&gt;"No",OR(W31="",W31="To decide")),"Choose a target algorithm. ","")&amp;IF(AND(R31&lt;&gt;"No",W31="Keep - not quantum-vulnerable"),"Target 'Keep' conflicts with a quantum-vulnerable algorithm. ","")&amp;IF(LEFT(J31,5)="SHA-1","SHA-1 is deprecated - replace (NIST IR 8547). ","")&amp;IF(AND(R31&lt;&gt;"No",OR(N31="Roadmap - verbal only",N31="No roadmap",N31="Not asked yet")),"Get a written PQC roadmap from the vendor. ","")&amp;IF(AND(R31&lt;&gt;"No",N31=""),"Record the vendor PQC roadmap status. ","")&amp;IF(ISNUMBER(M31),IF(M31&lt;TODAY(),"Certificate or key expired. ",IF(M31-TODAY()&lt;=Assumptions!$C$25,"Expires soon - use the renewal to revisit the algorithm. ","")),"")&amp;IF(AC31="OVERDUE","Migration overdue. ","")&amp;IF(AND(R31&lt;&gt;"No",Z31=""),"Assign a migration owner. ",""))</f>
        <v/>
      </c>
    </row>
    <row r="32" customFormat="false" ht="15" hidden="false" customHeight="false" outlineLevel="0" collapsed="false">
      <c r="A32" s="16"/>
      <c r="B32" s="16"/>
      <c r="C32" s="16"/>
      <c r="D32" s="16"/>
      <c r="E32" s="16"/>
      <c r="F32" s="16"/>
      <c r="G32" s="16"/>
      <c r="H32" s="16"/>
      <c r="I32" s="16"/>
      <c r="J32" s="16"/>
      <c r="K32" s="16"/>
      <c r="L32" s="16"/>
      <c r="M32" s="17"/>
      <c r="N32" s="16"/>
      <c r="O32" s="16"/>
      <c r="P32" s="16"/>
      <c r="Q32" s="18" t="str">
        <f aca="false">IF(A32="","",IF(J32="","Unknown",IFERROR(INDEX('Algorithm Reference'!$C$6:$C$41,MATCH(J32,'Algorithm Reference'!$B$6:$B$41,0)),"Not in reference")))</f>
        <v/>
      </c>
      <c r="R32" s="18" t="str">
        <f aca="false">IF(A32="","",IF(J32="","Unknown - investigate",IFERROR(INDEX('Algorithm Reference'!$E$6:$E$41,MATCH(J32,'Algorithm Reference'!$B$6:$B$41,0)),"Unknown - investigate")))</f>
        <v/>
      </c>
      <c r="S32" s="18" t="str">
        <f aca="false">IF(OR(O32="",P32=""),"",O32+P32)</f>
        <v/>
      </c>
      <c r="T32" s="18" t="str">
        <f aca="false">IF(A32="","",IF(R32="No","N/A - not quantum-vulnerable",IF(OR(O32="",P32=""),"Enter X and Y",IF(Assumptions!$C$6="","Set Z on Assumptions",IF(O32+P32&gt;Assumptions!$C$6,"AT RISK (X+Y &gt; Z)","Within Z (X+Y &lt;= Z)")))))</f>
        <v/>
      </c>
      <c r="U32" s="18" t="str">
        <f aca="false">IF(A32="","",IF(AND(R32&lt;&gt;"No",OR(I32="Key establishment / encryption in transit",I32="Key wrapping / key transport",I32="Mixed or unknown",I32=""),OR(N(O32)&gt;0,G32="Confidential",G32="Restricted")),IF(F32="Yes","Yes - internet-facing","Yes"),"No"))</f>
        <v/>
      </c>
      <c r="V32" s="18" t="str">
        <f aca="false">IF(A32="","",IF(R32="No","Keep - not quantum-vulnerable (review key size)",IF(I32="Digital signature / authentication","ML-DSA-65 (FIPS 204); SLH-DSA (FIPS 205) if hash-based is preferred",IF(OR(I32="Key establishment / encryption in transit",I32="Key wrapping / key transport"),"ML-KEM-768 (FIPS 203); hybrid X25519MLKEM768 for TLS 1.3",IF(I32="Mixed or unknown","Both: ML-KEM (FIPS 203) for keys, ML-DSA (FIPS 204) for signatures","Pick the crypto function first")))))</f>
        <v/>
      </c>
      <c r="W32" s="16"/>
      <c r="X32" s="18" t="str">
        <f aca="false">IF(A32="","",IF(R32="No",0,IF(LEFT(T32,7)="AT RISK",Assumptions!$C$13,0)+IF(LEFT(U32,3)="Yes",Assumptions!$C$14,0)+IF(F32="Yes",Assumptions!$C$15,0)+IF(G32="Restricted",Assumptions!$C$16,IF(G32="Confidential",Assumptions!$C$17,IF(G32="Internal",Assumptions!$C$18,0)))+IF(OR(N32="Roadmap - verbal only",N32="No roadmap",N32="Not asked yet",N32=""),Assumptions!$C$19,0)+IF(E32="Production",Assumptions!$C$20,0)+IF(AND(ISNUMBER(P32),N(P32)&gt;=Assumptions!$C$22),Assumptions!$C$21,0)))</f>
        <v/>
      </c>
      <c r="Y32" s="18" t="str">
        <f aca="false">IF(X32="","",IF(R32="No","None",IF(X32&gt;=Assumptions!$C$23,"High",IF(X32&gt;=Assumptions!$C$24,"Medium","Low"))))</f>
        <v/>
      </c>
      <c r="Z32" s="16"/>
      <c r="AA32" s="17"/>
      <c r="AB32" s="16"/>
      <c r="AC32" s="18" t="str">
        <f aca="true">IF(OR(AA32="",AB32="Hybrid deployed",AB32="PQC deployed",AB32="Not required (not vulnerable)",AB32="Risk accepted"),"",IF(AA32&lt;TODAY(),"OVERDUE",""))</f>
        <v/>
      </c>
      <c r="AD32" s="18" t="str">
        <f aca="true">IF(A32="","",IF(B32="","Name the system. ","")&amp;IF(LEFT(R32,7)="Unknown","Algorithm unknown - scan or ask the vendor. ","")&amp;IF(AND(R32&lt;&gt;"No",Assumptions!$C$6=""),"Set Z on Assumptions. ","")&amp;IF(AND(R32&lt;&gt;"No",OR(O32="",P32="")),"Enter X and Y. ","")&amp;IF(LEFT(T32,7)="AT RISK","Mosca: X+Y exceeds Z - migration should already be under way. ","")&amp;IF(AND(LEFT(U32,3)="Yes",OR(AB32="",AB32="Not started")),"Harvest-now-decrypt-later exposure and migration not started. ","")&amp;IF(AND(R32&lt;&gt;"No",OR(W32="",W32="To decide")),"Choose a target algorithm. ","")&amp;IF(AND(R32&lt;&gt;"No",W32="Keep - not quantum-vulnerable"),"Target 'Keep' conflicts with a quantum-vulnerable algorithm. ","")&amp;IF(LEFT(J32,5)="SHA-1","SHA-1 is deprecated - replace (NIST IR 8547). ","")&amp;IF(AND(R32&lt;&gt;"No",OR(N32="Roadmap - verbal only",N32="No roadmap",N32="Not asked yet")),"Get a written PQC roadmap from the vendor. ","")&amp;IF(AND(R32&lt;&gt;"No",N32=""),"Record the vendor PQC roadmap status. ","")&amp;IF(ISNUMBER(M32),IF(M32&lt;TODAY(),"Certificate or key expired. ",IF(M32-TODAY()&lt;=Assumptions!$C$25,"Expires soon - use the renewal to revisit the algorithm. ","")),"")&amp;IF(AC32="OVERDUE","Migration overdue. ","")&amp;IF(AND(R32&lt;&gt;"No",Z32=""),"Assign a migration owner. ",""))</f>
        <v/>
      </c>
    </row>
    <row r="33" customFormat="false" ht="15" hidden="false" customHeight="false" outlineLevel="0" collapsed="false">
      <c r="A33" s="16"/>
      <c r="B33" s="16"/>
      <c r="C33" s="16"/>
      <c r="D33" s="16"/>
      <c r="E33" s="16"/>
      <c r="F33" s="16"/>
      <c r="G33" s="16"/>
      <c r="H33" s="16"/>
      <c r="I33" s="16"/>
      <c r="J33" s="16"/>
      <c r="K33" s="16"/>
      <c r="L33" s="16"/>
      <c r="M33" s="17"/>
      <c r="N33" s="16"/>
      <c r="O33" s="16"/>
      <c r="P33" s="16"/>
      <c r="Q33" s="18" t="str">
        <f aca="false">IF(A33="","",IF(J33="","Unknown",IFERROR(INDEX('Algorithm Reference'!$C$6:$C$41,MATCH(J33,'Algorithm Reference'!$B$6:$B$41,0)),"Not in reference")))</f>
        <v/>
      </c>
      <c r="R33" s="18" t="str">
        <f aca="false">IF(A33="","",IF(J33="","Unknown - investigate",IFERROR(INDEX('Algorithm Reference'!$E$6:$E$41,MATCH(J33,'Algorithm Reference'!$B$6:$B$41,0)),"Unknown - investigate")))</f>
        <v/>
      </c>
      <c r="S33" s="18" t="str">
        <f aca="false">IF(OR(O33="",P33=""),"",O33+P33)</f>
        <v/>
      </c>
      <c r="T33" s="18" t="str">
        <f aca="false">IF(A33="","",IF(R33="No","N/A - not quantum-vulnerable",IF(OR(O33="",P33=""),"Enter X and Y",IF(Assumptions!$C$6="","Set Z on Assumptions",IF(O33+P33&gt;Assumptions!$C$6,"AT RISK (X+Y &gt; Z)","Within Z (X+Y &lt;= Z)")))))</f>
        <v/>
      </c>
      <c r="U33" s="18" t="str">
        <f aca="false">IF(A33="","",IF(AND(R33&lt;&gt;"No",OR(I33="Key establishment / encryption in transit",I33="Key wrapping / key transport",I33="Mixed or unknown",I33=""),OR(N(O33)&gt;0,G33="Confidential",G33="Restricted")),IF(F33="Yes","Yes - internet-facing","Yes"),"No"))</f>
        <v/>
      </c>
      <c r="V33" s="18" t="str">
        <f aca="false">IF(A33="","",IF(R33="No","Keep - not quantum-vulnerable (review key size)",IF(I33="Digital signature / authentication","ML-DSA-65 (FIPS 204); SLH-DSA (FIPS 205) if hash-based is preferred",IF(OR(I33="Key establishment / encryption in transit",I33="Key wrapping / key transport"),"ML-KEM-768 (FIPS 203); hybrid X25519MLKEM768 for TLS 1.3",IF(I33="Mixed or unknown","Both: ML-KEM (FIPS 203) for keys, ML-DSA (FIPS 204) for signatures","Pick the crypto function first")))))</f>
        <v/>
      </c>
      <c r="W33" s="16"/>
      <c r="X33" s="18" t="str">
        <f aca="false">IF(A33="","",IF(R33="No",0,IF(LEFT(T33,7)="AT RISK",Assumptions!$C$13,0)+IF(LEFT(U33,3)="Yes",Assumptions!$C$14,0)+IF(F33="Yes",Assumptions!$C$15,0)+IF(G33="Restricted",Assumptions!$C$16,IF(G33="Confidential",Assumptions!$C$17,IF(G33="Internal",Assumptions!$C$18,0)))+IF(OR(N33="Roadmap - verbal only",N33="No roadmap",N33="Not asked yet",N33=""),Assumptions!$C$19,0)+IF(E33="Production",Assumptions!$C$20,0)+IF(AND(ISNUMBER(P33),N(P33)&gt;=Assumptions!$C$22),Assumptions!$C$21,0)))</f>
        <v/>
      </c>
      <c r="Y33" s="18" t="str">
        <f aca="false">IF(X33="","",IF(R33="No","None",IF(X33&gt;=Assumptions!$C$23,"High",IF(X33&gt;=Assumptions!$C$24,"Medium","Low"))))</f>
        <v/>
      </c>
      <c r="Z33" s="16"/>
      <c r="AA33" s="17"/>
      <c r="AB33" s="16"/>
      <c r="AC33" s="18" t="str">
        <f aca="true">IF(OR(AA33="",AB33="Hybrid deployed",AB33="PQC deployed",AB33="Not required (not vulnerable)",AB33="Risk accepted"),"",IF(AA33&lt;TODAY(),"OVERDUE",""))</f>
        <v/>
      </c>
      <c r="AD33" s="18" t="str">
        <f aca="true">IF(A33="","",IF(B33="","Name the system. ","")&amp;IF(LEFT(R33,7)="Unknown","Algorithm unknown - scan or ask the vendor. ","")&amp;IF(AND(R33&lt;&gt;"No",Assumptions!$C$6=""),"Set Z on Assumptions. ","")&amp;IF(AND(R33&lt;&gt;"No",OR(O33="",P33="")),"Enter X and Y. ","")&amp;IF(LEFT(T33,7)="AT RISK","Mosca: X+Y exceeds Z - migration should already be under way. ","")&amp;IF(AND(LEFT(U33,3)="Yes",OR(AB33="",AB33="Not started")),"Harvest-now-decrypt-later exposure and migration not started. ","")&amp;IF(AND(R33&lt;&gt;"No",OR(W33="",W33="To decide")),"Choose a target algorithm. ","")&amp;IF(AND(R33&lt;&gt;"No",W33="Keep - not quantum-vulnerable"),"Target 'Keep' conflicts with a quantum-vulnerable algorithm. ","")&amp;IF(LEFT(J33,5)="SHA-1","SHA-1 is deprecated - replace (NIST IR 8547). ","")&amp;IF(AND(R33&lt;&gt;"No",OR(N33="Roadmap - verbal only",N33="No roadmap",N33="Not asked yet")),"Get a written PQC roadmap from the vendor. ","")&amp;IF(AND(R33&lt;&gt;"No",N33=""),"Record the vendor PQC roadmap status. ","")&amp;IF(ISNUMBER(M33),IF(M33&lt;TODAY(),"Certificate or key expired. ",IF(M33-TODAY()&lt;=Assumptions!$C$25,"Expires soon - use the renewal to revisit the algorithm. ","")),"")&amp;IF(AC33="OVERDUE","Migration overdue. ","")&amp;IF(AND(R33&lt;&gt;"No",Z33=""),"Assign a migration owner. ",""))</f>
        <v/>
      </c>
    </row>
    <row r="34" customFormat="false" ht="15" hidden="false" customHeight="false" outlineLevel="0" collapsed="false">
      <c r="A34" s="16"/>
      <c r="B34" s="16"/>
      <c r="C34" s="16"/>
      <c r="D34" s="16"/>
      <c r="E34" s="16"/>
      <c r="F34" s="16"/>
      <c r="G34" s="16"/>
      <c r="H34" s="16"/>
      <c r="I34" s="16"/>
      <c r="J34" s="16"/>
      <c r="K34" s="16"/>
      <c r="L34" s="16"/>
      <c r="M34" s="17"/>
      <c r="N34" s="16"/>
      <c r="O34" s="16"/>
      <c r="P34" s="16"/>
      <c r="Q34" s="18" t="str">
        <f aca="false">IF(A34="","",IF(J34="","Unknown",IFERROR(INDEX('Algorithm Reference'!$C$6:$C$41,MATCH(J34,'Algorithm Reference'!$B$6:$B$41,0)),"Not in reference")))</f>
        <v/>
      </c>
      <c r="R34" s="18" t="str">
        <f aca="false">IF(A34="","",IF(J34="","Unknown - investigate",IFERROR(INDEX('Algorithm Reference'!$E$6:$E$41,MATCH(J34,'Algorithm Reference'!$B$6:$B$41,0)),"Unknown - investigate")))</f>
        <v/>
      </c>
      <c r="S34" s="18" t="str">
        <f aca="false">IF(OR(O34="",P34=""),"",O34+P34)</f>
        <v/>
      </c>
      <c r="T34" s="18" t="str">
        <f aca="false">IF(A34="","",IF(R34="No","N/A - not quantum-vulnerable",IF(OR(O34="",P34=""),"Enter X and Y",IF(Assumptions!$C$6="","Set Z on Assumptions",IF(O34+P34&gt;Assumptions!$C$6,"AT RISK (X+Y &gt; Z)","Within Z (X+Y &lt;= Z)")))))</f>
        <v/>
      </c>
      <c r="U34" s="18" t="str">
        <f aca="false">IF(A34="","",IF(AND(R34&lt;&gt;"No",OR(I34="Key establishment / encryption in transit",I34="Key wrapping / key transport",I34="Mixed or unknown",I34=""),OR(N(O34)&gt;0,G34="Confidential",G34="Restricted")),IF(F34="Yes","Yes - internet-facing","Yes"),"No"))</f>
        <v/>
      </c>
      <c r="V34" s="18" t="str">
        <f aca="false">IF(A34="","",IF(R34="No","Keep - not quantum-vulnerable (review key size)",IF(I34="Digital signature / authentication","ML-DSA-65 (FIPS 204); SLH-DSA (FIPS 205) if hash-based is preferred",IF(OR(I34="Key establishment / encryption in transit",I34="Key wrapping / key transport"),"ML-KEM-768 (FIPS 203); hybrid X25519MLKEM768 for TLS 1.3",IF(I34="Mixed or unknown","Both: ML-KEM (FIPS 203) for keys, ML-DSA (FIPS 204) for signatures","Pick the crypto function first")))))</f>
        <v/>
      </c>
      <c r="W34" s="16"/>
      <c r="X34" s="18" t="str">
        <f aca="false">IF(A34="","",IF(R34="No",0,IF(LEFT(T34,7)="AT RISK",Assumptions!$C$13,0)+IF(LEFT(U34,3)="Yes",Assumptions!$C$14,0)+IF(F34="Yes",Assumptions!$C$15,0)+IF(G34="Restricted",Assumptions!$C$16,IF(G34="Confidential",Assumptions!$C$17,IF(G34="Internal",Assumptions!$C$18,0)))+IF(OR(N34="Roadmap - verbal only",N34="No roadmap",N34="Not asked yet",N34=""),Assumptions!$C$19,0)+IF(E34="Production",Assumptions!$C$20,0)+IF(AND(ISNUMBER(P34),N(P34)&gt;=Assumptions!$C$22),Assumptions!$C$21,0)))</f>
        <v/>
      </c>
      <c r="Y34" s="18" t="str">
        <f aca="false">IF(X34="","",IF(R34="No","None",IF(X34&gt;=Assumptions!$C$23,"High",IF(X34&gt;=Assumptions!$C$24,"Medium","Low"))))</f>
        <v/>
      </c>
      <c r="Z34" s="16"/>
      <c r="AA34" s="17"/>
      <c r="AB34" s="16"/>
      <c r="AC34" s="18" t="str">
        <f aca="true">IF(OR(AA34="",AB34="Hybrid deployed",AB34="PQC deployed",AB34="Not required (not vulnerable)",AB34="Risk accepted"),"",IF(AA34&lt;TODAY(),"OVERDUE",""))</f>
        <v/>
      </c>
      <c r="AD34" s="18" t="str">
        <f aca="true">IF(A34="","",IF(B34="","Name the system. ","")&amp;IF(LEFT(R34,7)="Unknown","Algorithm unknown - scan or ask the vendor. ","")&amp;IF(AND(R34&lt;&gt;"No",Assumptions!$C$6=""),"Set Z on Assumptions. ","")&amp;IF(AND(R34&lt;&gt;"No",OR(O34="",P34="")),"Enter X and Y. ","")&amp;IF(LEFT(T34,7)="AT RISK","Mosca: X+Y exceeds Z - migration should already be under way. ","")&amp;IF(AND(LEFT(U34,3)="Yes",OR(AB34="",AB34="Not started")),"Harvest-now-decrypt-later exposure and migration not started. ","")&amp;IF(AND(R34&lt;&gt;"No",OR(W34="",W34="To decide")),"Choose a target algorithm. ","")&amp;IF(AND(R34&lt;&gt;"No",W34="Keep - not quantum-vulnerable"),"Target 'Keep' conflicts with a quantum-vulnerable algorithm. ","")&amp;IF(LEFT(J34,5)="SHA-1","SHA-1 is deprecated - replace (NIST IR 8547). ","")&amp;IF(AND(R34&lt;&gt;"No",OR(N34="Roadmap - verbal only",N34="No roadmap",N34="Not asked yet")),"Get a written PQC roadmap from the vendor. ","")&amp;IF(AND(R34&lt;&gt;"No",N34=""),"Record the vendor PQC roadmap status. ","")&amp;IF(ISNUMBER(M34),IF(M34&lt;TODAY(),"Certificate or key expired. ",IF(M34-TODAY()&lt;=Assumptions!$C$25,"Expires soon - use the renewal to revisit the algorithm. ","")),"")&amp;IF(AC34="OVERDUE","Migration overdue. ","")&amp;IF(AND(R34&lt;&gt;"No",Z34=""),"Assign a migration owner. ",""))</f>
        <v/>
      </c>
    </row>
    <row r="35" customFormat="false" ht="15" hidden="false" customHeight="false" outlineLevel="0" collapsed="false">
      <c r="A35" s="16"/>
      <c r="B35" s="16"/>
      <c r="C35" s="16"/>
      <c r="D35" s="16"/>
      <c r="E35" s="16"/>
      <c r="F35" s="16"/>
      <c r="G35" s="16"/>
      <c r="H35" s="16"/>
      <c r="I35" s="16"/>
      <c r="J35" s="16"/>
      <c r="K35" s="16"/>
      <c r="L35" s="16"/>
      <c r="M35" s="17"/>
      <c r="N35" s="16"/>
      <c r="O35" s="16"/>
      <c r="P35" s="16"/>
      <c r="Q35" s="18" t="str">
        <f aca="false">IF(A35="","",IF(J35="","Unknown",IFERROR(INDEX('Algorithm Reference'!$C$6:$C$41,MATCH(J35,'Algorithm Reference'!$B$6:$B$41,0)),"Not in reference")))</f>
        <v/>
      </c>
      <c r="R35" s="18" t="str">
        <f aca="false">IF(A35="","",IF(J35="","Unknown - investigate",IFERROR(INDEX('Algorithm Reference'!$E$6:$E$41,MATCH(J35,'Algorithm Reference'!$B$6:$B$41,0)),"Unknown - investigate")))</f>
        <v/>
      </c>
      <c r="S35" s="18" t="str">
        <f aca="false">IF(OR(O35="",P35=""),"",O35+P35)</f>
        <v/>
      </c>
      <c r="T35" s="18" t="str">
        <f aca="false">IF(A35="","",IF(R35="No","N/A - not quantum-vulnerable",IF(OR(O35="",P35=""),"Enter X and Y",IF(Assumptions!$C$6="","Set Z on Assumptions",IF(O35+P35&gt;Assumptions!$C$6,"AT RISK (X+Y &gt; Z)","Within Z (X+Y &lt;= Z)")))))</f>
        <v/>
      </c>
      <c r="U35" s="18" t="str">
        <f aca="false">IF(A35="","",IF(AND(R35&lt;&gt;"No",OR(I35="Key establishment / encryption in transit",I35="Key wrapping / key transport",I35="Mixed or unknown",I35=""),OR(N(O35)&gt;0,G35="Confidential",G35="Restricted")),IF(F35="Yes","Yes - internet-facing","Yes"),"No"))</f>
        <v/>
      </c>
      <c r="V35" s="18" t="str">
        <f aca="false">IF(A35="","",IF(R35="No","Keep - not quantum-vulnerable (review key size)",IF(I35="Digital signature / authentication","ML-DSA-65 (FIPS 204); SLH-DSA (FIPS 205) if hash-based is preferred",IF(OR(I35="Key establishment / encryption in transit",I35="Key wrapping / key transport"),"ML-KEM-768 (FIPS 203); hybrid X25519MLKEM768 for TLS 1.3",IF(I35="Mixed or unknown","Both: ML-KEM (FIPS 203) for keys, ML-DSA (FIPS 204) for signatures","Pick the crypto function first")))))</f>
        <v/>
      </c>
      <c r="W35" s="16"/>
      <c r="X35" s="18" t="str">
        <f aca="false">IF(A35="","",IF(R35="No",0,IF(LEFT(T35,7)="AT RISK",Assumptions!$C$13,0)+IF(LEFT(U35,3)="Yes",Assumptions!$C$14,0)+IF(F35="Yes",Assumptions!$C$15,0)+IF(G35="Restricted",Assumptions!$C$16,IF(G35="Confidential",Assumptions!$C$17,IF(G35="Internal",Assumptions!$C$18,0)))+IF(OR(N35="Roadmap - verbal only",N35="No roadmap",N35="Not asked yet",N35=""),Assumptions!$C$19,0)+IF(E35="Production",Assumptions!$C$20,0)+IF(AND(ISNUMBER(P35),N(P35)&gt;=Assumptions!$C$22),Assumptions!$C$21,0)))</f>
        <v/>
      </c>
      <c r="Y35" s="18" t="str">
        <f aca="false">IF(X35="","",IF(R35="No","None",IF(X35&gt;=Assumptions!$C$23,"High",IF(X35&gt;=Assumptions!$C$24,"Medium","Low"))))</f>
        <v/>
      </c>
      <c r="Z35" s="16"/>
      <c r="AA35" s="17"/>
      <c r="AB35" s="16"/>
      <c r="AC35" s="18" t="str">
        <f aca="true">IF(OR(AA35="",AB35="Hybrid deployed",AB35="PQC deployed",AB35="Not required (not vulnerable)",AB35="Risk accepted"),"",IF(AA35&lt;TODAY(),"OVERDUE",""))</f>
        <v/>
      </c>
      <c r="AD35" s="18" t="str">
        <f aca="true">IF(A35="","",IF(B35="","Name the system. ","")&amp;IF(LEFT(R35,7)="Unknown","Algorithm unknown - scan or ask the vendor. ","")&amp;IF(AND(R35&lt;&gt;"No",Assumptions!$C$6=""),"Set Z on Assumptions. ","")&amp;IF(AND(R35&lt;&gt;"No",OR(O35="",P35="")),"Enter X and Y. ","")&amp;IF(LEFT(T35,7)="AT RISK","Mosca: X+Y exceeds Z - migration should already be under way. ","")&amp;IF(AND(LEFT(U35,3)="Yes",OR(AB35="",AB35="Not started")),"Harvest-now-decrypt-later exposure and migration not started. ","")&amp;IF(AND(R35&lt;&gt;"No",OR(W35="",W35="To decide")),"Choose a target algorithm. ","")&amp;IF(AND(R35&lt;&gt;"No",W35="Keep - not quantum-vulnerable"),"Target 'Keep' conflicts with a quantum-vulnerable algorithm. ","")&amp;IF(LEFT(J35,5)="SHA-1","SHA-1 is deprecated - replace (NIST IR 8547). ","")&amp;IF(AND(R35&lt;&gt;"No",OR(N35="Roadmap - verbal only",N35="No roadmap",N35="Not asked yet")),"Get a written PQC roadmap from the vendor. ","")&amp;IF(AND(R35&lt;&gt;"No",N35=""),"Record the vendor PQC roadmap status. ","")&amp;IF(ISNUMBER(M35),IF(M35&lt;TODAY(),"Certificate or key expired. ",IF(M35-TODAY()&lt;=Assumptions!$C$25,"Expires soon - use the renewal to revisit the algorithm. ","")),"")&amp;IF(AC35="OVERDUE","Migration overdue. ","")&amp;IF(AND(R35&lt;&gt;"No",Z35=""),"Assign a migration owner. ",""))</f>
        <v/>
      </c>
    </row>
    <row r="36" customFormat="false" ht="15" hidden="false" customHeight="false" outlineLevel="0" collapsed="false">
      <c r="A36" s="16"/>
      <c r="B36" s="16"/>
      <c r="C36" s="16"/>
      <c r="D36" s="16"/>
      <c r="E36" s="16"/>
      <c r="F36" s="16"/>
      <c r="G36" s="16"/>
      <c r="H36" s="16"/>
      <c r="I36" s="16"/>
      <c r="J36" s="16"/>
      <c r="K36" s="16"/>
      <c r="L36" s="16"/>
      <c r="M36" s="17"/>
      <c r="N36" s="16"/>
      <c r="O36" s="16"/>
      <c r="P36" s="16"/>
      <c r="Q36" s="18" t="str">
        <f aca="false">IF(A36="","",IF(J36="","Unknown",IFERROR(INDEX('Algorithm Reference'!$C$6:$C$41,MATCH(J36,'Algorithm Reference'!$B$6:$B$41,0)),"Not in reference")))</f>
        <v/>
      </c>
      <c r="R36" s="18" t="str">
        <f aca="false">IF(A36="","",IF(J36="","Unknown - investigate",IFERROR(INDEX('Algorithm Reference'!$E$6:$E$41,MATCH(J36,'Algorithm Reference'!$B$6:$B$41,0)),"Unknown - investigate")))</f>
        <v/>
      </c>
      <c r="S36" s="18" t="str">
        <f aca="false">IF(OR(O36="",P36=""),"",O36+P36)</f>
        <v/>
      </c>
      <c r="T36" s="18" t="str">
        <f aca="false">IF(A36="","",IF(R36="No","N/A - not quantum-vulnerable",IF(OR(O36="",P36=""),"Enter X and Y",IF(Assumptions!$C$6="","Set Z on Assumptions",IF(O36+P36&gt;Assumptions!$C$6,"AT RISK (X+Y &gt; Z)","Within Z (X+Y &lt;= Z)")))))</f>
        <v/>
      </c>
      <c r="U36" s="18" t="str">
        <f aca="false">IF(A36="","",IF(AND(R36&lt;&gt;"No",OR(I36="Key establishment / encryption in transit",I36="Key wrapping / key transport",I36="Mixed or unknown",I36=""),OR(N(O36)&gt;0,G36="Confidential",G36="Restricted")),IF(F36="Yes","Yes - internet-facing","Yes"),"No"))</f>
        <v/>
      </c>
      <c r="V36" s="18" t="str">
        <f aca="false">IF(A36="","",IF(R36="No","Keep - not quantum-vulnerable (review key size)",IF(I36="Digital signature / authentication","ML-DSA-65 (FIPS 204); SLH-DSA (FIPS 205) if hash-based is preferred",IF(OR(I36="Key establishment / encryption in transit",I36="Key wrapping / key transport"),"ML-KEM-768 (FIPS 203); hybrid X25519MLKEM768 for TLS 1.3",IF(I36="Mixed or unknown","Both: ML-KEM (FIPS 203) for keys, ML-DSA (FIPS 204) for signatures","Pick the crypto function first")))))</f>
        <v/>
      </c>
      <c r="W36" s="16"/>
      <c r="X36" s="18" t="str">
        <f aca="false">IF(A36="","",IF(R36="No",0,IF(LEFT(T36,7)="AT RISK",Assumptions!$C$13,0)+IF(LEFT(U36,3)="Yes",Assumptions!$C$14,0)+IF(F36="Yes",Assumptions!$C$15,0)+IF(G36="Restricted",Assumptions!$C$16,IF(G36="Confidential",Assumptions!$C$17,IF(G36="Internal",Assumptions!$C$18,0)))+IF(OR(N36="Roadmap - verbal only",N36="No roadmap",N36="Not asked yet",N36=""),Assumptions!$C$19,0)+IF(E36="Production",Assumptions!$C$20,0)+IF(AND(ISNUMBER(P36),N(P36)&gt;=Assumptions!$C$22),Assumptions!$C$21,0)))</f>
        <v/>
      </c>
      <c r="Y36" s="18" t="str">
        <f aca="false">IF(X36="","",IF(R36="No","None",IF(X36&gt;=Assumptions!$C$23,"High",IF(X36&gt;=Assumptions!$C$24,"Medium","Low"))))</f>
        <v/>
      </c>
      <c r="Z36" s="16"/>
      <c r="AA36" s="17"/>
      <c r="AB36" s="16"/>
      <c r="AC36" s="18" t="str">
        <f aca="true">IF(OR(AA36="",AB36="Hybrid deployed",AB36="PQC deployed",AB36="Not required (not vulnerable)",AB36="Risk accepted"),"",IF(AA36&lt;TODAY(),"OVERDUE",""))</f>
        <v/>
      </c>
      <c r="AD36" s="18" t="str">
        <f aca="true">IF(A36="","",IF(B36="","Name the system. ","")&amp;IF(LEFT(R36,7)="Unknown","Algorithm unknown - scan or ask the vendor. ","")&amp;IF(AND(R36&lt;&gt;"No",Assumptions!$C$6=""),"Set Z on Assumptions. ","")&amp;IF(AND(R36&lt;&gt;"No",OR(O36="",P36="")),"Enter X and Y. ","")&amp;IF(LEFT(T36,7)="AT RISK","Mosca: X+Y exceeds Z - migration should already be under way. ","")&amp;IF(AND(LEFT(U36,3)="Yes",OR(AB36="",AB36="Not started")),"Harvest-now-decrypt-later exposure and migration not started. ","")&amp;IF(AND(R36&lt;&gt;"No",OR(W36="",W36="To decide")),"Choose a target algorithm. ","")&amp;IF(AND(R36&lt;&gt;"No",W36="Keep - not quantum-vulnerable"),"Target 'Keep' conflicts with a quantum-vulnerable algorithm. ","")&amp;IF(LEFT(J36,5)="SHA-1","SHA-1 is deprecated - replace (NIST IR 8547). ","")&amp;IF(AND(R36&lt;&gt;"No",OR(N36="Roadmap - verbal only",N36="No roadmap",N36="Not asked yet")),"Get a written PQC roadmap from the vendor. ","")&amp;IF(AND(R36&lt;&gt;"No",N36=""),"Record the vendor PQC roadmap status. ","")&amp;IF(ISNUMBER(M36),IF(M36&lt;TODAY(),"Certificate or key expired. ",IF(M36-TODAY()&lt;=Assumptions!$C$25,"Expires soon - use the renewal to revisit the algorithm. ","")),"")&amp;IF(AC36="OVERDUE","Migration overdue. ","")&amp;IF(AND(R36&lt;&gt;"No",Z36=""),"Assign a migration owner. ",""))</f>
        <v/>
      </c>
    </row>
    <row r="37" customFormat="false" ht="15" hidden="false" customHeight="false" outlineLevel="0" collapsed="false">
      <c r="A37" s="16"/>
      <c r="B37" s="16"/>
      <c r="C37" s="16"/>
      <c r="D37" s="16"/>
      <c r="E37" s="16"/>
      <c r="F37" s="16"/>
      <c r="G37" s="16"/>
      <c r="H37" s="16"/>
      <c r="I37" s="16"/>
      <c r="J37" s="16"/>
      <c r="K37" s="16"/>
      <c r="L37" s="16"/>
      <c r="M37" s="17"/>
      <c r="N37" s="16"/>
      <c r="O37" s="16"/>
      <c r="P37" s="16"/>
      <c r="Q37" s="18" t="str">
        <f aca="false">IF(A37="","",IF(J37="","Unknown",IFERROR(INDEX('Algorithm Reference'!$C$6:$C$41,MATCH(J37,'Algorithm Reference'!$B$6:$B$41,0)),"Not in reference")))</f>
        <v/>
      </c>
      <c r="R37" s="18" t="str">
        <f aca="false">IF(A37="","",IF(J37="","Unknown - investigate",IFERROR(INDEX('Algorithm Reference'!$E$6:$E$41,MATCH(J37,'Algorithm Reference'!$B$6:$B$41,0)),"Unknown - investigate")))</f>
        <v/>
      </c>
      <c r="S37" s="18" t="str">
        <f aca="false">IF(OR(O37="",P37=""),"",O37+P37)</f>
        <v/>
      </c>
      <c r="T37" s="18" t="str">
        <f aca="false">IF(A37="","",IF(R37="No","N/A - not quantum-vulnerable",IF(OR(O37="",P37=""),"Enter X and Y",IF(Assumptions!$C$6="","Set Z on Assumptions",IF(O37+P37&gt;Assumptions!$C$6,"AT RISK (X+Y &gt; Z)","Within Z (X+Y &lt;= Z)")))))</f>
        <v/>
      </c>
      <c r="U37" s="18" t="str">
        <f aca="false">IF(A37="","",IF(AND(R37&lt;&gt;"No",OR(I37="Key establishment / encryption in transit",I37="Key wrapping / key transport",I37="Mixed or unknown",I37=""),OR(N(O37)&gt;0,G37="Confidential",G37="Restricted")),IF(F37="Yes","Yes - internet-facing","Yes"),"No"))</f>
        <v/>
      </c>
      <c r="V37" s="18" t="str">
        <f aca="false">IF(A37="","",IF(R37="No","Keep - not quantum-vulnerable (review key size)",IF(I37="Digital signature / authentication","ML-DSA-65 (FIPS 204); SLH-DSA (FIPS 205) if hash-based is preferred",IF(OR(I37="Key establishment / encryption in transit",I37="Key wrapping / key transport"),"ML-KEM-768 (FIPS 203); hybrid X25519MLKEM768 for TLS 1.3",IF(I37="Mixed or unknown","Both: ML-KEM (FIPS 203) for keys, ML-DSA (FIPS 204) for signatures","Pick the crypto function first")))))</f>
        <v/>
      </c>
      <c r="W37" s="16"/>
      <c r="X37" s="18" t="str">
        <f aca="false">IF(A37="","",IF(R37="No",0,IF(LEFT(T37,7)="AT RISK",Assumptions!$C$13,0)+IF(LEFT(U37,3)="Yes",Assumptions!$C$14,0)+IF(F37="Yes",Assumptions!$C$15,0)+IF(G37="Restricted",Assumptions!$C$16,IF(G37="Confidential",Assumptions!$C$17,IF(G37="Internal",Assumptions!$C$18,0)))+IF(OR(N37="Roadmap - verbal only",N37="No roadmap",N37="Not asked yet",N37=""),Assumptions!$C$19,0)+IF(E37="Production",Assumptions!$C$20,0)+IF(AND(ISNUMBER(P37),N(P37)&gt;=Assumptions!$C$22),Assumptions!$C$21,0)))</f>
        <v/>
      </c>
      <c r="Y37" s="18" t="str">
        <f aca="false">IF(X37="","",IF(R37="No","None",IF(X37&gt;=Assumptions!$C$23,"High",IF(X37&gt;=Assumptions!$C$24,"Medium","Low"))))</f>
        <v/>
      </c>
      <c r="Z37" s="16"/>
      <c r="AA37" s="17"/>
      <c r="AB37" s="16"/>
      <c r="AC37" s="18" t="str">
        <f aca="true">IF(OR(AA37="",AB37="Hybrid deployed",AB37="PQC deployed",AB37="Not required (not vulnerable)",AB37="Risk accepted"),"",IF(AA37&lt;TODAY(),"OVERDUE",""))</f>
        <v/>
      </c>
      <c r="AD37" s="18" t="str">
        <f aca="true">IF(A37="","",IF(B37="","Name the system. ","")&amp;IF(LEFT(R37,7)="Unknown","Algorithm unknown - scan or ask the vendor. ","")&amp;IF(AND(R37&lt;&gt;"No",Assumptions!$C$6=""),"Set Z on Assumptions. ","")&amp;IF(AND(R37&lt;&gt;"No",OR(O37="",P37="")),"Enter X and Y. ","")&amp;IF(LEFT(T37,7)="AT RISK","Mosca: X+Y exceeds Z - migration should already be under way. ","")&amp;IF(AND(LEFT(U37,3)="Yes",OR(AB37="",AB37="Not started")),"Harvest-now-decrypt-later exposure and migration not started. ","")&amp;IF(AND(R37&lt;&gt;"No",OR(W37="",W37="To decide")),"Choose a target algorithm. ","")&amp;IF(AND(R37&lt;&gt;"No",W37="Keep - not quantum-vulnerable"),"Target 'Keep' conflicts with a quantum-vulnerable algorithm. ","")&amp;IF(LEFT(J37,5)="SHA-1","SHA-1 is deprecated - replace (NIST IR 8547). ","")&amp;IF(AND(R37&lt;&gt;"No",OR(N37="Roadmap - verbal only",N37="No roadmap",N37="Not asked yet")),"Get a written PQC roadmap from the vendor. ","")&amp;IF(AND(R37&lt;&gt;"No",N37=""),"Record the vendor PQC roadmap status. ","")&amp;IF(ISNUMBER(M37),IF(M37&lt;TODAY(),"Certificate or key expired. ",IF(M37-TODAY()&lt;=Assumptions!$C$25,"Expires soon - use the renewal to revisit the algorithm. ","")),"")&amp;IF(AC37="OVERDUE","Migration overdue. ","")&amp;IF(AND(R37&lt;&gt;"No",Z37=""),"Assign a migration owner. ",""))</f>
        <v/>
      </c>
    </row>
    <row r="38" customFormat="false" ht="15" hidden="false" customHeight="false" outlineLevel="0" collapsed="false">
      <c r="A38" s="16"/>
      <c r="B38" s="16"/>
      <c r="C38" s="16"/>
      <c r="D38" s="16"/>
      <c r="E38" s="16"/>
      <c r="F38" s="16"/>
      <c r="G38" s="16"/>
      <c r="H38" s="16"/>
      <c r="I38" s="16"/>
      <c r="J38" s="16"/>
      <c r="K38" s="16"/>
      <c r="L38" s="16"/>
      <c r="M38" s="17"/>
      <c r="N38" s="16"/>
      <c r="O38" s="16"/>
      <c r="P38" s="16"/>
      <c r="Q38" s="18" t="str">
        <f aca="false">IF(A38="","",IF(J38="","Unknown",IFERROR(INDEX('Algorithm Reference'!$C$6:$C$41,MATCH(J38,'Algorithm Reference'!$B$6:$B$41,0)),"Not in reference")))</f>
        <v/>
      </c>
      <c r="R38" s="18" t="str">
        <f aca="false">IF(A38="","",IF(J38="","Unknown - investigate",IFERROR(INDEX('Algorithm Reference'!$E$6:$E$41,MATCH(J38,'Algorithm Reference'!$B$6:$B$41,0)),"Unknown - investigate")))</f>
        <v/>
      </c>
      <c r="S38" s="18" t="str">
        <f aca="false">IF(OR(O38="",P38=""),"",O38+P38)</f>
        <v/>
      </c>
      <c r="T38" s="18" t="str">
        <f aca="false">IF(A38="","",IF(R38="No","N/A - not quantum-vulnerable",IF(OR(O38="",P38=""),"Enter X and Y",IF(Assumptions!$C$6="","Set Z on Assumptions",IF(O38+P38&gt;Assumptions!$C$6,"AT RISK (X+Y &gt; Z)","Within Z (X+Y &lt;= Z)")))))</f>
        <v/>
      </c>
      <c r="U38" s="18" t="str">
        <f aca="false">IF(A38="","",IF(AND(R38&lt;&gt;"No",OR(I38="Key establishment / encryption in transit",I38="Key wrapping / key transport",I38="Mixed or unknown",I38=""),OR(N(O38)&gt;0,G38="Confidential",G38="Restricted")),IF(F38="Yes","Yes - internet-facing","Yes"),"No"))</f>
        <v/>
      </c>
      <c r="V38" s="18" t="str">
        <f aca="false">IF(A38="","",IF(R38="No","Keep - not quantum-vulnerable (review key size)",IF(I38="Digital signature / authentication","ML-DSA-65 (FIPS 204); SLH-DSA (FIPS 205) if hash-based is preferred",IF(OR(I38="Key establishment / encryption in transit",I38="Key wrapping / key transport"),"ML-KEM-768 (FIPS 203); hybrid X25519MLKEM768 for TLS 1.3",IF(I38="Mixed or unknown","Both: ML-KEM (FIPS 203) for keys, ML-DSA (FIPS 204) for signatures","Pick the crypto function first")))))</f>
        <v/>
      </c>
      <c r="W38" s="16"/>
      <c r="X38" s="18" t="str">
        <f aca="false">IF(A38="","",IF(R38="No",0,IF(LEFT(T38,7)="AT RISK",Assumptions!$C$13,0)+IF(LEFT(U38,3)="Yes",Assumptions!$C$14,0)+IF(F38="Yes",Assumptions!$C$15,0)+IF(G38="Restricted",Assumptions!$C$16,IF(G38="Confidential",Assumptions!$C$17,IF(G38="Internal",Assumptions!$C$18,0)))+IF(OR(N38="Roadmap - verbal only",N38="No roadmap",N38="Not asked yet",N38=""),Assumptions!$C$19,0)+IF(E38="Production",Assumptions!$C$20,0)+IF(AND(ISNUMBER(P38),N(P38)&gt;=Assumptions!$C$22),Assumptions!$C$21,0)))</f>
        <v/>
      </c>
      <c r="Y38" s="18" t="str">
        <f aca="false">IF(X38="","",IF(R38="No","None",IF(X38&gt;=Assumptions!$C$23,"High",IF(X38&gt;=Assumptions!$C$24,"Medium","Low"))))</f>
        <v/>
      </c>
      <c r="Z38" s="16"/>
      <c r="AA38" s="17"/>
      <c r="AB38" s="16"/>
      <c r="AC38" s="18" t="str">
        <f aca="true">IF(OR(AA38="",AB38="Hybrid deployed",AB38="PQC deployed",AB38="Not required (not vulnerable)",AB38="Risk accepted"),"",IF(AA38&lt;TODAY(),"OVERDUE",""))</f>
        <v/>
      </c>
      <c r="AD38" s="18" t="str">
        <f aca="true">IF(A38="","",IF(B38="","Name the system. ","")&amp;IF(LEFT(R38,7)="Unknown","Algorithm unknown - scan or ask the vendor. ","")&amp;IF(AND(R38&lt;&gt;"No",Assumptions!$C$6=""),"Set Z on Assumptions. ","")&amp;IF(AND(R38&lt;&gt;"No",OR(O38="",P38="")),"Enter X and Y. ","")&amp;IF(LEFT(T38,7)="AT RISK","Mosca: X+Y exceeds Z - migration should already be under way. ","")&amp;IF(AND(LEFT(U38,3)="Yes",OR(AB38="",AB38="Not started")),"Harvest-now-decrypt-later exposure and migration not started. ","")&amp;IF(AND(R38&lt;&gt;"No",OR(W38="",W38="To decide")),"Choose a target algorithm. ","")&amp;IF(AND(R38&lt;&gt;"No",W38="Keep - not quantum-vulnerable"),"Target 'Keep' conflicts with a quantum-vulnerable algorithm. ","")&amp;IF(LEFT(J38,5)="SHA-1","SHA-1 is deprecated - replace (NIST IR 8547). ","")&amp;IF(AND(R38&lt;&gt;"No",OR(N38="Roadmap - verbal only",N38="No roadmap",N38="Not asked yet")),"Get a written PQC roadmap from the vendor. ","")&amp;IF(AND(R38&lt;&gt;"No",N38=""),"Record the vendor PQC roadmap status. ","")&amp;IF(ISNUMBER(M38),IF(M38&lt;TODAY(),"Certificate or key expired. ",IF(M38-TODAY()&lt;=Assumptions!$C$25,"Expires soon - use the renewal to revisit the algorithm. ","")),"")&amp;IF(AC38="OVERDUE","Migration overdue. ","")&amp;IF(AND(R38&lt;&gt;"No",Z38=""),"Assign a migration owner. ",""))</f>
        <v/>
      </c>
    </row>
    <row r="39" customFormat="false" ht="15" hidden="false" customHeight="false" outlineLevel="0" collapsed="false">
      <c r="A39" s="16"/>
      <c r="B39" s="16"/>
      <c r="C39" s="16"/>
      <c r="D39" s="16"/>
      <c r="E39" s="16"/>
      <c r="F39" s="16"/>
      <c r="G39" s="16"/>
      <c r="H39" s="16"/>
      <c r="I39" s="16"/>
      <c r="J39" s="16"/>
      <c r="K39" s="16"/>
      <c r="L39" s="16"/>
      <c r="M39" s="17"/>
      <c r="N39" s="16"/>
      <c r="O39" s="16"/>
      <c r="P39" s="16"/>
      <c r="Q39" s="18" t="str">
        <f aca="false">IF(A39="","",IF(J39="","Unknown",IFERROR(INDEX('Algorithm Reference'!$C$6:$C$41,MATCH(J39,'Algorithm Reference'!$B$6:$B$41,0)),"Not in reference")))</f>
        <v/>
      </c>
      <c r="R39" s="18" t="str">
        <f aca="false">IF(A39="","",IF(J39="","Unknown - investigate",IFERROR(INDEX('Algorithm Reference'!$E$6:$E$41,MATCH(J39,'Algorithm Reference'!$B$6:$B$41,0)),"Unknown - investigate")))</f>
        <v/>
      </c>
      <c r="S39" s="18" t="str">
        <f aca="false">IF(OR(O39="",P39=""),"",O39+P39)</f>
        <v/>
      </c>
      <c r="T39" s="18" t="str">
        <f aca="false">IF(A39="","",IF(R39="No","N/A - not quantum-vulnerable",IF(OR(O39="",P39=""),"Enter X and Y",IF(Assumptions!$C$6="","Set Z on Assumptions",IF(O39+P39&gt;Assumptions!$C$6,"AT RISK (X+Y &gt; Z)","Within Z (X+Y &lt;= Z)")))))</f>
        <v/>
      </c>
      <c r="U39" s="18" t="str">
        <f aca="false">IF(A39="","",IF(AND(R39&lt;&gt;"No",OR(I39="Key establishment / encryption in transit",I39="Key wrapping / key transport",I39="Mixed or unknown",I39=""),OR(N(O39)&gt;0,G39="Confidential",G39="Restricted")),IF(F39="Yes","Yes - internet-facing","Yes"),"No"))</f>
        <v/>
      </c>
      <c r="V39" s="18" t="str">
        <f aca="false">IF(A39="","",IF(R39="No","Keep - not quantum-vulnerable (review key size)",IF(I39="Digital signature / authentication","ML-DSA-65 (FIPS 204); SLH-DSA (FIPS 205) if hash-based is preferred",IF(OR(I39="Key establishment / encryption in transit",I39="Key wrapping / key transport"),"ML-KEM-768 (FIPS 203); hybrid X25519MLKEM768 for TLS 1.3",IF(I39="Mixed or unknown","Both: ML-KEM (FIPS 203) for keys, ML-DSA (FIPS 204) for signatures","Pick the crypto function first")))))</f>
        <v/>
      </c>
      <c r="W39" s="16"/>
      <c r="X39" s="18" t="str">
        <f aca="false">IF(A39="","",IF(R39="No",0,IF(LEFT(T39,7)="AT RISK",Assumptions!$C$13,0)+IF(LEFT(U39,3)="Yes",Assumptions!$C$14,0)+IF(F39="Yes",Assumptions!$C$15,0)+IF(G39="Restricted",Assumptions!$C$16,IF(G39="Confidential",Assumptions!$C$17,IF(G39="Internal",Assumptions!$C$18,0)))+IF(OR(N39="Roadmap - verbal only",N39="No roadmap",N39="Not asked yet",N39=""),Assumptions!$C$19,0)+IF(E39="Production",Assumptions!$C$20,0)+IF(AND(ISNUMBER(P39),N(P39)&gt;=Assumptions!$C$22),Assumptions!$C$21,0)))</f>
        <v/>
      </c>
      <c r="Y39" s="18" t="str">
        <f aca="false">IF(X39="","",IF(R39="No","None",IF(X39&gt;=Assumptions!$C$23,"High",IF(X39&gt;=Assumptions!$C$24,"Medium","Low"))))</f>
        <v/>
      </c>
      <c r="Z39" s="16"/>
      <c r="AA39" s="17"/>
      <c r="AB39" s="16"/>
      <c r="AC39" s="18" t="str">
        <f aca="true">IF(OR(AA39="",AB39="Hybrid deployed",AB39="PQC deployed",AB39="Not required (not vulnerable)",AB39="Risk accepted"),"",IF(AA39&lt;TODAY(),"OVERDUE",""))</f>
        <v/>
      </c>
      <c r="AD39" s="18" t="str">
        <f aca="true">IF(A39="","",IF(B39="","Name the system. ","")&amp;IF(LEFT(R39,7)="Unknown","Algorithm unknown - scan or ask the vendor. ","")&amp;IF(AND(R39&lt;&gt;"No",Assumptions!$C$6=""),"Set Z on Assumptions. ","")&amp;IF(AND(R39&lt;&gt;"No",OR(O39="",P39="")),"Enter X and Y. ","")&amp;IF(LEFT(T39,7)="AT RISK","Mosca: X+Y exceeds Z - migration should already be under way. ","")&amp;IF(AND(LEFT(U39,3)="Yes",OR(AB39="",AB39="Not started")),"Harvest-now-decrypt-later exposure and migration not started. ","")&amp;IF(AND(R39&lt;&gt;"No",OR(W39="",W39="To decide")),"Choose a target algorithm. ","")&amp;IF(AND(R39&lt;&gt;"No",W39="Keep - not quantum-vulnerable"),"Target 'Keep' conflicts with a quantum-vulnerable algorithm. ","")&amp;IF(LEFT(J39,5)="SHA-1","SHA-1 is deprecated - replace (NIST IR 8547). ","")&amp;IF(AND(R39&lt;&gt;"No",OR(N39="Roadmap - verbal only",N39="No roadmap",N39="Not asked yet")),"Get a written PQC roadmap from the vendor. ","")&amp;IF(AND(R39&lt;&gt;"No",N39=""),"Record the vendor PQC roadmap status. ","")&amp;IF(ISNUMBER(M39),IF(M39&lt;TODAY(),"Certificate or key expired. ",IF(M39-TODAY()&lt;=Assumptions!$C$25,"Expires soon - use the renewal to revisit the algorithm. ","")),"")&amp;IF(AC39="OVERDUE","Migration overdue. ","")&amp;IF(AND(R39&lt;&gt;"No",Z39=""),"Assign a migration owner. ",""))</f>
        <v/>
      </c>
    </row>
    <row r="40" customFormat="false" ht="15" hidden="false" customHeight="false" outlineLevel="0" collapsed="false">
      <c r="A40" s="16"/>
      <c r="B40" s="16"/>
      <c r="C40" s="16"/>
      <c r="D40" s="16"/>
      <c r="E40" s="16"/>
      <c r="F40" s="16"/>
      <c r="G40" s="16"/>
      <c r="H40" s="16"/>
      <c r="I40" s="16"/>
      <c r="J40" s="16"/>
      <c r="K40" s="16"/>
      <c r="L40" s="16"/>
      <c r="M40" s="17"/>
      <c r="N40" s="16"/>
      <c r="O40" s="16"/>
      <c r="P40" s="16"/>
      <c r="Q40" s="18" t="str">
        <f aca="false">IF(A40="","",IF(J40="","Unknown",IFERROR(INDEX('Algorithm Reference'!$C$6:$C$41,MATCH(J40,'Algorithm Reference'!$B$6:$B$41,0)),"Not in reference")))</f>
        <v/>
      </c>
      <c r="R40" s="18" t="str">
        <f aca="false">IF(A40="","",IF(J40="","Unknown - investigate",IFERROR(INDEX('Algorithm Reference'!$E$6:$E$41,MATCH(J40,'Algorithm Reference'!$B$6:$B$41,0)),"Unknown - investigate")))</f>
        <v/>
      </c>
      <c r="S40" s="18" t="str">
        <f aca="false">IF(OR(O40="",P40=""),"",O40+P40)</f>
        <v/>
      </c>
      <c r="T40" s="18" t="str">
        <f aca="false">IF(A40="","",IF(R40="No","N/A - not quantum-vulnerable",IF(OR(O40="",P40=""),"Enter X and Y",IF(Assumptions!$C$6="","Set Z on Assumptions",IF(O40+P40&gt;Assumptions!$C$6,"AT RISK (X+Y &gt; Z)","Within Z (X+Y &lt;= Z)")))))</f>
        <v/>
      </c>
      <c r="U40" s="18" t="str">
        <f aca="false">IF(A40="","",IF(AND(R40&lt;&gt;"No",OR(I40="Key establishment / encryption in transit",I40="Key wrapping / key transport",I40="Mixed or unknown",I40=""),OR(N(O40)&gt;0,G40="Confidential",G40="Restricted")),IF(F40="Yes","Yes - internet-facing","Yes"),"No"))</f>
        <v/>
      </c>
      <c r="V40" s="18" t="str">
        <f aca="false">IF(A40="","",IF(R40="No","Keep - not quantum-vulnerable (review key size)",IF(I40="Digital signature / authentication","ML-DSA-65 (FIPS 204); SLH-DSA (FIPS 205) if hash-based is preferred",IF(OR(I40="Key establishment / encryption in transit",I40="Key wrapping / key transport"),"ML-KEM-768 (FIPS 203); hybrid X25519MLKEM768 for TLS 1.3",IF(I40="Mixed or unknown","Both: ML-KEM (FIPS 203) for keys, ML-DSA (FIPS 204) for signatures","Pick the crypto function first")))))</f>
        <v/>
      </c>
      <c r="W40" s="16"/>
      <c r="X40" s="18" t="str">
        <f aca="false">IF(A40="","",IF(R40="No",0,IF(LEFT(T40,7)="AT RISK",Assumptions!$C$13,0)+IF(LEFT(U40,3)="Yes",Assumptions!$C$14,0)+IF(F40="Yes",Assumptions!$C$15,0)+IF(G40="Restricted",Assumptions!$C$16,IF(G40="Confidential",Assumptions!$C$17,IF(G40="Internal",Assumptions!$C$18,0)))+IF(OR(N40="Roadmap - verbal only",N40="No roadmap",N40="Not asked yet",N40=""),Assumptions!$C$19,0)+IF(E40="Production",Assumptions!$C$20,0)+IF(AND(ISNUMBER(P40),N(P40)&gt;=Assumptions!$C$22),Assumptions!$C$21,0)))</f>
        <v/>
      </c>
      <c r="Y40" s="18" t="str">
        <f aca="false">IF(X40="","",IF(R40="No","None",IF(X40&gt;=Assumptions!$C$23,"High",IF(X40&gt;=Assumptions!$C$24,"Medium","Low"))))</f>
        <v/>
      </c>
      <c r="Z40" s="16"/>
      <c r="AA40" s="17"/>
      <c r="AB40" s="16"/>
      <c r="AC40" s="18" t="str">
        <f aca="true">IF(OR(AA40="",AB40="Hybrid deployed",AB40="PQC deployed",AB40="Not required (not vulnerable)",AB40="Risk accepted"),"",IF(AA40&lt;TODAY(),"OVERDUE",""))</f>
        <v/>
      </c>
      <c r="AD40" s="18" t="str">
        <f aca="true">IF(A40="","",IF(B40="","Name the system. ","")&amp;IF(LEFT(R40,7)="Unknown","Algorithm unknown - scan or ask the vendor. ","")&amp;IF(AND(R40&lt;&gt;"No",Assumptions!$C$6=""),"Set Z on Assumptions. ","")&amp;IF(AND(R40&lt;&gt;"No",OR(O40="",P40="")),"Enter X and Y. ","")&amp;IF(LEFT(T40,7)="AT RISK","Mosca: X+Y exceeds Z - migration should already be under way. ","")&amp;IF(AND(LEFT(U40,3)="Yes",OR(AB40="",AB40="Not started")),"Harvest-now-decrypt-later exposure and migration not started. ","")&amp;IF(AND(R40&lt;&gt;"No",OR(W40="",W40="To decide")),"Choose a target algorithm. ","")&amp;IF(AND(R40&lt;&gt;"No",W40="Keep - not quantum-vulnerable"),"Target 'Keep' conflicts with a quantum-vulnerable algorithm. ","")&amp;IF(LEFT(J40,5)="SHA-1","SHA-1 is deprecated - replace (NIST IR 8547). ","")&amp;IF(AND(R40&lt;&gt;"No",OR(N40="Roadmap - verbal only",N40="No roadmap",N40="Not asked yet")),"Get a written PQC roadmap from the vendor. ","")&amp;IF(AND(R40&lt;&gt;"No",N40=""),"Record the vendor PQC roadmap status. ","")&amp;IF(ISNUMBER(M40),IF(M40&lt;TODAY(),"Certificate or key expired. ",IF(M40-TODAY()&lt;=Assumptions!$C$25,"Expires soon - use the renewal to revisit the algorithm. ","")),"")&amp;IF(AC40="OVERDUE","Migration overdue. ","")&amp;IF(AND(R40&lt;&gt;"No",Z40=""),"Assign a migration owner. ",""))</f>
        <v/>
      </c>
    </row>
    <row r="41" customFormat="false" ht="15" hidden="false" customHeight="false" outlineLevel="0" collapsed="false">
      <c r="A41" s="16"/>
      <c r="B41" s="16"/>
      <c r="C41" s="16"/>
      <c r="D41" s="16"/>
      <c r="E41" s="16"/>
      <c r="F41" s="16"/>
      <c r="G41" s="16"/>
      <c r="H41" s="16"/>
      <c r="I41" s="16"/>
      <c r="J41" s="16"/>
      <c r="K41" s="16"/>
      <c r="L41" s="16"/>
      <c r="M41" s="17"/>
      <c r="N41" s="16"/>
      <c r="O41" s="16"/>
      <c r="P41" s="16"/>
      <c r="Q41" s="18" t="str">
        <f aca="false">IF(A41="","",IF(J41="","Unknown",IFERROR(INDEX('Algorithm Reference'!$C$6:$C$41,MATCH(J41,'Algorithm Reference'!$B$6:$B$41,0)),"Not in reference")))</f>
        <v/>
      </c>
      <c r="R41" s="18" t="str">
        <f aca="false">IF(A41="","",IF(J41="","Unknown - investigate",IFERROR(INDEX('Algorithm Reference'!$E$6:$E$41,MATCH(J41,'Algorithm Reference'!$B$6:$B$41,0)),"Unknown - investigate")))</f>
        <v/>
      </c>
      <c r="S41" s="18" t="str">
        <f aca="false">IF(OR(O41="",P41=""),"",O41+P41)</f>
        <v/>
      </c>
      <c r="T41" s="18" t="str">
        <f aca="false">IF(A41="","",IF(R41="No","N/A - not quantum-vulnerable",IF(OR(O41="",P41=""),"Enter X and Y",IF(Assumptions!$C$6="","Set Z on Assumptions",IF(O41+P41&gt;Assumptions!$C$6,"AT RISK (X+Y &gt; Z)","Within Z (X+Y &lt;= Z)")))))</f>
        <v/>
      </c>
      <c r="U41" s="18" t="str">
        <f aca="false">IF(A41="","",IF(AND(R41&lt;&gt;"No",OR(I41="Key establishment / encryption in transit",I41="Key wrapping / key transport",I41="Mixed or unknown",I41=""),OR(N(O41)&gt;0,G41="Confidential",G41="Restricted")),IF(F41="Yes","Yes - internet-facing","Yes"),"No"))</f>
        <v/>
      </c>
      <c r="V41" s="18" t="str">
        <f aca="false">IF(A41="","",IF(R41="No","Keep - not quantum-vulnerable (review key size)",IF(I41="Digital signature / authentication","ML-DSA-65 (FIPS 204); SLH-DSA (FIPS 205) if hash-based is preferred",IF(OR(I41="Key establishment / encryption in transit",I41="Key wrapping / key transport"),"ML-KEM-768 (FIPS 203); hybrid X25519MLKEM768 for TLS 1.3",IF(I41="Mixed or unknown","Both: ML-KEM (FIPS 203) for keys, ML-DSA (FIPS 204) for signatures","Pick the crypto function first")))))</f>
        <v/>
      </c>
      <c r="W41" s="16"/>
      <c r="X41" s="18" t="str">
        <f aca="false">IF(A41="","",IF(R41="No",0,IF(LEFT(T41,7)="AT RISK",Assumptions!$C$13,0)+IF(LEFT(U41,3)="Yes",Assumptions!$C$14,0)+IF(F41="Yes",Assumptions!$C$15,0)+IF(G41="Restricted",Assumptions!$C$16,IF(G41="Confidential",Assumptions!$C$17,IF(G41="Internal",Assumptions!$C$18,0)))+IF(OR(N41="Roadmap - verbal only",N41="No roadmap",N41="Not asked yet",N41=""),Assumptions!$C$19,0)+IF(E41="Production",Assumptions!$C$20,0)+IF(AND(ISNUMBER(P41),N(P41)&gt;=Assumptions!$C$22),Assumptions!$C$21,0)))</f>
        <v/>
      </c>
      <c r="Y41" s="18" t="str">
        <f aca="false">IF(X41="","",IF(R41="No","None",IF(X41&gt;=Assumptions!$C$23,"High",IF(X41&gt;=Assumptions!$C$24,"Medium","Low"))))</f>
        <v/>
      </c>
      <c r="Z41" s="16"/>
      <c r="AA41" s="17"/>
      <c r="AB41" s="16"/>
      <c r="AC41" s="18" t="str">
        <f aca="true">IF(OR(AA41="",AB41="Hybrid deployed",AB41="PQC deployed",AB41="Not required (not vulnerable)",AB41="Risk accepted"),"",IF(AA41&lt;TODAY(),"OVERDUE",""))</f>
        <v/>
      </c>
      <c r="AD41" s="18" t="str">
        <f aca="true">IF(A41="","",IF(B41="","Name the system. ","")&amp;IF(LEFT(R41,7)="Unknown","Algorithm unknown - scan or ask the vendor. ","")&amp;IF(AND(R41&lt;&gt;"No",Assumptions!$C$6=""),"Set Z on Assumptions. ","")&amp;IF(AND(R41&lt;&gt;"No",OR(O41="",P41="")),"Enter X and Y. ","")&amp;IF(LEFT(T41,7)="AT RISK","Mosca: X+Y exceeds Z - migration should already be under way. ","")&amp;IF(AND(LEFT(U41,3)="Yes",OR(AB41="",AB41="Not started")),"Harvest-now-decrypt-later exposure and migration not started. ","")&amp;IF(AND(R41&lt;&gt;"No",OR(W41="",W41="To decide")),"Choose a target algorithm. ","")&amp;IF(AND(R41&lt;&gt;"No",W41="Keep - not quantum-vulnerable"),"Target 'Keep' conflicts with a quantum-vulnerable algorithm. ","")&amp;IF(LEFT(J41,5)="SHA-1","SHA-1 is deprecated - replace (NIST IR 8547). ","")&amp;IF(AND(R41&lt;&gt;"No",OR(N41="Roadmap - verbal only",N41="No roadmap",N41="Not asked yet")),"Get a written PQC roadmap from the vendor. ","")&amp;IF(AND(R41&lt;&gt;"No",N41=""),"Record the vendor PQC roadmap status. ","")&amp;IF(ISNUMBER(M41),IF(M41&lt;TODAY(),"Certificate or key expired. ",IF(M41-TODAY()&lt;=Assumptions!$C$25,"Expires soon - use the renewal to revisit the algorithm. ","")),"")&amp;IF(AC41="OVERDUE","Migration overdue. ","")&amp;IF(AND(R41&lt;&gt;"No",Z41=""),"Assign a migration owner. ",""))</f>
        <v/>
      </c>
    </row>
    <row r="42" customFormat="false" ht="15" hidden="false" customHeight="false" outlineLevel="0" collapsed="false">
      <c r="A42" s="16"/>
      <c r="B42" s="16"/>
      <c r="C42" s="16"/>
      <c r="D42" s="16"/>
      <c r="E42" s="16"/>
      <c r="F42" s="16"/>
      <c r="G42" s="16"/>
      <c r="H42" s="16"/>
      <c r="I42" s="16"/>
      <c r="J42" s="16"/>
      <c r="K42" s="16"/>
      <c r="L42" s="16"/>
      <c r="M42" s="17"/>
      <c r="N42" s="16"/>
      <c r="O42" s="16"/>
      <c r="P42" s="16"/>
      <c r="Q42" s="18" t="str">
        <f aca="false">IF(A42="","",IF(J42="","Unknown",IFERROR(INDEX('Algorithm Reference'!$C$6:$C$41,MATCH(J42,'Algorithm Reference'!$B$6:$B$41,0)),"Not in reference")))</f>
        <v/>
      </c>
      <c r="R42" s="18" t="str">
        <f aca="false">IF(A42="","",IF(J42="","Unknown - investigate",IFERROR(INDEX('Algorithm Reference'!$E$6:$E$41,MATCH(J42,'Algorithm Reference'!$B$6:$B$41,0)),"Unknown - investigate")))</f>
        <v/>
      </c>
      <c r="S42" s="18" t="str">
        <f aca="false">IF(OR(O42="",P42=""),"",O42+P42)</f>
        <v/>
      </c>
      <c r="T42" s="18" t="str">
        <f aca="false">IF(A42="","",IF(R42="No","N/A - not quantum-vulnerable",IF(OR(O42="",P42=""),"Enter X and Y",IF(Assumptions!$C$6="","Set Z on Assumptions",IF(O42+P42&gt;Assumptions!$C$6,"AT RISK (X+Y &gt; Z)","Within Z (X+Y &lt;= Z)")))))</f>
        <v/>
      </c>
      <c r="U42" s="18" t="str">
        <f aca="false">IF(A42="","",IF(AND(R42&lt;&gt;"No",OR(I42="Key establishment / encryption in transit",I42="Key wrapping / key transport",I42="Mixed or unknown",I42=""),OR(N(O42)&gt;0,G42="Confidential",G42="Restricted")),IF(F42="Yes","Yes - internet-facing","Yes"),"No"))</f>
        <v/>
      </c>
      <c r="V42" s="18" t="str">
        <f aca="false">IF(A42="","",IF(R42="No","Keep - not quantum-vulnerable (review key size)",IF(I42="Digital signature / authentication","ML-DSA-65 (FIPS 204); SLH-DSA (FIPS 205) if hash-based is preferred",IF(OR(I42="Key establishment / encryption in transit",I42="Key wrapping / key transport"),"ML-KEM-768 (FIPS 203); hybrid X25519MLKEM768 for TLS 1.3",IF(I42="Mixed or unknown","Both: ML-KEM (FIPS 203) for keys, ML-DSA (FIPS 204) for signatures","Pick the crypto function first")))))</f>
        <v/>
      </c>
      <c r="W42" s="16"/>
      <c r="X42" s="18" t="str">
        <f aca="false">IF(A42="","",IF(R42="No",0,IF(LEFT(T42,7)="AT RISK",Assumptions!$C$13,0)+IF(LEFT(U42,3)="Yes",Assumptions!$C$14,0)+IF(F42="Yes",Assumptions!$C$15,0)+IF(G42="Restricted",Assumptions!$C$16,IF(G42="Confidential",Assumptions!$C$17,IF(G42="Internal",Assumptions!$C$18,0)))+IF(OR(N42="Roadmap - verbal only",N42="No roadmap",N42="Not asked yet",N42=""),Assumptions!$C$19,0)+IF(E42="Production",Assumptions!$C$20,0)+IF(AND(ISNUMBER(P42),N(P42)&gt;=Assumptions!$C$22),Assumptions!$C$21,0)))</f>
        <v/>
      </c>
      <c r="Y42" s="18" t="str">
        <f aca="false">IF(X42="","",IF(R42="No","None",IF(X42&gt;=Assumptions!$C$23,"High",IF(X42&gt;=Assumptions!$C$24,"Medium","Low"))))</f>
        <v/>
      </c>
      <c r="Z42" s="16"/>
      <c r="AA42" s="17"/>
      <c r="AB42" s="16"/>
      <c r="AC42" s="18" t="str">
        <f aca="true">IF(OR(AA42="",AB42="Hybrid deployed",AB42="PQC deployed",AB42="Not required (not vulnerable)",AB42="Risk accepted"),"",IF(AA42&lt;TODAY(),"OVERDUE",""))</f>
        <v/>
      </c>
      <c r="AD42" s="18" t="str">
        <f aca="true">IF(A42="","",IF(B42="","Name the system. ","")&amp;IF(LEFT(R42,7)="Unknown","Algorithm unknown - scan or ask the vendor. ","")&amp;IF(AND(R42&lt;&gt;"No",Assumptions!$C$6=""),"Set Z on Assumptions. ","")&amp;IF(AND(R42&lt;&gt;"No",OR(O42="",P42="")),"Enter X and Y. ","")&amp;IF(LEFT(T42,7)="AT RISK","Mosca: X+Y exceeds Z - migration should already be under way. ","")&amp;IF(AND(LEFT(U42,3)="Yes",OR(AB42="",AB42="Not started")),"Harvest-now-decrypt-later exposure and migration not started. ","")&amp;IF(AND(R42&lt;&gt;"No",OR(W42="",W42="To decide")),"Choose a target algorithm. ","")&amp;IF(AND(R42&lt;&gt;"No",W42="Keep - not quantum-vulnerable"),"Target 'Keep' conflicts with a quantum-vulnerable algorithm. ","")&amp;IF(LEFT(J42,5)="SHA-1","SHA-1 is deprecated - replace (NIST IR 8547). ","")&amp;IF(AND(R42&lt;&gt;"No",OR(N42="Roadmap - verbal only",N42="No roadmap",N42="Not asked yet")),"Get a written PQC roadmap from the vendor. ","")&amp;IF(AND(R42&lt;&gt;"No",N42=""),"Record the vendor PQC roadmap status. ","")&amp;IF(ISNUMBER(M42),IF(M42&lt;TODAY(),"Certificate or key expired. ",IF(M42-TODAY()&lt;=Assumptions!$C$25,"Expires soon - use the renewal to revisit the algorithm. ","")),"")&amp;IF(AC42="OVERDUE","Migration overdue. ","")&amp;IF(AND(R42&lt;&gt;"No",Z42=""),"Assign a migration owner. ",""))</f>
        <v/>
      </c>
    </row>
    <row r="43" customFormat="false" ht="15" hidden="false" customHeight="false" outlineLevel="0" collapsed="false">
      <c r="A43" s="16"/>
      <c r="B43" s="16"/>
      <c r="C43" s="16"/>
      <c r="D43" s="16"/>
      <c r="E43" s="16"/>
      <c r="F43" s="16"/>
      <c r="G43" s="16"/>
      <c r="H43" s="16"/>
      <c r="I43" s="16"/>
      <c r="J43" s="16"/>
      <c r="K43" s="16"/>
      <c r="L43" s="16"/>
      <c r="M43" s="17"/>
      <c r="N43" s="16"/>
      <c r="O43" s="16"/>
      <c r="P43" s="16"/>
      <c r="Q43" s="18" t="str">
        <f aca="false">IF(A43="","",IF(J43="","Unknown",IFERROR(INDEX('Algorithm Reference'!$C$6:$C$41,MATCH(J43,'Algorithm Reference'!$B$6:$B$41,0)),"Not in reference")))</f>
        <v/>
      </c>
      <c r="R43" s="18" t="str">
        <f aca="false">IF(A43="","",IF(J43="","Unknown - investigate",IFERROR(INDEX('Algorithm Reference'!$E$6:$E$41,MATCH(J43,'Algorithm Reference'!$B$6:$B$41,0)),"Unknown - investigate")))</f>
        <v/>
      </c>
      <c r="S43" s="18" t="str">
        <f aca="false">IF(OR(O43="",P43=""),"",O43+P43)</f>
        <v/>
      </c>
      <c r="T43" s="18" t="str">
        <f aca="false">IF(A43="","",IF(R43="No","N/A - not quantum-vulnerable",IF(OR(O43="",P43=""),"Enter X and Y",IF(Assumptions!$C$6="","Set Z on Assumptions",IF(O43+P43&gt;Assumptions!$C$6,"AT RISK (X+Y &gt; Z)","Within Z (X+Y &lt;= Z)")))))</f>
        <v/>
      </c>
      <c r="U43" s="18" t="str">
        <f aca="false">IF(A43="","",IF(AND(R43&lt;&gt;"No",OR(I43="Key establishment / encryption in transit",I43="Key wrapping / key transport",I43="Mixed or unknown",I43=""),OR(N(O43)&gt;0,G43="Confidential",G43="Restricted")),IF(F43="Yes","Yes - internet-facing","Yes"),"No"))</f>
        <v/>
      </c>
      <c r="V43" s="18" t="str">
        <f aca="false">IF(A43="","",IF(R43="No","Keep - not quantum-vulnerable (review key size)",IF(I43="Digital signature / authentication","ML-DSA-65 (FIPS 204); SLH-DSA (FIPS 205) if hash-based is preferred",IF(OR(I43="Key establishment / encryption in transit",I43="Key wrapping / key transport"),"ML-KEM-768 (FIPS 203); hybrid X25519MLKEM768 for TLS 1.3",IF(I43="Mixed or unknown","Both: ML-KEM (FIPS 203) for keys, ML-DSA (FIPS 204) for signatures","Pick the crypto function first")))))</f>
        <v/>
      </c>
      <c r="W43" s="16"/>
      <c r="X43" s="18" t="str">
        <f aca="false">IF(A43="","",IF(R43="No",0,IF(LEFT(T43,7)="AT RISK",Assumptions!$C$13,0)+IF(LEFT(U43,3)="Yes",Assumptions!$C$14,0)+IF(F43="Yes",Assumptions!$C$15,0)+IF(G43="Restricted",Assumptions!$C$16,IF(G43="Confidential",Assumptions!$C$17,IF(G43="Internal",Assumptions!$C$18,0)))+IF(OR(N43="Roadmap - verbal only",N43="No roadmap",N43="Not asked yet",N43=""),Assumptions!$C$19,0)+IF(E43="Production",Assumptions!$C$20,0)+IF(AND(ISNUMBER(P43),N(P43)&gt;=Assumptions!$C$22),Assumptions!$C$21,0)))</f>
        <v/>
      </c>
      <c r="Y43" s="18" t="str">
        <f aca="false">IF(X43="","",IF(R43="No","None",IF(X43&gt;=Assumptions!$C$23,"High",IF(X43&gt;=Assumptions!$C$24,"Medium","Low"))))</f>
        <v/>
      </c>
      <c r="Z43" s="16"/>
      <c r="AA43" s="17"/>
      <c r="AB43" s="16"/>
      <c r="AC43" s="18" t="str">
        <f aca="true">IF(OR(AA43="",AB43="Hybrid deployed",AB43="PQC deployed",AB43="Not required (not vulnerable)",AB43="Risk accepted"),"",IF(AA43&lt;TODAY(),"OVERDUE",""))</f>
        <v/>
      </c>
      <c r="AD43" s="18" t="str">
        <f aca="true">IF(A43="","",IF(B43="","Name the system. ","")&amp;IF(LEFT(R43,7)="Unknown","Algorithm unknown - scan or ask the vendor. ","")&amp;IF(AND(R43&lt;&gt;"No",Assumptions!$C$6=""),"Set Z on Assumptions. ","")&amp;IF(AND(R43&lt;&gt;"No",OR(O43="",P43="")),"Enter X and Y. ","")&amp;IF(LEFT(T43,7)="AT RISK","Mosca: X+Y exceeds Z - migration should already be under way. ","")&amp;IF(AND(LEFT(U43,3)="Yes",OR(AB43="",AB43="Not started")),"Harvest-now-decrypt-later exposure and migration not started. ","")&amp;IF(AND(R43&lt;&gt;"No",OR(W43="",W43="To decide")),"Choose a target algorithm. ","")&amp;IF(AND(R43&lt;&gt;"No",W43="Keep - not quantum-vulnerable"),"Target 'Keep' conflicts with a quantum-vulnerable algorithm. ","")&amp;IF(LEFT(J43,5)="SHA-1","SHA-1 is deprecated - replace (NIST IR 8547). ","")&amp;IF(AND(R43&lt;&gt;"No",OR(N43="Roadmap - verbal only",N43="No roadmap",N43="Not asked yet")),"Get a written PQC roadmap from the vendor. ","")&amp;IF(AND(R43&lt;&gt;"No",N43=""),"Record the vendor PQC roadmap status. ","")&amp;IF(ISNUMBER(M43),IF(M43&lt;TODAY(),"Certificate or key expired. ",IF(M43-TODAY()&lt;=Assumptions!$C$25,"Expires soon - use the renewal to revisit the algorithm. ","")),"")&amp;IF(AC43="OVERDUE","Migration overdue. ","")&amp;IF(AND(R43&lt;&gt;"No",Z43=""),"Assign a migration owner. ",""))</f>
        <v/>
      </c>
    </row>
    <row r="44" customFormat="false" ht="15" hidden="false" customHeight="false" outlineLevel="0" collapsed="false">
      <c r="A44" s="16"/>
      <c r="B44" s="16"/>
      <c r="C44" s="16"/>
      <c r="D44" s="16"/>
      <c r="E44" s="16"/>
      <c r="F44" s="16"/>
      <c r="G44" s="16"/>
      <c r="H44" s="16"/>
      <c r="I44" s="16"/>
      <c r="J44" s="16"/>
      <c r="K44" s="16"/>
      <c r="L44" s="16"/>
      <c r="M44" s="17"/>
      <c r="N44" s="16"/>
      <c r="O44" s="16"/>
      <c r="P44" s="16"/>
      <c r="Q44" s="18" t="str">
        <f aca="false">IF(A44="","",IF(J44="","Unknown",IFERROR(INDEX('Algorithm Reference'!$C$6:$C$41,MATCH(J44,'Algorithm Reference'!$B$6:$B$41,0)),"Not in reference")))</f>
        <v/>
      </c>
      <c r="R44" s="18" t="str">
        <f aca="false">IF(A44="","",IF(J44="","Unknown - investigate",IFERROR(INDEX('Algorithm Reference'!$E$6:$E$41,MATCH(J44,'Algorithm Reference'!$B$6:$B$41,0)),"Unknown - investigate")))</f>
        <v/>
      </c>
      <c r="S44" s="18" t="str">
        <f aca="false">IF(OR(O44="",P44=""),"",O44+P44)</f>
        <v/>
      </c>
      <c r="T44" s="18" t="str">
        <f aca="false">IF(A44="","",IF(R44="No","N/A - not quantum-vulnerable",IF(OR(O44="",P44=""),"Enter X and Y",IF(Assumptions!$C$6="","Set Z on Assumptions",IF(O44+P44&gt;Assumptions!$C$6,"AT RISK (X+Y &gt; Z)","Within Z (X+Y &lt;= Z)")))))</f>
        <v/>
      </c>
      <c r="U44" s="18" t="str">
        <f aca="false">IF(A44="","",IF(AND(R44&lt;&gt;"No",OR(I44="Key establishment / encryption in transit",I44="Key wrapping / key transport",I44="Mixed or unknown",I44=""),OR(N(O44)&gt;0,G44="Confidential",G44="Restricted")),IF(F44="Yes","Yes - internet-facing","Yes"),"No"))</f>
        <v/>
      </c>
      <c r="V44" s="18" t="str">
        <f aca="false">IF(A44="","",IF(R44="No","Keep - not quantum-vulnerable (review key size)",IF(I44="Digital signature / authentication","ML-DSA-65 (FIPS 204); SLH-DSA (FIPS 205) if hash-based is preferred",IF(OR(I44="Key establishment / encryption in transit",I44="Key wrapping / key transport"),"ML-KEM-768 (FIPS 203); hybrid X25519MLKEM768 for TLS 1.3",IF(I44="Mixed or unknown","Both: ML-KEM (FIPS 203) for keys, ML-DSA (FIPS 204) for signatures","Pick the crypto function first")))))</f>
        <v/>
      </c>
      <c r="W44" s="16"/>
      <c r="X44" s="18" t="str">
        <f aca="false">IF(A44="","",IF(R44="No",0,IF(LEFT(T44,7)="AT RISK",Assumptions!$C$13,0)+IF(LEFT(U44,3)="Yes",Assumptions!$C$14,0)+IF(F44="Yes",Assumptions!$C$15,0)+IF(G44="Restricted",Assumptions!$C$16,IF(G44="Confidential",Assumptions!$C$17,IF(G44="Internal",Assumptions!$C$18,0)))+IF(OR(N44="Roadmap - verbal only",N44="No roadmap",N44="Not asked yet",N44=""),Assumptions!$C$19,0)+IF(E44="Production",Assumptions!$C$20,0)+IF(AND(ISNUMBER(P44),N(P44)&gt;=Assumptions!$C$22),Assumptions!$C$21,0)))</f>
        <v/>
      </c>
      <c r="Y44" s="18" t="str">
        <f aca="false">IF(X44="","",IF(R44="No","None",IF(X44&gt;=Assumptions!$C$23,"High",IF(X44&gt;=Assumptions!$C$24,"Medium","Low"))))</f>
        <v/>
      </c>
      <c r="Z44" s="16"/>
      <c r="AA44" s="17"/>
      <c r="AB44" s="16"/>
      <c r="AC44" s="18" t="str">
        <f aca="true">IF(OR(AA44="",AB44="Hybrid deployed",AB44="PQC deployed",AB44="Not required (not vulnerable)",AB44="Risk accepted"),"",IF(AA44&lt;TODAY(),"OVERDUE",""))</f>
        <v/>
      </c>
      <c r="AD44" s="18" t="str">
        <f aca="true">IF(A44="","",IF(B44="","Name the system. ","")&amp;IF(LEFT(R44,7)="Unknown","Algorithm unknown - scan or ask the vendor. ","")&amp;IF(AND(R44&lt;&gt;"No",Assumptions!$C$6=""),"Set Z on Assumptions. ","")&amp;IF(AND(R44&lt;&gt;"No",OR(O44="",P44="")),"Enter X and Y. ","")&amp;IF(LEFT(T44,7)="AT RISK","Mosca: X+Y exceeds Z - migration should already be under way. ","")&amp;IF(AND(LEFT(U44,3)="Yes",OR(AB44="",AB44="Not started")),"Harvest-now-decrypt-later exposure and migration not started. ","")&amp;IF(AND(R44&lt;&gt;"No",OR(W44="",W44="To decide")),"Choose a target algorithm. ","")&amp;IF(AND(R44&lt;&gt;"No",W44="Keep - not quantum-vulnerable"),"Target 'Keep' conflicts with a quantum-vulnerable algorithm. ","")&amp;IF(LEFT(J44,5)="SHA-1","SHA-1 is deprecated - replace (NIST IR 8547). ","")&amp;IF(AND(R44&lt;&gt;"No",OR(N44="Roadmap - verbal only",N44="No roadmap",N44="Not asked yet")),"Get a written PQC roadmap from the vendor. ","")&amp;IF(AND(R44&lt;&gt;"No",N44=""),"Record the vendor PQC roadmap status. ","")&amp;IF(ISNUMBER(M44),IF(M44&lt;TODAY(),"Certificate or key expired. ",IF(M44-TODAY()&lt;=Assumptions!$C$25,"Expires soon - use the renewal to revisit the algorithm. ","")),"")&amp;IF(AC44="OVERDUE","Migration overdue. ","")&amp;IF(AND(R44&lt;&gt;"No",Z44=""),"Assign a migration owner. ",""))</f>
        <v/>
      </c>
    </row>
    <row r="45" customFormat="false" ht="15" hidden="false" customHeight="false" outlineLevel="0" collapsed="false">
      <c r="A45" s="16"/>
      <c r="B45" s="16"/>
      <c r="C45" s="16"/>
      <c r="D45" s="16"/>
      <c r="E45" s="16"/>
      <c r="F45" s="16"/>
      <c r="G45" s="16"/>
      <c r="H45" s="16"/>
      <c r="I45" s="16"/>
      <c r="J45" s="16"/>
      <c r="K45" s="16"/>
      <c r="L45" s="16"/>
      <c r="M45" s="17"/>
      <c r="N45" s="16"/>
      <c r="O45" s="16"/>
      <c r="P45" s="16"/>
      <c r="Q45" s="18" t="str">
        <f aca="false">IF(A45="","",IF(J45="","Unknown",IFERROR(INDEX('Algorithm Reference'!$C$6:$C$41,MATCH(J45,'Algorithm Reference'!$B$6:$B$41,0)),"Not in reference")))</f>
        <v/>
      </c>
      <c r="R45" s="18" t="str">
        <f aca="false">IF(A45="","",IF(J45="","Unknown - investigate",IFERROR(INDEX('Algorithm Reference'!$E$6:$E$41,MATCH(J45,'Algorithm Reference'!$B$6:$B$41,0)),"Unknown - investigate")))</f>
        <v/>
      </c>
      <c r="S45" s="18" t="str">
        <f aca="false">IF(OR(O45="",P45=""),"",O45+P45)</f>
        <v/>
      </c>
      <c r="T45" s="18" t="str">
        <f aca="false">IF(A45="","",IF(R45="No","N/A - not quantum-vulnerable",IF(OR(O45="",P45=""),"Enter X and Y",IF(Assumptions!$C$6="","Set Z on Assumptions",IF(O45+P45&gt;Assumptions!$C$6,"AT RISK (X+Y &gt; Z)","Within Z (X+Y &lt;= Z)")))))</f>
        <v/>
      </c>
      <c r="U45" s="18" t="str">
        <f aca="false">IF(A45="","",IF(AND(R45&lt;&gt;"No",OR(I45="Key establishment / encryption in transit",I45="Key wrapping / key transport",I45="Mixed or unknown",I45=""),OR(N(O45)&gt;0,G45="Confidential",G45="Restricted")),IF(F45="Yes","Yes - internet-facing","Yes"),"No"))</f>
        <v/>
      </c>
      <c r="V45" s="18" t="str">
        <f aca="false">IF(A45="","",IF(R45="No","Keep - not quantum-vulnerable (review key size)",IF(I45="Digital signature / authentication","ML-DSA-65 (FIPS 204); SLH-DSA (FIPS 205) if hash-based is preferred",IF(OR(I45="Key establishment / encryption in transit",I45="Key wrapping / key transport"),"ML-KEM-768 (FIPS 203); hybrid X25519MLKEM768 for TLS 1.3",IF(I45="Mixed or unknown","Both: ML-KEM (FIPS 203) for keys, ML-DSA (FIPS 204) for signatures","Pick the crypto function first")))))</f>
        <v/>
      </c>
      <c r="W45" s="16"/>
      <c r="X45" s="18" t="str">
        <f aca="false">IF(A45="","",IF(R45="No",0,IF(LEFT(T45,7)="AT RISK",Assumptions!$C$13,0)+IF(LEFT(U45,3)="Yes",Assumptions!$C$14,0)+IF(F45="Yes",Assumptions!$C$15,0)+IF(G45="Restricted",Assumptions!$C$16,IF(G45="Confidential",Assumptions!$C$17,IF(G45="Internal",Assumptions!$C$18,0)))+IF(OR(N45="Roadmap - verbal only",N45="No roadmap",N45="Not asked yet",N45=""),Assumptions!$C$19,0)+IF(E45="Production",Assumptions!$C$20,0)+IF(AND(ISNUMBER(P45),N(P45)&gt;=Assumptions!$C$22),Assumptions!$C$21,0)))</f>
        <v/>
      </c>
      <c r="Y45" s="18" t="str">
        <f aca="false">IF(X45="","",IF(R45="No","None",IF(X45&gt;=Assumptions!$C$23,"High",IF(X45&gt;=Assumptions!$C$24,"Medium","Low"))))</f>
        <v/>
      </c>
      <c r="Z45" s="16"/>
      <c r="AA45" s="17"/>
      <c r="AB45" s="16"/>
      <c r="AC45" s="18" t="str">
        <f aca="true">IF(OR(AA45="",AB45="Hybrid deployed",AB45="PQC deployed",AB45="Not required (not vulnerable)",AB45="Risk accepted"),"",IF(AA45&lt;TODAY(),"OVERDUE",""))</f>
        <v/>
      </c>
      <c r="AD45" s="18" t="str">
        <f aca="true">IF(A45="","",IF(B45="","Name the system. ","")&amp;IF(LEFT(R45,7)="Unknown","Algorithm unknown - scan or ask the vendor. ","")&amp;IF(AND(R45&lt;&gt;"No",Assumptions!$C$6=""),"Set Z on Assumptions. ","")&amp;IF(AND(R45&lt;&gt;"No",OR(O45="",P45="")),"Enter X and Y. ","")&amp;IF(LEFT(T45,7)="AT RISK","Mosca: X+Y exceeds Z - migration should already be under way. ","")&amp;IF(AND(LEFT(U45,3)="Yes",OR(AB45="",AB45="Not started")),"Harvest-now-decrypt-later exposure and migration not started. ","")&amp;IF(AND(R45&lt;&gt;"No",OR(W45="",W45="To decide")),"Choose a target algorithm. ","")&amp;IF(AND(R45&lt;&gt;"No",W45="Keep - not quantum-vulnerable"),"Target 'Keep' conflicts with a quantum-vulnerable algorithm. ","")&amp;IF(LEFT(J45,5)="SHA-1","SHA-1 is deprecated - replace (NIST IR 8547). ","")&amp;IF(AND(R45&lt;&gt;"No",OR(N45="Roadmap - verbal only",N45="No roadmap",N45="Not asked yet")),"Get a written PQC roadmap from the vendor. ","")&amp;IF(AND(R45&lt;&gt;"No",N45=""),"Record the vendor PQC roadmap status. ","")&amp;IF(ISNUMBER(M45),IF(M45&lt;TODAY(),"Certificate or key expired. ",IF(M45-TODAY()&lt;=Assumptions!$C$25,"Expires soon - use the renewal to revisit the algorithm. ","")),"")&amp;IF(AC45="OVERDUE","Migration overdue. ","")&amp;IF(AND(R45&lt;&gt;"No",Z45=""),"Assign a migration owner. ",""))</f>
        <v/>
      </c>
    </row>
    <row r="46" customFormat="false" ht="15" hidden="false" customHeight="false" outlineLevel="0" collapsed="false">
      <c r="A46" s="16"/>
      <c r="B46" s="16"/>
      <c r="C46" s="16"/>
      <c r="D46" s="16"/>
      <c r="E46" s="16"/>
      <c r="F46" s="16"/>
      <c r="G46" s="16"/>
      <c r="H46" s="16"/>
      <c r="I46" s="16"/>
      <c r="J46" s="16"/>
      <c r="K46" s="16"/>
      <c r="L46" s="16"/>
      <c r="M46" s="17"/>
      <c r="N46" s="16"/>
      <c r="O46" s="16"/>
      <c r="P46" s="16"/>
      <c r="Q46" s="18" t="str">
        <f aca="false">IF(A46="","",IF(J46="","Unknown",IFERROR(INDEX('Algorithm Reference'!$C$6:$C$41,MATCH(J46,'Algorithm Reference'!$B$6:$B$41,0)),"Not in reference")))</f>
        <v/>
      </c>
      <c r="R46" s="18" t="str">
        <f aca="false">IF(A46="","",IF(J46="","Unknown - investigate",IFERROR(INDEX('Algorithm Reference'!$E$6:$E$41,MATCH(J46,'Algorithm Reference'!$B$6:$B$41,0)),"Unknown - investigate")))</f>
        <v/>
      </c>
      <c r="S46" s="18" t="str">
        <f aca="false">IF(OR(O46="",P46=""),"",O46+P46)</f>
        <v/>
      </c>
      <c r="T46" s="18" t="str">
        <f aca="false">IF(A46="","",IF(R46="No","N/A - not quantum-vulnerable",IF(OR(O46="",P46=""),"Enter X and Y",IF(Assumptions!$C$6="","Set Z on Assumptions",IF(O46+P46&gt;Assumptions!$C$6,"AT RISK (X+Y &gt; Z)","Within Z (X+Y &lt;= Z)")))))</f>
        <v/>
      </c>
      <c r="U46" s="18" t="str">
        <f aca="false">IF(A46="","",IF(AND(R46&lt;&gt;"No",OR(I46="Key establishment / encryption in transit",I46="Key wrapping / key transport",I46="Mixed or unknown",I46=""),OR(N(O46)&gt;0,G46="Confidential",G46="Restricted")),IF(F46="Yes","Yes - internet-facing","Yes"),"No"))</f>
        <v/>
      </c>
      <c r="V46" s="18" t="str">
        <f aca="false">IF(A46="","",IF(R46="No","Keep - not quantum-vulnerable (review key size)",IF(I46="Digital signature / authentication","ML-DSA-65 (FIPS 204); SLH-DSA (FIPS 205) if hash-based is preferred",IF(OR(I46="Key establishment / encryption in transit",I46="Key wrapping / key transport"),"ML-KEM-768 (FIPS 203); hybrid X25519MLKEM768 for TLS 1.3",IF(I46="Mixed or unknown","Both: ML-KEM (FIPS 203) for keys, ML-DSA (FIPS 204) for signatures","Pick the crypto function first")))))</f>
        <v/>
      </c>
      <c r="W46" s="16"/>
      <c r="X46" s="18" t="str">
        <f aca="false">IF(A46="","",IF(R46="No",0,IF(LEFT(T46,7)="AT RISK",Assumptions!$C$13,0)+IF(LEFT(U46,3)="Yes",Assumptions!$C$14,0)+IF(F46="Yes",Assumptions!$C$15,0)+IF(G46="Restricted",Assumptions!$C$16,IF(G46="Confidential",Assumptions!$C$17,IF(G46="Internal",Assumptions!$C$18,0)))+IF(OR(N46="Roadmap - verbal only",N46="No roadmap",N46="Not asked yet",N46=""),Assumptions!$C$19,0)+IF(E46="Production",Assumptions!$C$20,0)+IF(AND(ISNUMBER(P46),N(P46)&gt;=Assumptions!$C$22),Assumptions!$C$21,0)))</f>
        <v/>
      </c>
      <c r="Y46" s="18" t="str">
        <f aca="false">IF(X46="","",IF(R46="No","None",IF(X46&gt;=Assumptions!$C$23,"High",IF(X46&gt;=Assumptions!$C$24,"Medium","Low"))))</f>
        <v/>
      </c>
      <c r="Z46" s="16"/>
      <c r="AA46" s="17"/>
      <c r="AB46" s="16"/>
      <c r="AC46" s="18" t="str">
        <f aca="true">IF(OR(AA46="",AB46="Hybrid deployed",AB46="PQC deployed",AB46="Not required (not vulnerable)",AB46="Risk accepted"),"",IF(AA46&lt;TODAY(),"OVERDUE",""))</f>
        <v/>
      </c>
      <c r="AD46" s="18" t="str">
        <f aca="true">IF(A46="","",IF(B46="","Name the system. ","")&amp;IF(LEFT(R46,7)="Unknown","Algorithm unknown - scan or ask the vendor. ","")&amp;IF(AND(R46&lt;&gt;"No",Assumptions!$C$6=""),"Set Z on Assumptions. ","")&amp;IF(AND(R46&lt;&gt;"No",OR(O46="",P46="")),"Enter X and Y. ","")&amp;IF(LEFT(T46,7)="AT RISK","Mosca: X+Y exceeds Z - migration should already be under way. ","")&amp;IF(AND(LEFT(U46,3)="Yes",OR(AB46="",AB46="Not started")),"Harvest-now-decrypt-later exposure and migration not started. ","")&amp;IF(AND(R46&lt;&gt;"No",OR(W46="",W46="To decide")),"Choose a target algorithm. ","")&amp;IF(AND(R46&lt;&gt;"No",W46="Keep - not quantum-vulnerable"),"Target 'Keep' conflicts with a quantum-vulnerable algorithm. ","")&amp;IF(LEFT(J46,5)="SHA-1","SHA-1 is deprecated - replace (NIST IR 8547). ","")&amp;IF(AND(R46&lt;&gt;"No",OR(N46="Roadmap - verbal only",N46="No roadmap",N46="Not asked yet")),"Get a written PQC roadmap from the vendor. ","")&amp;IF(AND(R46&lt;&gt;"No",N46=""),"Record the vendor PQC roadmap status. ","")&amp;IF(ISNUMBER(M46),IF(M46&lt;TODAY(),"Certificate or key expired. ",IF(M46-TODAY()&lt;=Assumptions!$C$25,"Expires soon - use the renewal to revisit the algorithm. ","")),"")&amp;IF(AC46="OVERDUE","Migration overdue. ","")&amp;IF(AND(R46&lt;&gt;"No",Z46=""),"Assign a migration owner. ",""))</f>
        <v/>
      </c>
    </row>
    <row r="47" customFormat="false" ht="15" hidden="false" customHeight="false" outlineLevel="0" collapsed="false">
      <c r="A47" s="16"/>
      <c r="B47" s="16"/>
      <c r="C47" s="16"/>
      <c r="D47" s="16"/>
      <c r="E47" s="16"/>
      <c r="F47" s="16"/>
      <c r="G47" s="16"/>
      <c r="H47" s="16"/>
      <c r="I47" s="16"/>
      <c r="J47" s="16"/>
      <c r="K47" s="16"/>
      <c r="L47" s="16"/>
      <c r="M47" s="17"/>
      <c r="N47" s="16"/>
      <c r="O47" s="16"/>
      <c r="P47" s="16"/>
      <c r="Q47" s="18" t="str">
        <f aca="false">IF(A47="","",IF(J47="","Unknown",IFERROR(INDEX('Algorithm Reference'!$C$6:$C$41,MATCH(J47,'Algorithm Reference'!$B$6:$B$41,0)),"Not in reference")))</f>
        <v/>
      </c>
      <c r="R47" s="18" t="str">
        <f aca="false">IF(A47="","",IF(J47="","Unknown - investigate",IFERROR(INDEX('Algorithm Reference'!$E$6:$E$41,MATCH(J47,'Algorithm Reference'!$B$6:$B$41,0)),"Unknown - investigate")))</f>
        <v/>
      </c>
      <c r="S47" s="18" t="str">
        <f aca="false">IF(OR(O47="",P47=""),"",O47+P47)</f>
        <v/>
      </c>
      <c r="T47" s="18" t="str">
        <f aca="false">IF(A47="","",IF(R47="No","N/A - not quantum-vulnerable",IF(OR(O47="",P47=""),"Enter X and Y",IF(Assumptions!$C$6="","Set Z on Assumptions",IF(O47+P47&gt;Assumptions!$C$6,"AT RISK (X+Y &gt; Z)","Within Z (X+Y &lt;= Z)")))))</f>
        <v/>
      </c>
      <c r="U47" s="18" t="str">
        <f aca="false">IF(A47="","",IF(AND(R47&lt;&gt;"No",OR(I47="Key establishment / encryption in transit",I47="Key wrapping / key transport",I47="Mixed or unknown",I47=""),OR(N(O47)&gt;0,G47="Confidential",G47="Restricted")),IF(F47="Yes","Yes - internet-facing","Yes"),"No"))</f>
        <v/>
      </c>
      <c r="V47" s="18" t="str">
        <f aca="false">IF(A47="","",IF(R47="No","Keep - not quantum-vulnerable (review key size)",IF(I47="Digital signature / authentication","ML-DSA-65 (FIPS 204); SLH-DSA (FIPS 205) if hash-based is preferred",IF(OR(I47="Key establishment / encryption in transit",I47="Key wrapping / key transport"),"ML-KEM-768 (FIPS 203); hybrid X25519MLKEM768 for TLS 1.3",IF(I47="Mixed or unknown","Both: ML-KEM (FIPS 203) for keys, ML-DSA (FIPS 204) for signatures","Pick the crypto function first")))))</f>
        <v/>
      </c>
      <c r="W47" s="16"/>
      <c r="X47" s="18" t="str">
        <f aca="false">IF(A47="","",IF(R47="No",0,IF(LEFT(T47,7)="AT RISK",Assumptions!$C$13,0)+IF(LEFT(U47,3)="Yes",Assumptions!$C$14,0)+IF(F47="Yes",Assumptions!$C$15,0)+IF(G47="Restricted",Assumptions!$C$16,IF(G47="Confidential",Assumptions!$C$17,IF(G47="Internal",Assumptions!$C$18,0)))+IF(OR(N47="Roadmap - verbal only",N47="No roadmap",N47="Not asked yet",N47=""),Assumptions!$C$19,0)+IF(E47="Production",Assumptions!$C$20,0)+IF(AND(ISNUMBER(P47),N(P47)&gt;=Assumptions!$C$22),Assumptions!$C$21,0)))</f>
        <v/>
      </c>
      <c r="Y47" s="18" t="str">
        <f aca="false">IF(X47="","",IF(R47="No","None",IF(X47&gt;=Assumptions!$C$23,"High",IF(X47&gt;=Assumptions!$C$24,"Medium","Low"))))</f>
        <v/>
      </c>
      <c r="Z47" s="16"/>
      <c r="AA47" s="17"/>
      <c r="AB47" s="16"/>
      <c r="AC47" s="18" t="str">
        <f aca="true">IF(OR(AA47="",AB47="Hybrid deployed",AB47="PQC deployed",AB47="Not required (not vulnerable)",AB47="Risk accepted"),"",IF(AA47&lt;TODAY(),"OVERDUE",""))</f>
        <v/>
      </c>
      <c r="AD47" s="18" t="str">
        <f aca="true">IF(A47="","",IF(B47="","Name the system. ","")&amp;IF(LEFT(R47,7)="Unknown","Algorithm unknown - scan or ask the vendor. ","")&amp;IF(AND(R47&lt;&gt;"No",Assumptions!$C$6=""),"Set Z on Assumptions. ","")&amp;IF(AND(R47&lt;&gt;"No",OR(O47="",P47="")),"Enter X and Y. ","")&amp;IF(LEFT(T47,7)="AT RISK","Mosca: X+Y exceeds Z - migration should already be under way. ","")&amp;IF(AND(LEFT(U47,3)="Yes",OR(AB47="",AB47="Not started")),"Harvest-now-decrypt-later exposure and migration not started. ","")&amp;IF(AND(R47&lt;&gt;"No",OR(W47="",W47="To decide")),"Choose a target algorithm. ","")&amp;IF(AND(R47&lt;&gt;"No",W47="Keep - not quantum-vulnerable"),"Target 'Keep' conflicts with a quantum-vulnerable algorithm. ","")&amp;IF(LEFT(J47,5)="SHA-1","SHA-1 is deprecated - replace (NIST IR 8547). ","")&amp;IF(AND(R47&lt;&gt;"No",OR(N47="Roadmap - verbal only",N47="No roadmap",N47="Not asked yet")),"Get a written PQC roadmap from the vendor. ","")&amp;IF(AND(R47&lt;&gt;"No",N47=""),"Record the vendor PQC roadmap status. ","")&amp;IF(ISNUMBER(M47),IF(M47&lt;TODAY(),"Certificate or key expired. ",IF(M47-TODAY()&lt;=Assumptions!$C$25,"Expires soon - use the renewal to revisit the algorithm. ","")),"")&amp;IF(AC47="OVERDUE","Migration overdue. ","")&amp;IF(AND(R47&lt;&gt;"No",Z47=""),"Assign a migration owner. ",""))</f>
        <v/>
      </c>
    </row>
    <row r="48" customFormat="false" ht="15" hidden="false" customHeight="false" outlineLevel="0" collapsed="false">
      <c r="A48" s="16"/>
      <c r="B48" s="16"/>
      <c r="C48" s="16"/>
      <c r="D48" s="16"/>
      <c r="E48" s="16"/>
      <c r="F48" s="16"/>
      <c r="G48" s="16"/>
      <c r="H48" s="16"/>
      <c r="I48" s="16"/>
      <c r="J48" s="16"/>
      <c r="K48" s="16"/>
      <c r="L48" s="16"/>
      <c r="M48" s="17"/>
      <c r="N48" s="16"/>
      <c r="O48" s="16"/>
      <c r="P48" s="16"/>
      <c r="Q48" s="18" t="str">
        <f aca="false">IF(A48="","",IF(J48="","Unknown",IFERROR(INDEX('Algorithm Reference'!$C$6:$C$41,MATCH(J48,'Algorithm Reference'!$B$6:$B$41,0)),"Not in reference")))</f>
        <v/>
      </c>
      <c r="R48" s="18" t="str">
        <f aca="false">IF(A48="","",IF(J48="","Unknown - investigate",IFERROR(INDEX('Algorithm Reference'!$E$6:$E$41,MATCH(J48,'Algorithm Reference'!$B$6:$B$41,0)),"Unknown - investigate")))</f>
        <v/>
      </c>
      <c r="S48" s="18" t="str">
        <f aca="false">IF(OR(O48="",P48=""),"",O48+P48)</f>
        <v/>
      </c>
      <c r="T48" s="18" t="str">
        <f aca="false">IF(A48="","",IF(R48="No","N/A - not quantum-vulnerable",IF(OR(O48="",P48=""),"Enter X and Y",IF(Assumptions!$C$6="","Set Z on Assumptions",IF(O48+P48&gt;Assumptions!$C$6,"AT RISK (X+Y &gt; Z)","Within Z (X+Y &lt;= Z)")))))</f>
        <v/>
      </c>
      <c r="U48" s="18" t="str">
        <f aca="false">IF(A48="","",IF(AND(R48&lt;&gt;"No",OR(I48="Key establishment / encryption in transit",I48="Key wrapping / key transport",I48="Mixed or unknown",I48=""),OR(N(O48)&gt;0,G48="Confidential",G48="Restricted")),IF(F48="Yes","Yes - internet-facing","Yes"),"No"))</f>
        <v/>
      </c>
      <c r="V48" s="18" t="str">
        <f aca="false">IF(A48="","",IF(R48="No","Keep - not quantum-vulnerable (review key size)",IF(I48="Digital signature / authentication","ML-DSA-65 (FIPS 204); SLH-DSA (FIPS 205) if hash-based is preferred",IF(OR(I48="Key establishment / encryption in transit",I48="Key wrapping / key transport"),"ML-KEM-768 (FIPS 203); hybrid X25519MLKEM768 for TLS 1.3",IF(I48="Mixed or unknown","Both: ML-KEM (FIPS 203) for keys, ML-DSA (FIPS 204) for signatures","Pick the crypto function first")))))</f>
        <v/>
      </c>
      <c r="W48" s="16"/>
      <c r="X48" s="18" t="str">
        <f aca="false">IF(A48="","",IF(R48="No",0,IF(LEFT(T48,7)="AT RISK",Assumptions!$C$13,0)+IF(LEFT(U48,3)="Yes",Assumptions!$C$14,0)+IF(F48="Yes",Assumptions!$C$15,0)+IF(G48="Restricted",Assumptions!$C$16,IF(G48="Confidential",Assumptions!$C$17,IF(G48="Internal",Assumptions!$C$18,0)))+IF(OR(N48="Roadmap - verbal only",N48="No roadmap",N48="Not asked yet",N48=""),Assumptions!$C$19,0)+IF(E48="Production",Assumptions!$C$20,0)+IF(AND(ISNUMBER(P48),N(P48)&gt;=Assumptions!$C$22),Assumptions!$C$21,0)))</f>
        <v/>
      </c>
      <c r="Y48" s="18" t="str">
        <f aca="false">IF(X48="","",IF(R48="No","None",IF(X48&gt;=Assumptions!$C$23,"High",IF(X48&gt;=Assumptions!$C$24,"Medium","Low"))))</f>
        <v/>
      </c>
      <c r="Z48" s="16"/>
      <c r="AA48" s="17"/>
      <c r="AB48" s="16"/>
      <c r="AC48" s="18" t="str">
        <f aca="true">IF(OR(AA48="",AB48="Hybrid deployed",AB48="PQC deployed",AB48="Not required (not vulnerable)",AB48="Risk accepted"),"",IF(AA48&lt;TODAY(),"OVERDUE",""))</f>
        <v/>
      </c>
      <c r="AD48" s="18" t="str">
        <f aca="true">IF(A48="","",IF(B48="","Name the system. ","")&amp;IF(LEFT(R48,7)="Unknown","Algorithm unknown - scan or ask the vendor. ","")&amp;IF(AND(R48&lt;&gt;"No",Assumptions!$C$6=""),"Set Z on Assumptions. ","")&amp;IF(AND(R48&lt;&gt;"No",OR(O48="",P48="")),"Enter X and Y. ","")&amp;IF(LEFT(T48,7)="AT RISK","Mosca: X+Y exceeds Z - migration should already be under way. ","")&amp;IF(AND(LEFT(U48,3)="Yes",OR(AB48="",AB48="Not started")),"Harvest-now-decrypt-later exposure and migration not started. ","")&amp;IF(AND(R48&lt;&gt;"No",OR(W48="",W48="To decide")),"Choose a target algorithm. ","")&amp;IF(AND(R48&lt;&gt;"No",W48="Keep - not quantum-vulnerable"),"Target 'Keep' conflicts with a quantum-vulnerable algorithm. ","")&amp;IF(LEFT(J48,5)="SHA-1","SHA-1 is deprecated - replace (NIST IR 8547). ","")&amp;IF(AND(R48&lt;&gt;"No",OR(N48="Roadmap - verbal only",N48="No roadmap",N48="Not asked yet")),"Get a written PQC roadmap from the vendor. ","")&amp;IF(AND(R48&lt;&gt;"No",N48=""),"Record the vendor PQC roadmap status. ","")&amp;IF(ISNUMBER(M48),IF(M48&lt;TODAY(),"Certificate or key expired. ",IF(M48-TODAY()&lt;=Assumptions!$C$25,"Expires soon - use the renewal to revisit the algorithm. ","")),"")&amp;IF(AC48="OVERDUE","Migration overdue. ","")&amp;IF(AND(R48&lt;&gt;"No",Z48=""),"Assign a migration owner. ",""))</f>
        <v/>
      </c>
    </row>
    <row r="49" customFormat="false" ht="15" hidden="false" customHeight="false" outlineLevel="0" collapsed="false">
      <c r="A49" s="16"/>
      <c r="B49" s="16"/>
      <c r="C49" s="16"/>
      <c r="D49" s="16"/>
      <c r="E49" s="16"/>
      <c r="F49" s="16"/>
      <c r="G49" s="16"/>
      <c r="H49" s="16"/>
      <c r="I49" s="16"/>
      <c r="J49" s="16"/>
      <c r="K49" s="16"/>
      <c r="L49" s="16"/>
      <c r="M49" s="17"/>
      <c r="N49" s="16"/>
      <c r="O49" s="16"/>
      <c r="P49" s="16"/>
      <c r="Q49" s="18" t="str">
        <f aca="false">IF(A49="","",IF(J49="","Unknown",IFERROR(INDEX('Algorithm Reference'!$C$6:$C$41,MATCH(J49,'Algorithm Reference'!$B$6:$B$41,0)),"Not in reference")))</f>
        <v/>
      </c>
      <c r="R49" s="18" t="str">
        <f aca="false">IF(A49="","",IF(J49="","Unknown - investigate",IFERROR(INDEX('Algorithm Reference'!$E$6:$E$41,MATCH(J49,'Algorithm Reference'!$B$6:$B$41,0)),"Unknown - investigate")))</f>
        <v/>
      </c>
      <c r="S49" s="18" t="str">
        <f aca="false">IF(OR(O49="",P49=""),"",O49+P49)</f>
        <v/>
      </c>
      <c r="T49" s="18" t="str">
        <f aca="false">IF(A49="","",IF(R49="No","N/A - not quantum-vulnerable",IF(OR(O49="",P49=""),"Enter X and Y",IF(Assumptions!$C$6="","Set Z on Assumptions",IF(O49+P49&gt;Assumptions!$C$6,"AT RISK (X+Y &gt; Z)","Within Z (X+Y &lt;= Z)")))))</f>
        <v/>
      </c>
      <c r="U49" s="18" t="str">
        <f aca="false">IF(A49="","",IF(AND(R49&lt;&gt;"No",OR(I49="Key establishment / encryption in transit",I49="Key wrapping / key transport",I49="Mixed or unknown",I49=""),OR(N(O49)&gt;0,G49="Confidential",G49="Restricted")),IF(F49="Yes","Yes - internet-facing","Yes"),"No"))</f>
        <v/>
      </c>
      <c r="V49" s="18" t="str">
        <f aca="false">IF(A49="","",IF(R49="No","Keep - not quantum-vulnerable (review key size)",IF(I49="Digital signature / authentication","ML-DSA-65 (FIPS 204); SLH-DSA (FIPS 205) if hash-based is preferred",IF(OR(I49="Key establishment / encryption in transit",I49="Key wrapping / key transport"),"ML-KEM-768 (FIPS 203); hybrid X25519MLKEM768 for TLS 1.3",IF(I49="Mixed or unknown","Both: ML-KEM (FIPS 203) for keys, ML-DSA (FIPS 204) for signatures","Pick the crypto function first")))))</f>
        <v/>
      </c>
      <c r="W49" s="16"/>
      <c r="X49" s="18" t="str">
        <f aca="false">IF(A49="","",IF(R49="No",0,IF(LEFT(T49,7)="AT RISK",Assumptions!$C$13,0)+IF(LEFT(U49,3)="Yes",Assumptions!$C$14,0)+IF(F49="Yes",Assumptions!$C$15,0)+IF(G49="Restricted",Assumptions!$C$16,IF(G49="Confidential",Assumptions!$C$17,IF(G49="Internal",Assumptions!$C$18,0)))+IF(OR(N49="Roadmap - verbal only",N49="No roadmap",N49="Not asked yet",N49=""),Assumptions!$C$19,0)+IF(E49="Production",Assumptions!$C$20,0)+IF(AND(ISNUMBER(P49),N(P49)&gt;=Assumptions!$C$22),Assumptions!$C$21,0)))</f>
        <v/>
      </c>
      <c r="Y49" s="18" t="str">
        <f aca="false">IF(X49="","",IF(R49="No","None",IF(X49&gt;=Assumptions!$C$23,"High",IF(X49&gt;=Assumptions!$C$24,"Medium","Low"))))</f>
        <v/>
      </c>
      <c r="Z49" s="16"/>
      <c r="AA49" s="17"/>
      <c r="AB49" s="16"/>
      <c r="AC49" s="18" t="str">
        <f aca="true">IF(OR(AA49="",AB49="Hybrid deployed",AB49="PQC deployed",AB49="Not required (not vulnerable)",AB49="Risk accepted"),"",IF(AA49&lt;TODAY(),"OVERDUE",""))</f>
        <v/>
      </c>
      <c r="AD49" s="18" t="str">
        <f aca="true">IF(A49="","",IF(B49="","Name the system. ","")&amp;IF(LEFT(R49,7)="Unknown","Algorithm unknown - scan or ask the vendor. ","")&amp;IF(AND(R49&lt;&gt;"No",Assumptions!$C$6=""),"Set Z on Assumptions. ","")&amp;IF(AND(R49&lt;&gt;"No",OR(O49="",P49="")),"Enter X and Y. ","")&amp;IF(LEFT(T49,7)="AT RISK","Mosca: X+Y exceeds Z - migration should already be under way. ","")&amp;IF(AND(LEFT(U49,3)="Yes",OR(AB49="",AB49="Not started")),"Harvest-now-decrypt-later exposure and migration not started. ","")&amp;IF(AND(R49&lt;&gt;"No",OR(W49="",W49="To decide")),"Choose a target algorithm. ","")&amp;IF(AND(R49&lt;&gt;"No",W49="Keep - not quantum-vulnerable"),"Target 'Keep' conflicts with a quantum-vulnerable algorithm. ","")&amp;IF(LEFT(J49,5)="SHA-1","SHA-1 is deprecated - replace (NIST IR 8547). ","")&amp;IF(AND(R49&lt;&gt;"No",OR(N49="Roadmap - verbal only",N49="No roadmap",N49="Not asked yet")),"Get a written PQC roadmap from the vendor. ","")&amp;IF(AND(R49&lt;&gt;"No",N49=""),"Record the vendor PQC roadmap status. ","")&amp;IF(ISNUMBER(M49),IF(M49&lt;TODAY(),"Certificate or key expired. ",IF(M49-TODAY()&lt;=Assumptions!$C$25,"Expires soon - use the renewal to revisit the algorithm. ","")),"")&amp;IF(AC49="OVERDUE","Migration overdue. ","")&amp;IF(AND(R49&lt;&gt;"No",Z49=""),"Assign a migration owner. ",""))</f>
        <v/>
      </c>
    </row>
    <row r="50" customFormat="false" ht="15" hidden="false" customHeight="false" outlineLevel="0" collapsed="false">
      <c r="A50" s="16"/>
      <c r="B50" s="16"/>
      <c r="C50" s="16"/>
      <c r="D50" s="16"/>
      <c r="E50" s="16"/>
      <c r="F50" s="16"/>
      <c r="G50" s="16"/>
      <c r="H50" s="16"/>
      <c r="I50" s="16"/>
      <c r="J50" s="16"/>
      <c r="K50" s="16"/>
      <c r="L50" s="16"/>
      <c r="M50" s="17"/>
      <c r="N50" s="16"/>
      <c r="O50" s="16"/>
      <c r="P50" s="16"/>
      <c r="Q50" s="18" t="str">
        <f aca="false">IF(A50="","",IF(J50="","Unknown",IFERROR(INDEX('Algorithm Reference'!$C$6:$C$41,MATCH(J50,'Algorithm Reference'!$B$6:$B$41,0)),"Not in reference")))</f>
        <v/>
      </c>
      <c r="R50" s="18" t="str">
        <f aca="false">IF(A50="","",IF(J50="","Unknown - investigate",IFERROR(INDEX('Algorithm Reference'!$E$6:$E$41,MATCH(J50,'Algorithm Reference'!$B$6:$B$41,0)),"Unknown - investigate")))</f>
        <v/>
      </c>
      <c r="S50" s="18" t="str">
        <f aca="false">IF(OR(O50="",P50=""),"",O50+P50)</f>
        <v/>
      </c>
      <c r="T50" s="18" t="str">
        <f aca="false">IF(A50="","",IF(R50="No","N/A - not quantum-vulnerable",IF(OR(O50="",P50=""),"Enter X and Y",IF(Assumptions!$C$6="","Set Z on Assumptions",IF(O50+P50&gt;Assumptions!$C$6,"AT RISK (X+Y &gt; Z)","Within Z (X+Y &lt;= Z)")))))</f>
        <v/>
      </c>
      <c r="U50" s="18" t="str">
        <f aca="false">IF(A50="","",IF(AND(R50&lt;&gt;"No",OR(I50="Key establishment / encryption in transit",I50="Key wrapping / key transport",I50="Mixed or unknown",I50=""),OR(N(O50)&gt;0,G50="Confidential",G50="Restricted")),IF(F50="Yes","Yes - internet-facing","Yes"),"No"))</f>
        <v/>
      </c>
      <c r="V50" s="18" t="str">
        <f aca="false">IF(A50="","",IF(R50="No","Keep - not quantum-vulnerable (review key size)",IF(I50="Digital signature / authentication","ML-DSA-65 (FIPS 204); SLH-DSA (FIPS 205) if hash-based is preferred",IF(OR(I50="Key establishment / encryption in transit",I50="Key wrapping / key transport"),"ML-KEM-768 (FIPS 203); hybrid X25519MLKEM768 for TLS 1.3",IF(I50="Mixed or unknown","Both: ML-KEM (FIPS 203) for keys, ML-DSA (FIPS 204) for signatures","Pick the crypto function first")))))</f>
        <v/>
      </c>
      <c r="W50" s="16"/>
      <c r="X50" s="18" t="str">
        <f aca="false">IF(A50="","",IF(R50="No",0,IF(LEFT(T50,7)="AT RISK",Assumptions!$C$13,0)+IF(LEFT(U50,3)="Yes",Assumptions!$C$14,0)+IF(F50="Yes",Assumptions!$C$15,0)+IF(G50="Restricted",Assumptions!$C$16,IF(G50="Confidential",Assumptions!$C$17,IF(G50="Internal",Assumptions!$C$18,0)))+IF(OR(N50="Roadmap - verbal only",N50="No roadmap",N50="Not asked yet",N50=""),Assumptions!$C$19,0)+IF(E50="Production",Assumptions!$C$20,0)+IF(AND(ISNUMBER(P50),N(P50)&gt;=Assumptions!$C$22),Assumptions!$C$21,0)))</f>
        <v/>
      </c>
      <c r="Y50" s="18" t="str">
        <f aca="false">IF(X50="","",IF(R50="No","None",IF(X50&gt;=Assumptions!$C$23,"High",IF(X50&gt;=Assumptions!$C$24,"Medium","Low"))))</f>
        <v/>
      </c>
      <c r="Z50" s="16"/>
      <c r="AA50" s="17"/>
      <c r="AB50" s="16"/>
      <c r="AC50" s="18" t="str">
        <f aca="true">IF(OR(AA50="",AB50="Hybrid deployed",AB50="PQC deployed",AB50="Not required (not vulnerable)",AB50="Risk accepted"),"",IF(AA50&lt;TODAY(),"OVERDUE",""))</f>
        <v/>
      </c>
      <c r="AD50" s="18" t="str">
        <f aca="true">IF(A50="","",IF(B50="","Name the system. ","")&amp;IF(LEFT(R50,7)="Unknown","Algorithm unknown - scan or ask the vendor. ","")&amp;IF(AND(R50&lt;&gt;"No",Assumptions!$C$6=""),"Set Z on Assumptions. ","")&amp;IF(AND(R50&lt;&gt;"No",OR(O50="",P50="")),"Enter X and Y. ","")&amp;IF(LEFT(T50,7)="AT RISK","Mosca: X+Y exceeds Z - migration should already be under way. ","")&amp;IF(AND(LEFT(U50,3)="Yes",OR(AB50="",AB50="Not started")),"Harvest-now-decrypt-later exposure and migration not started. ","")&amp;IF(AND(R50&lt;&gt;"No",OR(W50="",W50="To decide")),"Choose a target algorithm. ","")&amp;IF(AND(R50&lt;&gt;"No",W50="Keep - not quantum-vulnerable"),"Target 'Keep' conflicts with a quantum-vulnerable algorithm. ","")&amp;IF(LEFT(J50,5)="SHA-1","SHA-1 is deprecated - replace (NIST IR 8547). ","")&amp;IF(AND(R50&lt;&gt;"No",OR(N50="Roadmap - verbal only",N50="No roadmap",N50="Not asked yet")),"Get a written PQC roadmap from the vendor. ","")&amp;IF(AND(R50&lt;&gt;"No",N50=""),"Record the vendor PQC roadmap status. ","")&amp;IF(ISNUMBER(M50),IF(M50&lt;TODAY(),"Certificate or key expired. ",IF(M50-TODAY()&lt;=Assumptions!$C$25,"Expires soon - use the renewal to revisit the algorithm. ","")),"")&amp;IF(AC50="OVERDUE","Migration overdue. ","")&amp;IF(AND(R50&lt;&gt;"No",Z50=""),"Assign a migration owner. ",""))</f>
        <v/>
      </c>
    </row>
    <row r="51" customFormat="false" ht="15" hidden="false" customHeight="false" outlineLevel="0" collapsed="false">
      <c r="A51" s="16"/>
      <c r="B51" s="16"/>
      <c r="C51" s="16"/>
      <c r="D51" s="16"/>
      <c r="E51" s="16"/>
      <c r="F51" s="16"/>
      <c r="G51" s="16"/>
      <c r="H51" s="16"/>
      <c r="I51" s="16"/>
      <c r="J51" s="16"/>
      <c r="K51" s="16"/>
      <c r="L51" s="16"/>
      <c r="M51" s="17"/>
      <c r="N51" s="16"/>
      <c r="O51" s="16"/>
      <c r="P51" s="16"/>
      <c r="Q51" s="18" t="str">
        <f aca="false">IF(A51="","",IF(J51="","Unknown",IFERROR(INDEX('Algorithm Reference'!$C$6:$C$41,MATCH(J51,'Algorithm Reference'!$B$6:$B$41,0)),"Not in reference")))</f>
        <v/>
      </c>
      <c r="R51" s="18" t="str">
        <f aca="false">IF(A51="","",IF(J51="","Unknown - investigate",IFERROR(INDEX('Algorithm Reference'!$E$6:$E$41,MATCH(J51,'Algorithm Reference'!$B$6:$B$41,0)),"Unknown - investigate")))</f>
        <v/>
      </c>
      <c r="S51" s="18" t="str">
        <f aca="false">IF(OR(O51="",P51=""),"",O51+P51)</f>
        <v/>
      </c>
      <c r="T51" s="18" t="str">
        <f aca="false">IF(A51="","",IF(R51="No","N/A - not quantum-vulnerable",IF(OR(O51="",P51=""),"Enter X and Y",IF(Assumptions!$C$6="","Set Z on Assumptions",IF(O51+P51&gt;Assumptions!$C$6,"AT RISK (X+Y &gt; Z)","Within Z (X+Y &lt;= Z)")))))</f>
        <v/>
      </c>
      <c r="U51" s="18" t="str">
        <f aca="false">IF(A51="","",IF(AND(R51&lt;&gt;"No",OR(I51="Key establishment / encryption in transit",I51="Key wrapping / key transport",I51="Mixed or unknown",I51=""),OR(N(O51)&gt;0,G51="Confidential",G51="Restricted")),IF(F51="Yes","Yes - internet-facing","Yes"),"No"))</f>
        <v/>
      </c>
      <c r="V51" s="18" t="str">
        <f aca="false">IF(A51="","",IF(R51="No","Keep - not quantum-vulnerable (review key size)",IF(I51="Digital signature / authentication","ML-DSA-65 (FIPS 204); SLH-DSA (FIPS 205) if hash-based is preferred",IF(OR(I51="Key establishment / encryption in transit",I51="Key wrapping / key transport"),"ML-KEM-768 (FIPS 203); hybrid X25519MLKEM768 for TLS 1.3",IF(I51="Mixed or unknown","Both: ML-KEM (FIPS 203) for keys, ML-DSA (FIPS 204) for signatures","Pick the crypto function first")))))</f>
        <v/>
      </c>
      <c r="W51" s="16"/>
      <c r="X51" s="18" t="str">
        <f aca="false">IF(A51="","",IF(R51="No",0,IF(LEFT(T51,7)="AT RISK",Assumptions!$C$13,0)+IF(LEFT(U51,3)="Yes",Assumptions!$C$14,0)+IF(F51="Yes",Assumptions!$C$15,0)+IF(G51="Restricted",Assumptions!$C$16,IF(G51="Confidential",Assumptions!$C$17,IF(G51="Internal",Assumptions!$C$18,0)))+IF(OR(N51="Roadmap - verbal only",N51="No roadmap",N51="Not asked yet",N51=""),Assumptions!$C$19,0)+IF(E51="Production",Assumptions!$C$20,0)+IF(AND(ISNUMBER(P51),N(P51)&gt;=Assumptions!$C$22),Assumptions!$C$21,0)))</f>
        <v/>
      </c>
      <c r="Y51" s="18" t="str">
        <f aca="false">IF(X51="","",IF(R51="No","None",IF(X51&gt;=Assumptions!$C$23,"High",IF(X51&gt;=Assumptions!$C$24,"Medium","Low"))))</f>
        <v/>
      </c>
      <c r="Z51" s="16"/>
      <c r="AA51" s="17"/>
      <c r="AB51" s="16"/>
      <c r="AC51" s="18" t="str">
        <f aca="true">IF(OR(AA51="",AB51="Hybrid deployed",AB51="PQC deployed",AB51="Not required (not vulnerable)",AB51="Risk accepted"),"",IF(AA51&lt;TODAY(),"OVERDUE",""))</f>
        <v/>
      </c>
      <c r="AD51" s="18" t="str">
        <f aca="true">IF(A51="","",IF(B51="","Name the system. ","")&amp;IF(LEFT(R51,7)="Unknown","Algorithm unknown - scan or ask the vendor. ","")&amp;IF(AND(R51&lt;&gt;"No",Assumptions!$C$6=""),"Set Z on Assumptions. ","")&amp;IF(AND(R51&lt;&gt;"No",OR(O51="",P51="")),"Enter X and Y. ","")&amp;IF(LEFT(T51,7)="AT RISK","Mosca: X+Y exceeds Z - migration should already be under way. ","")&amp;IF(AND(LEFT(U51,3)="Yes",OR(AB51="",AB51="Not started")),"Harvest-now-decrypt-later exposure and migration not started. ","")&amp;IF(AND(R51&lt;&gt;"No",OR(W51="",W51="To decide")),"Choose a target algorithm. ","")&amp;IF(AND(R51&lt;&gt;"No",W51="Keep - not quantum-vulnerable"),"Target 'Keep' conflicts with a quantum-vulnerable algorithm. ","")&amp;IF(LEFT(J51,5)="SHA-1","SHA-1 is deprecated - replace (NIST IR 8547). ","")&amp;IF(AND(R51&lt;&gt;"No",OR(N51="Roadmap - verbal only",N51="No roadmap",N51="Not asked yet")),"Get a written PQC roadmap from the vendor. ","")&amp;IF(AND(R51&lt;&gt;"No",N51=""),"Record the vendor PQC roadmap status. ","")&amp;IF(ISNUMBER(M51),IF(M51&lt;TODAY(),"Certificate or key expired. ",IF(M51-TODAY()&lt;=Assumptions!$C$25,"Expires soon - use the renewal to revisit the algorithm. ","")),"")&amp;IF(AC51="OVERDUE","Migration overdue. ","")&amp;IF(AND(R51&lt;&gt;"No",Z51=""),"Assign a migration owner. ",""))</f>
        <v/>
      </c>
    </row>
    <row r="52" customFormat="false" ht="15" hidden="false" customHeight="false" outlineLevel="0" collapsed="false">
      <c r="A52" s="16"/>
      <c r="B52" s="16"/>
      <c r="C52" s="16"/>
      <c r="D52" s="16"/>
      <c r="E52" s="16"/>
      <c r="F52" s="16"/>
      <c r="G52" s="16"/>
      <c r="H52" s="16"/>
      <c r="I52" s="16"/>
      <c r="J52" s="16"/>
      <c r="K52" s="16"/>
      <c r="L52" s="16"/>
      <c r="M52" s="17"/>
      <c r="N52" s="16"/>
      <c r="O52" s="16"/>
      <c r="P52" s="16"/>
      <c r="Q52" s="18" t="str">
        <f aca="false">IF(A52="","",IF(J52="","Unknown",IFERROR(INDEX('Algorithm Reference'!$C$6:$C$41,MATCH(J52,'Algorithm Reference'!$B$6:$B$41,0)),"Not in reference")))</f>
        <v/>
      </c>
      <c r="R52" s="18" t="str">
        <f aca="false">IF(A52="","",IF(J52="","Unknown - investigate",IFERROR(INDEX('Algorithm Reference'!$E$6:$E$41,MATCH(J52,'Algorithm Reference'!$B$6:$B$41,0)),"Unknown - investigate")))</f>
        <v/>
      </c>
      <c r="S52" s="18" t="str">
        <f aca="false">IF(OR(O52="",P52=""),"",O52+P52)</f>
        <v/>
      </c>
      <c r="T52" s="18" t="str">
        <f aca="false">IF(A52="","",IF(R52="No","N/A - not quantum-vulnerable",IF(OR(O52="",P52=""),"Enter X and Y",IF(Assumptions!$C$6="","Set Z on Assumptions",IF(O52+P52&gt;Assumptions!$C$6,"AT RISK (X+Y &gt; Z)","Within Z (X+Y &lt;= Z)")))))</f>
        <v/>
      </c>
      <c r="U52" s="18" t="str">
        <f aca="false">IF(A52="","",IF(AND(R52&lt;&gt;"No",OR(I52="Key establishment / encryption in transit",I52="Key wrapping / key transport",I52="Mixed or unknown",I52=""),OR(N(O52)&gt;0,G52="Confidential",G52="Restricted")),IF(F52="Yes","Yes - internet-facing","Yes"),"No"))</f>
        <v/>
      </c>
      <c r="V52" s="18" t="str">
        <f aca="false">IF(A52="","",IF(R52="No","Keep - not quantum-vulnerable (review key size)",IF(I52="Digital signature / authentication","ML-DSA-65 (FIPS 204); SLH-DSA (FIPS 205) if hash-based is preferred",IF(OR(I52="Key establishment / encryption in transit",I52="Key wrapping / key transport"),"ML-KEM-768 (FIPS 203); hybrid X25519MLKEM768 for TLS 1.3",IF(I52="Mixed or unknown","Both: ML-KEM (FIPS 203) for keys, ML-DSA (FIPS 204) for signatures","Pick the crypto function first")))))</f>
        <v/>
      </c>
      <c r="W52" s="16"/>
      <c r="X52" s="18" t="str">
        <f aca="false">IF(A52="","",IF(R52="No",0,IF(LEFT(T52,7)="AT RISK",Assumptions!$C$13,0)+IF(LEFT(U52,3)="Yes",Assumptions!$C$14,0)+IF(F52="Yes",Assumptions!$C$15,0)+IF(G52="Restricted",Assumptions!$C$16,IF(G52="Confidential",Assumptions!$C$17,IF(G52="Internal",Assumptions!$C$18,0)))+IF(OR(N52="Roadmap - verbal only",N52="No roadmap",N52="Not asked yet",N52=""),Assumptions!$C$19,0)+IF(E52="Production",Assumptions!$C$20,0)+IF(AND(ISNUMBER(P52),N(P52)&gt;=Assumptions!$C$22),Assumptions!$C$21,0)))</f>
        <v/>
      </c>
      <c r="Y52" s="18" t="str">
        <f aca="false">IF(X52="","",IF(R52="No","None",IF(X52&gt;=Assumptions!$C$23,"High",IF(X52&gt;=Assumptions!$C$24,"Medium","Low"))))</f>
        <v/>
      </c>
      <c r="Z52" s="16"/>
      <c r="AA52" s="17"/>
      <c r="AB52" s="16"/>
      <c r="AC52" s="18" t="str">
        <f aca="true">IF(OR(AA52="",AB52="Hybrid deployed",AB52="PQC deployed",AB52="Not required (not vulnerable)",AB52="Risk accepted"),"",IF(AA52&lt;TODAY(),"OVERDUE",""))</f>
        <v/>
      </c>
      <c r="AD52" s="18" t="str">
        <f aca="true">IF(A52="","",IF(B52="","Name the system. ","")&amp;IF(LEFT(R52,7)="Unknown","Algorithm unknown - scan or ask the vendor. ","")&amp;IF(AND(R52&lt;&gt;"No",Assumptions!$C$6=""),"Set Z on Assumptions. ","")&amp;IF(AND(R52&lt;&gt;"No",OR(O52="",P52="")),"Enter X and Y. ","")&amp;IF(LEFT(T52,7)="AT RISK","Mosca: X+Y exceeds Z - migration should already be under way. ","")&amp;IF(AND(LEFT(U52,3)="Yes",OR(AB52="",AB52="Not started")),"Harvest-now-decrypt-later exposure and migration not started. ","")&amp;IF(AND(R52&lt;&gt;"No",OR(W52="",W52="To decide")),"Choose a target algorithm. ","")&amp;IF(AND(R52&lt;&gt;"No",W52="Keep - not quantum-vulnerable"),"Target 'Keep' conflicts with a quantum-vulnerable algorithm. ","")&amp;IF(LEFT(J52,5)="SHA-1","SHA-1 is deprecated - replace (NIST IR 8547). ","")&amp;IF(AND(R52&lt;&gt;"No",OR(N52="Roadmap - verbal only",N52="No roadmap",N52="Not asked yet")),"Get a written PQC roadmap from the vendor. ","")&amp;IF(AND(R52&lt;&gt;"No",N52=""),"Record the vendor PQC roadmap status. ","")&amp;IF(ISNUMBER(M52),IF(M52&lt;TODAY(),"Certificate or key expired. ",IF(M52-TODAY()&lt;=Assumptions!$C$25,"Expires soon - use the renewal to revisit the algorithm. ","")),"")&amp;IF(AC52="OVERDUE","Migration overdue. ","")&amp;IF(AND(R52&lt;&gt;"No",Z52=""),"Assign a migration owner. ",""))</f>
        <v/>
      </c>
    </row>
    <row r="53" customFormat="false" ht="15" hidden="false" customHeight="false" outlineLevel="0" collapsed="false">
      <c r="A53" s="16"/>
      <c r="B53" s="16"/>
      <c r="C53" s="16"/>
      <c r="D53" s="16"/>
      <c r="E53" s="16"/>
      <c r="F53" s="16"/>
      <c r="G53" s="16"/>
      <c r="H53" s="16"/>
      <c r="I53" s="16"/>
      <c r="J53" s="16"/>
      <c r="K53" s="16"/>
      <c r="L53" s="16"/>
      <c r="M53" s="17"/>
      <c r="N53" s="16"/>
      <c r="O53" s="16"/>
      <c r="P53" s="16"/>
      <c r="Q53" s="18" t="str">
        <f aca="false">IF(A53="","",IF(J53="","Unknown",IFERROR(INDEX('Algorithm Reference'!$C$6:$C$41,MATCH(J53,'Algorithm Reference'!$B$6:$B$41,0)),"Not in reference")))</f>
        <v/>
      </c>
      <c r="R53" s="18" t="str">
        <f aca="false">IF(A53="","",IF(J53="","Unknown - investigate",IFERROR(INDEX('Algorithm Reference'!$E$6:$E$41,MATCH(J53,'Algorithm Reference'!$B$6:$B$41,0)),"Unknown - investigate")))</f>
        <v/>
      </c>
      <c r="S53" s="18" t="str">
        <f aca="false">IF(OR(O53="",P53=""),"",O53+P53)</f>
        <v/>
      </c>
      <c r="T53" s="18" t="str">
        <f aca="false">IF(A53="","",IF(R53="No","N/A - not quantum-vulnerable",IF(OR(O53="",P53=""),"Enter X and Y",IF(Assumptions!$C$6="","Set Z on Assumptions",IF(O53+P53&gt;Assumptions!$C$6,"AT RISK (X+Y &gt; Z)","Within Z (X+Y &lt;= Z)")))))</f>
        <v/>
      </c>
      <c r="U53" s="18" t="str">
        <f aca="false">IF(A53="","",IF(AND(R53&lt;&gt;"No",OR(I53="Key establishment / encryption in transit",I53="Key wrapping / key transport",I53="Mixed or unknown",I53=""),OR(N(O53)&gt;0,G53="Confidential",G53="Restricted")),IF(F53="Yes","Yes - internet-facing","Yes"),"No"))</f>
        <v/>
      </c>
      <c r="V53" s="18" t="str">
        <f aca="false">IF(A53="","",IF(R53="No","Keep - not quantum-vulnerable (review key size)",IF(I53="Digital signature / authentication","ML-DSA-65 (FIPS 204); SLH-DSA (FIPS 205) if hash-based is preferred",IF(OR(I53="Key establishment / encryption in transit",I53="Key wrapping / key transport"),"ML-KEM-768 (FIPS 203); hybrid X25519MLKEM768 for TLS 1.3",IF(I53="Mixed or unknown","Both: ML-KEM (FIPS 203) for keys, ML-DSA (FIPS 204) for signatures","Pick the crypto function first")))))</f>
        <v/>
      </c>
      <c r="W53" s="16"/>
      <c r="X53" s="18" t="str">
        <f aca="false">IF(A53="","",IF(R53="No",0,IF(LEFT(T53,7)="AT RISK",Assumptions!$C$13,0)+IF(LEFT(U53,3)="Yes",Assumptions!$C$14,0)+IF(F53="Yes",Assumptions!$C$15,0)+IF(G53="Restricted",Assumptions!$C$16,IF(G53="Confidential",Assumptions!$C$17,IF(G53="Internal",Assumptions!$C$18,0)))+IF(OR(N53="Roadmap - verbal only",N53="No roadmap",N53="Not asked yet",N53=""),Assumptions!$C$19,0)+IF(E53="Production",Assumptions!$C$20,0)+IF(AND(ISNUMBER(P53),N(P53)&gt;=Assumptions!$C$22),Assumptions!$C$21,0)))</f>
        <v/>
      </c>
      <c r="Y53" s="18" t="str">
        <f aca="false">IF(X53="","",IF(R53="No","None",IF(X53&gt;=Assumptions!$C$23,"High",IF(X53&gt;=Assumptions!$C$24,"Medium","Low"))))</f>
        <v/>
      </c>
      <c r="Z53" s="16"/>
      <c r="AA53" s="17"/>
      <c r="AB53" s="16"/>
      <c r="AC53" s="18" t="str">
        <f aca="true">IF(OR(AA53="",AB53="Hybrid deployed",AB53="PQC deployed",AB53="Not required (not vulnerable)",AB53="Risk accepted"),"",IF(AA53&lt;TODAY(),"OVERDUE",""))</f>
        <v/>
      </c>
      <c r="AD53" s="18" t="str">
        <f aca="true">IF(A53="","",IF(B53="","Name the system. ","")&amp;IF(LEFT(R53,7)="Unknown","Algorithm unknown - scan or ask the vendor. ","")&amp;IF(AND(R53&lt;&gt;"No",Assumptions!$C$6=""),"Set Z on Assumptions. ","")&amp;IF(AND(R53&lt;&gt;"No",OR(O53="",P53="")),"Enter X and Y. ","")&amp;IF(LEFT(T53,7)="AT RISK","Mosca: X+Y exceeds Z - migration should already be under way. ","")&amp;IF(AND(LEFT(U53,3)="Yes",OR(AB53="",AB53="Not started")),"Harvest-now-decrypt-later exposure and migration not started. ","")&amp;IF(AND(R53&lt;&gt;"No",OR(W53="",W53="To decide")),"Choose a target algorithm. ","")&amp;IF(AND(R53&lt;&gt;"No",W53="Keep - not quantum-vulnerable"),"Target 'Keep' conflicts with a quantum-vulnerable algorithm. ","")&amp;IF(LEFT(J53,5)="SHA-1","SHA-1 is deprecated - replace (NIST IR 8547). ","")&amp;IF(AND(R53&lt;&gt;"No",OR(N53="Roadmap - verbal only",N53="No roadmap",N53="Not asked yet")),"Get a written PQC roadmap from the vendor. ","")&amp;IF(AND(R53&lt;&gt;"No",N53=""),"Record the vendor PQC roadmap status. ","")&amp;IF(ISNUMBER(M53),IF(M53&lt;TODAY(),"Certificate or key expired. ",IF(M53-TODAY()&lt;=Assumptions!$C$25,"Expires soon - use the renewal to revisit the algorithm. ","")),"")&amp;IF(AC53="OVERDUE","Migration overdue. ","")&amp;IF(AND(R53&lt;&gt;"No",Z53=""),"Assign a migration owner. ",""))</f>
        <v/>
      </c>
    </row>
    <row r="54" customFormat="false" ht="15" hidden="false" customHeight="false" outlineLevel="0" collapsed="false">
      <c r="A54" s="16"/>
      <c r="B54" s="16"/>
      <c r="C54" s="16"/>
      <c r="D54" s="16"/>
      <c r="E54" s="16"/>
      <c r="F54" s="16"/>
      <c r="G54" s="16"/>
      <c r="H54" s="16"/>
      <c r="I54" s="16"/>
      <c r="J54" s="16"/>
      <c r="K54" s="16"/>
      <c r="L54" s="16"/>
      <c r="M54" s="17"/>
      <c r="N54" s="16"/>
      <c r="O54" s="16"/>
      <c r="P54" s="16"/>
      <c r="Q54" s="18" t="str">
        <f aca="false">IF(A54="","",IF(J54="","Unknown",IFERROR(INDEX('Algorithm Reference'!$C$6:$C$41,MATCH(J54,'Algorithm Reference'!$B$6:$B$41,0)),"Not in reference")))</f>
        <v/>
      </c>
      <c r="R54" s="18" t="str">
        <f aca="false">IF(A54="","",IF(J54="","Unknown - investigate",IFERROR(INDEX('Algorithm Reference'!$E$6:$E$41,MATCH(J54,'Algorithm Reference'!$B$6:$B$41,0)),"Unknown - investigate")))</f>
        <v/>
      </c>
      <c r="S54" s="18" t="str">
        <f aca="false">IF(OR(O54="",P54=""),"",O54+P54)</f>
        <v/>
      </c>
      <c r="T54" s="18" t="str">
        <f aca="false">IF(A54="","",IF(R54="No","N/A - not quantum-vulnerable",IF(OR(O54="",P54=""),"Enter X and Y",IF(Assumptions!$C$6="","Set Z on Assumptions",IF(O54+P54&gt;Assumptions!$C$6,"AT RISK (X+Y &gt; Z)","Within Z (X+Y &lt;= Z)")))))</f>
        <v/>
      </c>
      <c r="U54" s="18" t="str">
        <f aca="false">IF(A54="","",IF(AND(R54&lt;&gt;"No",OR(I54="Key establishment / encryption in transit",I54="Key wrapping / key transport",I54="Mixed or unknown",I54=""),OR(N(O54)&gt;0,G54="Confidential",G54="Restricted")),IF(F54="Yes","Yes - internet-facing","Yes"),"No"))</f>
        <v/>
      </c>
      <c r="V54" s="18" t="str">
        <f aca="false">IF(A54="","",IF(R54="No","Keep - not quantum-vulnerable (review key size)",IF(I54="Digital signature / authentication","ML-DSA-65 (FIPS 204); SLH-DSA (FIPS 205) if hash-based is preferred",IF(OR(I54="Key establishment / encryption in transit",I54="Key wrapping / key transport"),"ML-KEM-768 (FIPS 203); hybrid X25519MLKEM768 for TLS 1.3",IF(I54="Mixed or unknown","Both: ML-KEM (FIPS 203) for keys, ML-DSA (FIPS 204) for signatures","Pick the crypto function first")))))</f>
        <v/>
      </c>
      <c r="W54" s="16"/>
      <c r="X54" s="18" t="str">
        <f aca="false">IF(A54="","",IF(R54="No",0,IF(LEFT(T54,7)="AT RISK",Assumptions!$C$13,0)+IF(LEFT(U54,3)="Yes",Assumptions!$C$14,0)+IF(F54="Yes",Assumptions!$C$15,0)+IF(G54="Restricted",Assumptions!$C$16,IF(G54="Confidential",Assumptions!$C$17,IF(G54="Internal",Assumptions!$C$18,0)))+IF(OR(N54="Roadmap - verbal only",N54="No roadmap",N54="Not asked yet",N54=""),Assumptions!$C$19,0)+IF(E54="Production",Assumptions!$C$20,0)+IF(AND(ISNUMBER(P54),N(P54)&gt;=Assumptions!$C$22),Assumptions!$C$21,0)))</f>
        <v/>
      </c>
      <c r="Y54" s="18" t="str">
        <f aca="false">IF(X54="","",IF(R54="No","None",IF(X54&gt;=Assumptions!$C$23,"High",IF(X54&gt;=Assumptions!$C$24,"Medium","Low"))))</f>
        <v/>
      </c>
      <c r="Z54" s="16"/>
      <c r="AA54" s="17"/>
      <c r="AB54" s="16"/>
      <c r="AC54" s="18" t="str">
        <f aca="true">IF(OR(AA54="",AB54="Hybrid deployed",AB54="PQC deployed",AB54="Not required (not vulnerable)",AB54="Risk accepted"),"",IF(AA54&lt;TODAY(),"OVERDUE",""))</f>
        <v/>
      </c>
      <c r="AD54" s="18" t="str">
        <f aca="true">IF(A54="","",IF(B54="","Name the system. ","")&amp;IF(LEFT(R54,7)="Unknown","Algorithm unknown - scan or ask the vendor. ","")&amp;IF(AND(R54&lt;&gt;"No",Assumptions!$C$6=""),"Set Z on Assumptions. ","")&amp;IF(AND(R54&lt;&gt;"No",OR(O54="",P54="")),"Enter X and Y. ","")&amp;IF(LEFT(T54,7)="AT RISK","Mosca: X+Y exceeds Z - migration should already be under way. ","")&amp;IF(AND(LEFT(U54,3)="Yes",OR(AB54="",AB54="Not started")),"Harvest-now-decrypt-later exposure and migration not started. ","")&amp;IF(AND(R54&lt;&gt;"No",OR(W54="",W54="To decide")),"Choose a target algorithm. ","")&amp;IF(AND(R54&lt;&gt;"No",W54="Keep - not quantum-vulnerable"),"Target 'Keep' conflicts with a quantum-vulnerable algorithm. ","")&amp;IF(LEFT(J54,5)="SHA-1","SHA-1 is deprecated - replace (NIST IR 8547). ","")&amp;IF(AND(R54&lt;&gt;"No",OR(N54="Roadmap - verbal only",N54="No roadmap",N54="Not asked yet")),"Get a written PQC roadmap from the vendor. ","")&amp;IF(AND(R54&lt;&gt;"No",N54=""),"Record the vendor PQC roadmap status. ","")&amp;IF(ISNUMBER(M54),IF(M54&lt;TODAY(),"Certificate or key expired. ",IF(M54-TODAY()&lt;=Assumptions!$C$25,"Expires soon - use the renewal to revisit the algorithm. ","")),"")&amp;IF(AC54="OVERDUE","Migration overdue. ","")&amp;IF(AND(R54&lt;&gt;"No",Z54=""),"Assign a migration owner. ",""))</f>
        <v/>
      </c>
    </row>
    <row r="55" customFormat="false" ht="15" hidden="false" customHeight="false" outlineLevel="0" collapsed="false">
      <c r="A55" s="16"/>
      <c r="B55" s="16"/>
      <c r="C55" s="16"/>
      <c r="D55" s="16"/>
      <c r="E55" s="16"/>
      <c r="F55" s="16"/>
      <c r="G55" s="16"/>
      <c r="H55" s="16"/>
      <c r="I55" s="16"/>
      <c r="J55" s="16"/>
      <c r="K55" s="16"/>
      <c r="L55" s="16"/>
      <c r="M55" s="17"/>
      <c r="N55" s="16"/>
      <c r="O55" s="16"/>
      <c r="P55" s="16"/>
      <c r="Q55" s="18" t="str">
        <f aca="false">IF(A55="","",IF(J55="","Unknown",IFERROR(INDEX('Algorithm Reference'!$C$6:$C$41,MATCH(J55,'Algorithm Reference'!$B$6:$B$41,0)),"Not in reference")))</f>
        <v/>
      </c>
      <c r="R55" s="18" t="str">
        <f aca="false">IF(A55="","",IF(J55="","Unknown - investigate",IFERROR(INDEX('Algorithm Reference'!$E$6:$E$41,MATCH(J55,'Algorithm Reference'!$B$6:$B$41,0)),"Unknown - investigate")))</f>
        <v/>
      </c>
      <c r="S55" s="18" t="str">
        <f aca="false">IF(OR(O55="",P55=""),"",O55+P55)</f>
        <v/>
      </c>
      <c r="T55" s="18" t="str">
        <f aca="false">IF(A55="","",IF(R55="No","N/A - not quantum-vulnerable",IF(OR(O55="",P55=""),"Enter X and Y",IF(Assumptions!$C$6="","Set Z on Assumptions",IF(O55+P55&gt;Assumptions!$C$6,"AT RISK (X+Y &gt; Z)","Within Z (X+Y &lt;= Z)")))))</f>
        <v/>
      </c>
      <c r="U55" s="18" t="str">
        <f aca="false">IF(A55="","",IF(AND(R55&lt;&gt;"No",OR(I55="Key establishment / encryption in transit",I55="Key wrapping / key transport",I55="Mixed or unknown",I55=""),OR(N(O55)&gt;0,G55="Confidential",G55="Restricted")),IF(F55="Yes","Yes - internet-facing","Yes"),"No"))</f>
        <v/>
      </c>
      <c r="V55" s="18" t="str">
        <f aca="false">IF(A55="","",IF(R55="No","Keep - not quantum-vulnerable (review key size)",IF(I55="Digital signature / authentication","ML-DSA-65 (FIPS 204); SLH-DSA (FIPS 205) if hash-based is preferred",IF(OR(I55="Key establishment / encryption in transit",I55="Key wrapping / key transport"),"ML-KEM-768 (FIPS 203); hybrid X25519MLKEM768 for TLS 1.3",IF(I55="Mixed or unknown","Both: ML-KEM (FIPS 203) for keys, ML-DSA (FIPS 204) for signatures","Pick the crypto function first")))))</f>
        <v/>
      </c>
      <c r="W55" s="16"/>
      <c r="X55" s="18" t="str">
        <f aca="false">IF(A55="","",IF(R55="No",0,IF(LEFT(T55,7)="AT RISK",Assumptions!$C$13,0)+IF(LEFT(U55,3)="Yes",Assumptions!$C$14,0)+IF(F55="Yes",Assumptions!$C$15,0)+IF(G55="Restricted",Assumptions!$C$16,IF(G55="Confidential",Assumptions!$C$17,IF(G55="Internal",Assumptions!$C$18,0)))+IF(OR(N55="Roadmap - verbal only",N55="No roadmap",N55="Not asked yet",N55=""),Assumptions!$C$19,0)+IF(E55="Production",Assumptions!$C$20,0)+IF(AND(ISNUMBER(P55),N(P55)&gt;=Assumptions!$C$22),Assumptions!$C$21,0)))</f>
        <v/>
      </c>
      <c r="Y55" s="18" t="str">
        <f aca="false">IF(X55="","",IF(R55="No","None",IF(X55&gt;=Assumptions!$C$23,"High",IF(X55&gt;=Assumptions!$C$24,"Medium","Low"))))</f>
        <v/>
      </c>
      <c r="Z55" s="16"/>
      <c r="AA55" s="17"/>
      <c r="AB55" s="16"/>
      <c r="AC55" s="18" t="str">
        <f aca="true">IF(OR(AA55="",AB55="Hybrid deployed",AB55="PQC deployed",AB55="Not required (not vulnerable)",AB55="Risk accepted"),"",IF(AA55&lt;TODAY(),"OVERDUE",""))</f>
        <v/>
      </c>
      <c r="AD55" s="18" t="str">
        <f aca="true">IF(A55="","",IF(B55="","Name the system. ","")&amp;IF(LEFT(R55,7)="Unknown","Algorithm unknown - scan or ask the vendor. ","")&amp;IF(AND(R55&lt;&gt;"No",Assumptions!$C$6=""),"Set Z on Assumptions. ","")&amp;IF(AND(R55&lt;&gt;"No",OR(O55="",P55="")),"Enter X and Y. ","")&amp;IF(LEFT(T55,7)="AT RISK","Mosca: X+Y exceeds Z - migration should already be under way. ","")&amp;IF(AND(LEFT(U55,3)="Yes",OR(AB55="",AB55="Not started")),"Harvest-now-decrypt-later exposure and migration not started. ","")&amp;IF(AND(R55&lt;&gt;"No",OR(W55="",W55="To decide")),"Choose a target algorithm. ","")&amp;IF(AND(R55&lt;&gt;"No",W55="Keep - not quantum-vulnerable"),"Target 'Keep' conflicts with a quantum-vulnerable algorithm. ","")&amp;IF(LEFT(J55,5)="SHA-1","SHA-1 is deprecated - replace (NIST IR 8547). ","")&amp;IF(AND(R55&lt;&gt;"No",OR(N55="Roadmap - verbal only",N55="No roadmap",N55="Not asked yet")),"Get a written PQC roadmap from the vendor. ","")&amp;IF(AND(R55&lt;&gt;"No",N55=""),"Record the vendor PQC roadmap status. ","")&amp;IF(ISNUMBER(M55),IF(M55&lt;TODAY(),"Certificate or key expired. ",IF(M55-TODAY()&lt;=Assumptions!$C$25,"Expires soon - use the renewal to revisit the algorithm. ","")),"")&amp;IF(AC55="OVERDUE","Migration overdue. ","")&amp;IF(AND(R55&lt;&gt;"No",Z55=""),"Assign a migration owner. ",""))</f>
        <v/>
      </c>
    </row>
    <row r="56" customFormat="false" ht="15" hidden="false" customHeight="false" outlineLevel="0" collapsed="false">
      <c r="A56" s="16"/>
      <c r="B56" s="16"/>
      <c r="C56" s="16"/>
      <c r="D56" s="16"/>
      <c r="E56" s="16"/>
      <c r="F56" s="16"/>
      <c r="G56" s="16"/>
      <c r="H56" s="16"/>
      <c r="I56" s="16"/>
      <c r="J56" s="16"/>
      <c r="K56" s="16"/>
      <c r="L56" s="16"/>
      <c r="M56" s="17"/>
      <c r="N56" s="16"/>
      <c r="O56" s="16"/>
      <c r="P56" s="16"/>
      <c r="Q56" s="18" t="str">
        <f aca="false">IF(A56="","",IF(J56="","Unknown",IFERROR(INDEX('Algorithm Reference'!$C$6:$C$41,MATCH(J56,'Algorithm Reference'!$B$6:$B$41,0)),"Not in reference")))</f>
        <v/>
      </c>
      <c r="R56" s="18" t="str">
        <f aca="false">IF(A56="","",IF(J56="","Unknown - investigate",IFERROR(INDEX('Algorithm Reference'!$E$6:$E$41,MATCH(J56,'Algorithm Reference'!$B$6:$B$41,0)),"Unknown - investigate")))</f>
        <v/>
      </c>
      <c r="S56" s="18" t="str">
        <f aca="false">IF(OR(O56="",P56=""),"",O56+P56)</f>
        <v/>
      </c>
      <c r="T56" s="18" t="str">
        <f aca="false">IF(A56="","",IF(R56="No","N/A - not quantum-vulnerable",IF(OR(O56="",P56=""),"Enter X and Y",IF(Assumptions!$C$6="","Set Z on Assumptions",IF(O56+P56&gt;Assumptions!$C$6,"AT RISK (X+Y &gt; Z)","Within Z (X+Y &lt;= Z)")))))</f>
        <v/>
      </c>
      <c r="U56" s="18" t="str">
        <f aca="false">IF(A56="","",IF(AND(R56&lt;&gt;"No",OR(I56="Key establishment / encryption in transit",I56="Key wrapping / key transport",I56="Mixed or unknown",I56=""),OR(N(O56)&gt;0,G56="Confidential",G56="Restricted")),IF(F56="Yes","Yes - internet-facing","Yes"),"No"))</f>
        <v/>
      </c>
      <c r="V56" s="18" t="str">
        <f aca="false">IF(A56="","",IF(R56="No","Keep - not quantum-vulnerable (review key size)",IF(I56="Digital signature / authentication","ML-DSA-65 (FIPS 204); SLH-DSA (FIPS 205) if hash-based is preferred",IF(OR(I56="Key establishment / encryption in transit",I56="Key wrapping / key transport"),"ML-KEM-768 (FIPS 203); hybrid X25519MLKEM768 for TLS 1.3",IF(I56="Mixed or unknown","Both: ML-KEM (FIPS 203) for keys, ML-DSA (FIPS 204) for signatures","Pick the crypto function first")))))</f>
        <v/>
      </c>
      <c r="W56" s="16"/>
      <c r="X56" s="18" t="str">
        <f aca="false">IF(A56="","",IF(R56="No",0,IF(LEFT(T56,7)="AT RISK",Assumptions!$C$13,0)+IF(LEFT(U56,3)="Yes",Assumptions!$C$14,0)+IF(F56="Yes",Assumptions!$C$15,0)+IF(G56="Restricted",Assumptions!$C$16,IF(G56="Confidential",Assumptions!$C$17,IF(G56="Internal",Assumptions!$C$18,0)))+IF(OR(N56="Roadmap - verbal only",N56="No roadmap",N56="Not asked yet",N56=""),Assumptions!$C$19,0)+IF(E56="Production",Assumptions!$C$20,0)+IF(AND(ISNUMBER(P56),N(P56)&gt;=Assumptions!$C$22),Assumptions!$C$21,0)))</f>
        <v/>
      </c>
      <c r="Y56" s="18" t="str">
        <f aca="false">IF(X56="","",IF(R56="No","None",IF(X56&gt;=Assumptions!$C$23,"High",IF(X56&gt;=Assumptions!$C$24,"Medium","Low"))))</f>
        <v/>
      </c>
      <c r="Z56" s="16"/>
      <c r="AA56" s="17"/>
      <c r="AB56" s="16"/>
      <c r="AC56" s="18" t="str">
        <f aca="true">IF(OR(AA56="",AB56="Hybrid deployed",AB56="PQC deployed",AB56="Not required (not vulnerable)",AB56="Risk accepted"),"",IF(AA56&lt;TODAY(),"OVERDUE",""))</f>
        <v/>
      </c>
      <c r="AD56" s="18" t="str">
        <f aca="true">IF(A56="","",IF(B56="","Name the system. ","")&amp;IF(LEFT(R56,7)="Unknown","Algorithm unknown - scan or ask the vendor. ","")&amp;IF(AND(R56&lt;&gt;"No",Assumptions!$C$6=""),"Set Z on Assumptions. ","")&amp;IF(AND(R56&lt;&gt;"No",OR(O56="",P56="")),"Enter X and Y. ","")&amp;IF(LEFT(T56,7)="AT RISK","Mosca: X+Y exceeds Z - migration should already be under way. ","")&amp;IF(AND(LEFT(U56,3)="Yes",OR(AB56="",AB56="Not started")),"Harvest-now-decrypt-later exposure and migration not started. ","")&amp;IF(AND(R56&lt;&gt;"No",OR(W56="",W56="To decide")),"Choose a target algorithm. ","")&amp;IF(AND(R56&lt;&gt;"No",W56="Keep - not quantum-vulnerable"),"Target 'Keep' conflicts with a quantum-vulnerable algorithm. ","")&amp;IF(LEFT(J56,5)="SHA-1","SHA-1 is deprecated - replace (NIST IR 8547). ","")&amp;IF(AND(R56&lt;&gt;"No",OR(N56="Roadmap - verbal only",N56="No roadmap",N56="Not asked yet")),"Get a written PQC roadmap from the vendor. ","")&amp;IF(AND(R56&lt;&gt;"No",N56=""),"Record the vendor PQC roadmap status. ","")&amp;IF(ISNUMBER(M56),IF(M56&lt;TODAY(),"Certificate or key expired. ",IF(M56-TODAY()&lt;=Assumptions!$C$25,"Expires soon - use the renewal to revisit the algorithm. ","")),"")&amp;IF(AC56="OVERDUE","Migration overdue. ","")&amp;IF(AND(R56&lt;&gt;"No",Z56=""),"Assign a migration owner. ",""))</f>
        <v/>
      </c>
    </row>
    <row r="57" customFormat="false" ht="15" hidden="false" customHeight="false" outlineLevel="0" collapsed="false">
      <c r="A57" s="16"/>
      <c r="B57" s="16"/>
      <c r="C57" s="16"/>
      <c r="D57" s="16"/>
      <c r="E57" s="16"/>
      <c r="F57" s="16"/>
      <c r="G57" s="16"/>
      <c r="H57" s="16"/>
      <c r="I57" s="16"/>
      <c r="J57" s="16"/>
      <c r="K57" s="16"/>
      <c r="L57" s="16"/>
      <c r="M57" s="17"/>
      <c r="N57" s="16"/>
      <c r="O57" s="16"/>
      <c r="P57" s="16"/>
      <c r="Q57" s="18" t="str">
        <f aca="false">IF(A57="","",IF(J57="","Unknown",IFERROR(INDEX('Algorithm Reference'!$C$6:$C$41,MATCH(J57,'Algorithm Reference'!$B$6:$B$41,0)),"Not in reference")))</f>
        <v/>
      </c>
      <c r="R57" s="18" t="str">
        <f aca="false">IF(A57="","",IF(J57="","Unknown - investigate",IFERROR(INDEX('Algorithm Reference'!$E$6:$E$41,MATCH(J57,'Algorithm Reference'!$B$6:$B$41,0)),"Unknown - investigate")))</f>
        <v/>
      </c>
      <c r="S57" s="18" t="str">
        <f aca="false">IF(OR(O57="",P57=""),"",O57+P57)</f>
        <v/>
      </c>
      <c r="T57" s="18" t="str">
        <f aca="false">IF(A57="","",IF(R57="No","N/A - not quantum-vulnerable",IF(OR(O57="",P57=""),"Enter X and Y",IF(Assumptions!$C$6="","Set Z on Assumptions",IF(O57+P57&gt;Assumptions!$C$6,"AT RISK (X+Y &gt; Z)","Within Z (X+Y &lt;= Z)")))))</f>
        <v/>
      </c>
      <c r="U57" s="18" t="str">
        <f aca="false">IF(A57="","",IF(AND(R57&lt;&gt;"No",OR(I57="Key establishment / encryption in transit",I57="Key wrapping / key transport",I57="Mixed or unknown",I57=""),OR(N(O57)&gt;0,G57="Confidential",G57="Restricted")),IF(F57="Yes","Yes - internet-facing","Yes"),"No"))</f>
        <v/>
      </c>
      <c r="V57" s="18" t="str">
        <f aca="false">IF(A57="","",IF(R57="No","Keep - not quantum-vulnerable (review key size)",IF(I57="Digital signature / authentication","ML-DSA-65 (FIPS 204); SLH-DSA (FIPS 205) if hash-based is preferred",IF(OR(I57="Key establishment / encryption in transit",I57="Key wrapping / key transport"),"ML-KEM-768 (FIPS 203); hybrid X25519MLKEM768 for TLS 1.3",IF(I57="Mixed or unknown","Both: ML-KEM (FIPS 203) for keys, ML-DSA (FIPS 204) for signatures","Pick the crypto function first")))))</f>
        <v/>
      </c>
      <c r="W57" s="16"/>
      <c r="X57" s="18" t="str">
        <f aca="false">IF(A57="","",IF(R57="No",0,IF(LEFT(T57,7)="AT RISK",Assumptions!$C$13,0)+IF(LEFT(U57,3)="Yes",Assumptions!$C$14,0)+IF(F57="Yes",Assumptions!$C$15,0)+IF(G57="Restricted",Assumptions!$C$16,IF(G57="Confidential",Assumptions!$C$17,IF(G57="Internal",Assumptions!$C$18,0)))+IF(OR(N57="Roadmap - verbal only",N57="No roadmap",N57="Not asked yet",N57=""),Assumptions!$C$19,0)+IF(E57="Production",Assumptions!$C$20,0)+IF(AND(ISNUMBER(P57),N(P57)&gt;=Assumptions!$C$22),Assumptions!$C$21,0)))</f>
        <v/>
      </c>
      <c r="Y57" s="18" t="str">
        <f aca="false">IF(X57="","",IF(R57="No","None",IF(X57&gt;=Assumptions!$C$23,"High",IF(X57&gt;=Assumptions!$C$24,"Medium","Low"))))</f>
        <v/>
      </c>
      <c r="Z57" s="16"/>
      <c r="AA57" s="17"/>
      <c r="AB57" s="16"/>
      <c r="AC57" s="18" t="str">
        <f aca="true">IF(OR(AA57="",AB57="Hybrid deployed",AB57="PQC deployed",AB57="Not required (not vulnerable)",AB57="Risk accepted"),"",IF(AA57&lt;TODAY(),"OVERDUE",""))</f>
        <v/>
      </c>
      <c r="AD57" s="18" t="str">
        <f aca="true">IF(A57="","",IF(B57="","Name the system. ","")&amp;IF(LEFT(R57,7)="Unknown","Algorithm unknown - scan or ask the vendor. ","")&amp;IF(AND(R57&lt;&gt;"No",Assumptions!$C$6=""),"Set Z on Assumptions. ","")&amp;IF(AND(R57&lt;&gt;"No",OR(O57="",P57="")),"Enter X and Y. ","")&amp;IF(LEFT(T57,7)="AT RISK","Mosca: X+Y exceeds Z - migration should already be under way. ","")&amp;IF(AND(LEFT(U57,3)="Yes",OR(AB57="",AB57="Not started")),"Harvest-now-decrypt-later exposure and migration not started. ","")&amp;IF(AND(R57&lt;&gt;"No",OR(W57="",W57="To decide")),"Choose a target algorithm. ","")&amp;IF(AND(R57&lt;&gt;"No",W57="Keep - not quantum-vulnerable"),"Target 'Keep' conflicts with a quantum-vulnerable algorithm. ","")&amp;IF(LEFT(J57,5)="SHA-1","SHA-1 is deprecated - replace (NIST IR 8547). ","")&amp;IF(AND(R57&lt;&gt;"No",OR(N57="Roadmap - verbal only",N57="No roadmap",N57="Not asked yet")),"Get a written PQC roadmap from the vendor. ","")&amp;IF(AND(R57&lt;&gt;"No",N57=""),"Record the vendor PQC roadmap status. ","")&amp;IF(ISNUMBER(M57),IF(M57&lt;TODAY(),"Certificate or key expired. ",IF(M57-TODAY()&lt;=Assumptions!$C$25,"Expires soon - use the renewal to revisit the algorithm. ","")),"")&amp;IF(AC57="OVERDUE","Migration overdue. ","")&amp;IF(AND(R57&lt;&gt;"No",Z57=""),"Assign a migration owner. ",""))</f>
        <v/>
      </c>
    </row>
    <row r="58" customFormat="false" ht="15" hidden="false" customHeight="false" outlineLevel="0" collapsed="false">
      <c r="A58" s="16"/>
      <c r="B58" s="16"/>
      <c r="C58" s="16"/>
      <c r="D58" s="16"/>
      <c r="E58" s="16"/>
      <c r="F58" s="16"/>
      <c r="G58" s="16"/>
      <c r="H58" s="16"/>
      <c r="I58" s="16"/>
      <c r="J58" s="16"/>
      <c r="K58" s="16"/>
      <c r="L58" s="16"/>
      <c r="M58" s="17"/>
      <c r="N58" s="16"/>
      <c r="O58" s="16"/>
      <c r="P58" s="16"/>
      <c r="Q58" s="18" t="str">
        <f aca="false">IF(A58="","",IF(J58="","Unknown",IFERROR(INDEX('Algorithm Reference'!$C$6:$C$41,MATCH(J58,'Algorithm Reference'!$B$6:$B$41,0)),"Not in reference")))</f>
        <v/>
      </c>
      <c r="R58" s="18" t="str">
        <f aca="false">IF(A58="","",IF(J58="","Unknown - investigate",IFERROR(INDEX('Algorithm Reference'!$E$6:$E$41,MATCH(J58,'Algorithm Reference'!$B$6:$B$41,0)),"Unknown - investigate")))</f>
        <v/>
      </c>
      <c r="S58" s="18" t="str">
        <f aca="false">IF(OR(O58="",P58=""),"",O58+P58)</f>
        <v/>
      </c>
      <c r="T58" s="18" t="str">
        <f aca="false">IF(A58="","",IF(R58="No","N/A - not quantum-vulnerable",IF(OR(O58="",P58=""),"Enter X and Y",IF(Assumptions!$C$6="","Set Z on Assumptions",IF(O58+P58&gt;Assumptions!$C$6,"AT RISK (X+Y &gt; Z)","Within Z (X+Y &lt;= Z)")))))</f>
        <v/>
      </c>
      <c r="U58" s="18" t="str">
        <f aca="false">IF(A58="","",IF(AND(R58&lt;&gt;"No",OR(I58="Key establishment / encryption in transit",I58="Key wrapping / key transport",I58="Mixed or unknown",I58=""),OR(N(O58)&gt;0,G58="Confidential",G58="Restricted")),IF(F58="Yes","Yes - internet-facing","Yes"),"No"))</f>
        <v/>
      </c>
      <c r="V58" s="18" t="str">
        <f aca="false">IF(A58="","",IF(R58="No","Keep - not quantum-vulnerable (review key size)",IF(I58="Digital signature / authentication","ML-DSA-65 (FIPS 204); SLH-DSA (FIPS 205) if hash-based is preferred",IF(OR(I58="Key establishment / encryption in transit",I58="Key wrapping / key transport"),"ML-KEM-768 (FIPS 203); hybrid X25519MLKEM768 for TLS 1.3",IF(I58="Mixed or unknown","Both: ML-KEM (FIPS 203) for keys, ML-DSA (FIPS 204) for signatures","Pick the crypto function first")))))</f>
        <v/>
      </c>
      <c r="W58" s="16"/>
      <c r="X58" s="18" t="str">
        <f aca="false">IF(A58="","",IF(R58="No",0,IF(LEFT(T58,7)="AT RISK",Assumptions!$C$13,0)+IF(LEFT(U58,3)="Yes",Assumptions!$C$14,0)+IF(F58="Yes",Assumptions!$C$15,0)+IF(G58="Restricted",Assumptions!$C$16,IF(G58="Confidential",Assumptions!$C$17,IF(G58="Internal",Assumptions!$C$18,0)))+IF(OR(N58="Roadmap - verbal only",N58="No roadmap",N58="Not asked yet",N58=""),Assumptions!$C$19,0)+IF(E58="Production",Assumptions!$C$20,0)+IF(AND(ISNUMBER(P58),N(P58)&gt;=Assumptions!$C$22),Assumptions!$C$21,0)))</f>
        <v/>
      </c>
      <c r="Y58" s="18" t="str">
        <f aca="false">IF(X58="","",IF(R58="No","None",IF(X58&gt;=Assumptions!$C$23,"High",IF(X58&gt;=Assumptions!$C$24,"Medium","Low"))))</f>
        <v/>
      </c>
      <c r="Z58" s="16"/>
      <c r="AA58" s="17"/>
      <c r="AB58" s="16"/>
      <c r="AC58" s="18" t="str">
        <f aca="true">IF(OR(AA58="",AB58="Hybrid deployed",AB58="PQC deployed",AB58="Not required (not vulnerable)",AB58="Risk accepted"),"",IF(AA58&lt;TODAY(),"OVERDUE",""))</f>
        <v/>
      </c>
      <c r="AD58" s="18" t="str">
        <f aca="true">IF(A58="","",IF(B58="","Name the system. ","")&amp;IF(LEFT(R58,7)="Unknown","Algorithm unknown - scan or ask the vendor. ","")&amp;IF(AND(R58&lt;&gt;"No",Assumptions!$C$6=""),"Set Z on Assumptions. ","")&amp;IF(AND(R58&lt;&gt;"No",OR(O58="",P58="")),"Enter X and Y. ","")&amp;IF(LEFT(T58,7)="AT RISK","Mosca: X+Y exceeds Z - migration should already be under way. ","")&amp;IF(AND(LEFT(U58,3)="Yes",OR(AB58="",AB58="Not started")),"Harvest-now-decrypt-later exposure and migration not started. ","")&amp;IF(AND(R58&lt;&gt;"No",OR(W58="",W58="To decide")),"Choose a target algorithm. ","")&amp;IF(AND(R58&lt;&gt;"No",W58="Keep - not quantum-vulnerable"),"Target 'Keep' conflicts with a quantum-vulnerable algorithm. ","")&amp;IF(LEFT(J58,5)="SHA-1","SHA-1 is deprecated - replace (NIST IR 8547). ","")&amp;IF(AND(R58&lt;&gt;"No",OR(N58="Roadmap - verbal only",N58="No roadmap",N58="Not asked yet")),"Get a written PQC roadmap from the vendor. ","")&amp;IF(AND(R58&lt;&gt;"No",N58=""),"Record the vendor PQC roadmap status. ","")&amp;IF(ISNUMBER(M58),IF(M58&lt;TODAY(),"Certificate or key expired. ",IF(M58-TODAY()&lt;=Assumptions!$C$25,"Expires soon - use the renewal to revisit the algorithm. ","")),"")&amp;IF(AC58="OVERDUE","Migration overdue. ","")&amp;IF(AND(R58&lt;&gt;"No",Z58=""),"Assign a migration owner. ",""))</f>
        <v/>
      </c>
    </row>
    <row r="59" customFormat="false" ht="15" hidden="false" customHeight="false" outlineLevel="0" collapsed="false">
      <c r="A59" s="16"/>
      <c r="B59" s="16"/>
      <c r="C59" s="16"/>
      <c r="D59" s="16"/>
      <c r="E59" s="16"/>
      <c r="F59" s="16"/>
      <c r="G59" s="16"/>
      <c r="H59" s="16"/>
      <c r="I59" s="16"/>
      <c r="J59" s="16"/>
      <c r="K59" s="16"/>
      <c r="L59" s="16"/>
      <c r="M59" s="17"/>
      <c r="N59" s="16"/>
      <c r="O59" s="16"/>
      <c r="P59" s="16"/>
      <c r="Q59" s="18" t="str">
        <f aca="false">IF(A59="","",IF(J59="","Unknown",IFERROR(INDEX('Algorithm Reference'!$C$6:$C$41,MATCH(J59,'Algorithm Reference'!$B$6:$B$41,0)),"Not in reference")))</f>
        <v/>
      </c>
      <c r="R59" s="18" t="str">
        <f aca="false">IF(A59="","",IF(J59="","Unknown - investigate",IFERROR(INDEX('Algorithm Reference'!$E$6:$E$41,MATCH(J59,'Algorithm Reference'!$B$6:$B$41,0)),"Unknown - investigate")))</f>
        <v/>
      </c>
      <c r="S59" s="18" t="str">
        <f aca="false">IF(OR(O59="",P59=""),"",O59+P59)</f>
        <v/>
      </c>
      <c r="T59" s="18" t="str">
        <f aca="false">IF(A59="","",IF(R59="No","N/A - not quantum-vulnerable",IF(OR(O59="",P59=""),"Enter X and Y",IF(Assumptions!$C$6="","Set Z on Assumptions",IF(O59+P59&gt;Assumptions!$C$6,"AT RISK (X+Y &gt; Z)","Within Z (X+Y &lt;= Z)")))))</f>
        <v/>
      </c>
      <c r="U59" s="18" t="str">
        <f aca="false">IF(A59="","",IF(AND(R59&lt;&gt;"No",OR(I59="Key establishment / encryption in transit",I59="Key wrapping / key transport",I59="Mixed or unknown",I59=""),OR(N(O59)&gt;0,G59="Confidential",G59="Restricted")),IF(F59="Yes","Yes - internet-facing","Yes"),"No"))</f>
        <v/>
      </c>
      <c r="V59" s="18" t="str">
        <f aca="false">IF(A59="","",IF(R59="No","Keep - not quantum-vulnerable (review key size)",IF(I59="Digital signature / authentication","ML-DSA-65 (FIPS 204); SLH-DSA (FIPS 205) if hash-based is preferred",IF(OR(I59="Key establishment / encryption in transit",I59="Key wrapping / key transport"),"ML-KEM-768 (FIPS 203); hybrid X25519MLKEM768 for TLS 1.3",IF(I59="Mixed or unknown","Both: ML-KEM (FIPS 203) for keys, ML-DSA (FIPS 204) for signatures","Pick the crypto function first")))))</f>
        <v/>
      </c>
      <c r="W59" s="16"/>
      <c r="X59" s="18" t="str">
        <f aca="false">IF(A59="","",IF(R59="No",0,IF(LEFT(T59,7)="AT RISK",Assumptions!$C$13,0)+IF(LEFT(U59,3)="Yes",Assumptions!$C$14,0)+IF(F59="Yes",Assumptions!$C$15,0)+IF(G59="Restricted",Assumptions!$C$16,IF(G59="Confidential",Assumptions!$C$17,IF(G59="Internal",Assumptions!$C$18,0)))+IF(OR(N59="Roadmap - verbal only",N59="No roadmap",N59="Not asked yet",N59=""),Assumptions!$C$19,0)+IF(E59="Production",Assumptions!$C$20,0)+IF(AND(ISNUMBER(P59),N(P59)&gt;=Assumptions!$C$22),Assumptions!$C$21,0)))</f>
        <v/>
      </c>
      <c r="Y59" s="18" t="str">
        <f aca="false">IF(X59="","",IF(R59="No","None",IF(X59&gt;=Assumptions!$C$23,"High",IF(X59&gt;=Assumptions!$C$24,"Medium","Low"))))</f>
        <v/>
      </c>
      <c r="Z59" s="16"/>
      <c r="AA59" s="17"/>
      <c r="AB59" s="16"/>
      <c r="AC59" s="18" t="str">
        <f aca="true">IF(OR(AA59="",AB59="Hybrid deployed",AB59="PQC deployed",AB59="Not required (not vulnerable)",AB59="Risk accepted"),"",IF(AA59&lt;TODAY(),"OVERDUE",""))</f>
        <v/>
      </c>
      <c r="AD59" s="18" t="str">
        <f aca="true">IF(A59="","",IF(B59="","Name the system. ","")&amp;IF(LEFT(R59,7)="Unknown","Algorithm unknown - scan or ask the vendor. ","")&amp;IF(AND(R59&lt;&gt;"No",Assumptions!$C$6=""),"Set Z on Assumptions. ","")&amp;IF(AND(R59&lt;&gt;"No",OR(O59="",P59="")),"Enter X and Y. ","")&amp;IF(LEFT(T59,7)="AT RISK","Mosca: X+Y exceeds Z - migration should already be under way. ","")&amp;IF(AND(LEFT(U59,3)="Yes",OR(AB59="",AB59="Not started")),"Harvest-now-decrypt-later exposure and migration not started. ","")&amp;IF(AND(R59&lt;&gt;"No",OR(W59="",W59="To decide")),"Choose a target algorithm. ","")&amp;IF(AND(R59&lt;&gt;"No",W59="Keep - not quantum-vulnerable"),"Target 'Keep' conflicts with a quantum-vulnerable algorithm. ","")&amp;IF(LEFT(J59,5)="SHA-1","SHA-1 is deprecated - replace (NIST IR 8547). ","")&amp;IF(AND(R59&lt;&gt;"No",OR(N59="Roadmap - verbal only",N59="No roadmap",N59="Not asked yet")),"Get a written PQC roadmap from the vendor. ","")&amp;IF(AND(R59&lt;&gt;"No",N59=""),"Record the vendor PQC roadmap status. ","")&amp;IF(ISNUMBER(M59),IF(M59&lt;TODAY(),"Certificate or key expired. ",IF(M59-TODAY()&lt;=Assumptions!$C$25,"Expires soon - use the renewal to revisit the algorithm. ","")),"")&amp;IF(AC59="OVERDUE","Migration overdue. ","")&amp;IF(AND(R59&lt;&gt;"No",Z59=""),"Assign a migration owner. ",""))</f>
        <v/>
      </c>
    </row>
    <row r="60" customFormat="false" ht="15" hidden="false" customHeight="false" outlineLevel="0" collapsed="false">
      <c r="A60" s="16"/>
      <c r="B60" s="16"/>
      <c r="C60" s="16"/>
      <c r="D60" s="16"/>
      <c r="E60" s="16"/>
      <c r="F60" s="16"/>
      <c r="G60" s="16"/>
      <c r="H60" s="16"/>
      <c r="I60" s="16"/>
      <c r="J60" s="16"/>
      <c r="K60" s="16"/>
      <c r="L60" s="16"/>
      <c r="M60" s="17"/>
      <c r="N60" s="16"/>
      <c r="O60" s="16"/>
      <c r="P60" s="16"/>
      <c r="Q60" s="18" t="str">
        <f aca="false">IF(A60="","",IF(J60="","Unknown",IFERROR(INDEX('Algorithm Reference'!$C$6:$C$41,MATCH(J60,'Algorithm Reference'!$B$6:$B$41,0)),"Not in reference")))</f>
        <v/>
      </c>
      <c r="R60" s="18" t="str">
        <f aca="false">IF(A60="","",IF(J60="","Unknown - investigate",IFERROR(INDEX('Algorithm Reference'!$E$6:$E$41,MATCH(J60,'Algorithm Reference'!$B$6:$B$41,0)),"Unknown - investigate")))</f>
        <v/>
      </c>
      <c r="S60" s="18" t="str">
        <f aca="false">IF(OR(O60="",P60=""),"",O60+P60)</f>
        <v/>
      </c>
      <c r="T60" s="18" t="str">
        <f aca="false">IF(A60="","",IF(R60="No","N/A - not quantum-vulnerable",IF(OR(O60="",P60=""),"Enter X and Y",IF(Assumptions!$C$6="","Set Z on Assumptions",IF(O60+P60&gt;Assumptions!$C$6,"AT RISK (X+Y &gt; Z)","Within Z (X+Y &lt;= Z)")))))</f>
        <v/>
      </c>
      <c r="U60" s="18" t="str">
        <f aca="false">IF(A60="","",IF(AND(R60&lt;&gt;"No",OR(I60="Key establishment / encryption in transit",I60="Key wrapping / key transport",I60="Mixed or unknown",I60=""),OR(N(O60)&gt;0,G60="Confidential",G60="Restricted")),IF(F60="Yes","Yes - internet-facing","Yes"),"No"))</f>
        <v/>
      </c>
      <c r="V60" s="18" t="str">
        <f aca="false">IF(A60="","",IF(R60="No","Keep - not quantum-vulnerable (review key size)",IF(I60="Digital signature / authentication","ML-DSA-65 (FIPS 204); SLH-DSA (FIPS 205) if hash-based is preferred",IF(OR(I60="Key establishment / encryption in transit",I60="Key wrapping / key transport"),"ML-KEM-768 (FIPS 203); hybrid X25519MLKEM768 for TLS 1.3",IF(I60="Mixed or unknown","Both: ML-KEM (FIPS 203) for keys, ML-DSA (FIPS 204) for signatures","Pick the crypto function first")))))</f>
        <v/>
      </c>
      <c r="W60" s="16"/>
      <c r="X60" s="18" t="str">
        <f aca="false">IF(A60="","",IF(R60="No",0,IF(LEFT(T60,7)="AT RISK",Assumptions!$C$13,0)+IF(LEFT(U60,3)="Yes",Assumptions!$C$14,0)+IF(F60="Yes",Assumptions!$C$15,0)+IF(G60="Restricted",Assumptions!$C$16,IF(G60="Confidential",Assumptions!$C$17,IF(G60="Internal",Assumptions!$C$18,0)))+IF(OR(N60="Roadmap - verbal only",N60="No roadmap",N60="Not asked yet",N60=""),Assumptions!$C$19,0)+IF(E60="Production",Assumptions!$C$20,0)+IF(AND(ISNUMBER(P60),N(P60)&gt;=Assumptions!$C$22),Assumptions!$C$21,0)))</f>
        <v/>
      </c>
      <c r="Y60" s="18" t="str">
        <f aca="false">IF(X60="","",IF(R60="No","None",IF(X60&gt;=Assumptions!$C$23,"High",IF(X60&gt;=Assumptions!$C$24,"Medium","Low"))))</f>
        <v/>
      </c>
      <c r="Z60" s="16"/>
      <c r="AA60" s="17"/>
      <c r="AB60" s="16"/>
      <c r="AC60" s="18" t="str">
        <f aca="true">IF(OR(AA60="",AB60="Hybrid deployed",AB60="PQC deployed",AB60="Not required (not vulnerable)",AB60="Risk accepted"),"",IF(AA60&lt;TODAY(),"OVERDUE",""))</f>
        <v/>
      </c>
      <c r="AD60" s="18" t="str">
        <f aca="true">IF(A60="","",IF(B60="","Name the system. ","")&amp;IF(LEFT(R60,7)="Unknown","Algorithm unknown - scan or ask the vendor. ","")&amp;IF(AND(R60&lt;&gt;"No",Assumptions!$C$6=""),"Set Z on Assumptions. ","")&amp;IF(AND(R60&lt;&gt;"No",OR(O60="",P60="")),"Enter X and Y. ","")&amp;IF(LEFT(T60,7)="AT RISK","Mosca: X+Y exceeds Z - migration should already be under way. ","")&amp;IF(AND(LEFT(U60,3)="Yes",OR(AB60="",AB60="Not started")),"Harvest-now-decrypt-later exposure and migration not started. ","")&amp;IF(AND(R60&lt;&gt;"No",OR(W60="",W60="To decide")),"Choose a target algorithm. ","")&amp;IF(AND(R60&lt;&gt;"No",W60="Keep - not quantum-vulnerable"),"Target 'Keep' conflicts with a quantum-vulnerable algorithm. ","")&amp;IF(LEFT(J60,5)="SHA-1","SHA-1 is deprecated - replace (NIST IR 8547). ","")&amp;IF(AND(R60&lt;&gt;"No",OR(N60="Roadmap - verbal only",N60="No roadmap",N60="Not asked yet")),"Get a written PQC roadmap from the vendor. ","")&amp;IF(AND(R60&lt;&gt;"No",N60=""),"Record the vendor PQC roadmap status. ","")&amp;IF(ISNUMBER(M60),IF(M60&lt;TODAY(),"Certificate or key expired. ",IF(M60-TODAY()&lt;=Assumptions!$C$25,"Expires soon - use the renewal to revisit the algorithm. ","")),"")&amp;IF(AC60="OVERDUE","Migration overdue. ","")&amp;IF(AND(R60&lt;&gt;"No",Z60=""),"Assign a migration owner. ",""))</f>
        <v/>
      </c>
    </row>
    <row r="61" customFormat="false" ht="15" hidden="false" customHeight="false" outlineLevel="0" collapsed="false">
      <c r="A61" s="16"/>
      <c r="B61" s="16"/>
      <c r="C61" s="16"/>
      <c r="D61" s="16"/>
      <c r="E61" s="16"/>
      <c r="F61" s="16"/>
      <c r="G61" s="16"/>
      <c r="H61" s="16"/>
      <c r="I61" s="16"/>
      <c r="J61" s="16"/>
      <c r="K61" s="16"/>
      <c r="L61" s="16"/>
      <c r="M61" s="17"/>
      <c r="N61" s="16"/>
      <c r="O61" s="16"/>
      <c r="P61" s="16"/>
      <c r="Q61" s="18" t="str">
        <f aca="false">IF(A61="","",IF(J61="","Unknown",IFERROR(INDEX('Algorithm Reference'!$C$6:$C$41,MATCH(J61,'Algorithm Reference'!$B$6:$B$41,0)),"Not in reference")))</f>
        <v/>
      </c>
      <c r="R61" s="18" t="str">
        <f aca="false">IF(A61="","",IF(J61="","Unknown - investigate",IFERROR(INDEX('Algorithm Reference'!$E$6:$E$41,MATCH(J61,'Algorithm Reference'!$B$6:$B$41,0)),"Unknown - investigate")))</f>
        <v/>
      </c>
      <c r="S61" s="18" t="str">
        <f aca="false">IF(OR(O61="",P61=""),"",O61+P61)</f>
        <v/>
      </c>
      <c r="T61" s="18" t="str">
        <f aca="false">IF(A61="","",IF(R61="No","N/A - not quantum-vulnerable",IF(OR(O61="",P61=""),"Enter X and Y",IF(Assumptions!$C$6="","Set Z on Assumptions",IF(O61+P61&gt;Assumptions!$C$6,"AT RISK (X+Y &gt; Z)","Within Z (X+Y &lt;= Z)")))))</f>
        <v/>
      </c>
      <c r="U61" s="18" t="str">
        <f aca="false">IF(A61="","",IF(AND(R61&lt;&gt;"No",OR(I61="Key establishment / encryption in transit",I61="Key wrapping / key transport",I61="Mixed or unknown",I61=""),OR(N(O61)&gt;0,G61="Confidential",G61="Restricted")),IF(F61="Yes","Yes - internet-facing","Yes"),"No"))</f>
        <v/>
      </c>
      <c r="V61" s="18" t="str">
        <f aca="false">IF(A61="","",IF(R61="No","Keep - not quantum-vulnerable (review key size)",IF(I61="Digital signature / authentication","ML-DSA-65 (FIPS 204); SLH-DSA (FIPS 205) if hash-based is preferred",IF(OR(I61="Key establishment / encryption in transit",I61="Key wrapping / key transport"),"ML-KEM-768 (FIPS 203); hybrid X25519MLKEM768 for TLS 1.3",IF(I61="Mixed or unknown","Both: ML-KEM (FIPS 203) for keys, ML-DSA (FIPS 204) for signatures","Pick the crypto function first")))))</f>
        <v/>
      </c>
      <c r="W61" s="16"/>
      <c r="X61" s="18" t="str">
        <f aca="false">IF(A61="","",IF(R61="No",0,IF(LEFT(T61,7)="AT RISK",Assumptions!$C$13,0)+IF(LEFT(U61,3)="Yes",Assumptions!$C$14,0)+IF(F61="Yes",Assumptions!$C$15,0)+IF(G61="Restricted",Assumptions!$C$16,IF(G61="Confidential",Assumptions!$C$17,IF(G61="Internal",Assumptions!$C$18,0)))+IF(OR(N61="Roadmap - verbal only",N61="No roadmap",N61="Not asked yet",N61=""),Assumptions!$C$19,0)+IF(E61="Production",Assumptions!$C$20,0)+IF(AND(ISNUMBER(P61),N(P61)&gt;=Assumptions!$C$22),Assumptions!$C$21,0)))</f>
        <v/>
      </c>
      <c r="Y61" s="18" t="str">
        <f aca="false">IF(X61="","",IF(R61="No","None",IF(X61&gt;=Assumptions!$C$23,"High",IF(X61&gt;=Assumptions!$C$24,"Medium","Low"))))</f>
        <v/>
      </c>
      <c r="Z61" s="16"/>
      <c r="AA61" s="17"/>
      <c r="AB61" s="16"/>
      <c r="AC61" s="18" t="str">
        <f aca="true">IF(OR(AA61="",AB61="Hybrid deployed",AB61="PQC deployed",AB61="Not required (not vulnerable)",AB61="Risk accepted"),"",IF(AA61&lt;TODAY(),"OVERDUE",""))</f>
        <v/>
      </c>
      <c r="AD61" s="18" t="str">
        <f aca="true">IF(A61="","",IF(B61="","Name the system. ","")&amp;IF(LEFT(R61,7)="Unknown","Algorithm unknown - scan or ask the vendor. ","")&amp;IF(AND(R61&lt;&gt;"No",Assumptions!$C$6=""),"Set Z on Assumptions. ","")&amp;IF(AND(R61&lt;&gt;"No",OR(O61="",P61="")),"Enter X and Y. ","")&amp;IF(LEFT(T61,7)="AT RISK","Mosca: X+Y exceeds Z - migration should already be under way. ","")&amp;IF(AND(LEFT(U61,3)="Yes",OR(AB61="",AB61="Not started")),"Harvest-now-decrypt-later exposure and migration not started. ","")&amp;IF(AND(R61&lt;&gt;"No",OR(W61="",W61="To decide")),"Choose a target algorithm. ","")&amp;IF(AND(R61&lt;&gt;"No",W61="Keep - not quantum-vulnerable"),"Target 'Keep' conflicts with a quantum-vulnerable algorithm. ","")&amp;IF(LEFT(J61,5)="SHA-1","SHA-1 is deprecated - replace (NIST IR 8547). ","")&amp;IF(AND(R61&lt;&gt;"No",OR(N61="Roadmap - verbal only",N61="No roadmap",N61="Not asked yet")),"Get a written PQC roadmap from the vendor. ","")&amp;IF(AND(R61&lt;&gt;"No",N61=""),"Record the vendor PQC roadmap status. ","")&amp;IF(ISNUMBER(M61),IF(M61&lt;TODAY(),"Certificate or key expired. ",IF(M61-TODAY()&lt;=Assumptions!$C$25,"Expires soon - use the renewal to revisit the algorithm. ","")),"")&amp;IF(AC61="OVERDUE","Migration overdue. ","")&amp;IF(AND(R61&lt;&gt;"No",Z61=""),"Assign a migration owner. ",""))</f>
        <v/>
      </c>
    </row>
    <row r="62" customFormat="false" ht="15" hidden="false" customHeight="false" outlineLevel="0" collapsed="false">
      <c r="A62" s="16"/>
      <c r="B62" s="16"/>
      <c r="C62" s="16"/>
      <c r="D62" s="16"/>
      <c r="E62" s="16"/>
      <c r="F62" s="16"/>
      <c r="G62" s="16"/>
      <c r="H62" s="16"/>
      <c r="I62" s="16"/>
      <c r="J62" s="16"/>
      <c r="K62" s="16"/>
      <c r="L62" s="16"/>
      <c r="M62" s="17"/>
      <c r="N62" s="16"/>
      <c r="O62" s="16"/>
      <c r="P62" s="16"/>
      <c r="Q62" s="18" t="str">
        <f aca="false">IF(A62="","",IF(J62="","Unknown",IFERROR(INDEX('Algorithm Reference'!$C$6:$C$41,MATCH(J62,'Algorithm Reference'!$B$6:$B$41,0)),"Not in reference")))</f>
        <v/>
      </c>
      <c r="R62" s="18" t="str">
        <f aca="false">IF(A62="","",IF(J62="","Unknown - investigate",IFERROR(INDEX('Algorithm Reference'!$E$6:$E$41,MATCH(J62,'Algorithm Reference'!$B$6:$B$41,0)),"Unknown - investigate")))</f>
        <v/>
      </c>
      <c r="S62" s="18" t="str">
        <f aca="false">IF(OR(O62="",P62=""),"",O62+P62)</f>
        <v/>
      </c>
      <c r="T62" s="18" t="str">
        <f aca="false">IF(A62="","",IF(R62="No","N/A - not quantum-vulnerable",IF(OR(O62="",P62=""),"Enter X and Y",IF(Assumptions!$C$6="","Set Z on Assumptions",IF(O62+P62&gt;Assumptions!$C$6,"AT RISK (X+Y &gt; Z)","Within Z (X+Y &lt;= Z)")))))</f>
        <v/>
      </c>
      <c r="U62" s="18" t="str">
        <f aca="false">IF(A62="","",IF(AND(R62&lt;&gt;"No",OR(I62="Key establishment / encryption in transit",I62="Key wrapping / key transport",I62="Mixed or unknown",I62=""),OR(N(O62)&gt;0,G62="Confidential",G62="Restricted")),IF(F62="Yes","Yes - internet-facing","Yes"),"No"))</f>
        <v/>
      </c>
      <c r="V62" s="18" t="str">
        <f aca="false">IF(A62="","",IF(R62="No","Keep - not quantum-vulnerable (review key size)",IF(I62="Digital signature / authentication","ML-DSA-65 (FIPS 204); SLH-DSA (FIPS 205) if hash-based is preferred",IF(OR(I62="Key establishment / encryption in transit",I62="Key wrapping / key transport"),"ML-KEM-768 (FIPS 203); hybrid X25519MLKEM768 for TLS 1.3",IF(I62="Mixed or unknown","Both: ML-KEM (FIPS 203) for keys, ML-DSA (FIPS 204) for signatures","Pick the crypto function first")))))</f>
        <v/>
      </c>
      <c r="W62" s="16"/>
      <c r="X62" s="18" t="str">
        <f aca="false">IF(A62="","",IF(R62="No",0,IF(LEFT(T62,7)="AT RISK",Assumptions!$C$13,0)+IF(LEFT(U62,3)="Yes",Assumptions!$C$14,0)+IF(F62="Yes",Assumptions!$C$15,0)+IF(G62="Restricted",Assumptions!$C$16,IF(G62="Confidential",Assumptions!$C$17,IF(G62="Internal",Assumptions!$C$18,0)))+IF(OR(N62="Roadmap - verbal only",N62="No roadmap",N62="Not asked yet",N62=""),Assumptions!$C$19,0)+IF(E62="Production",Assumptions!$C$20,0)+IF(AND(ISNUMBER(P62),N(P62)&gt;=Assumptions!$C$22),Assumptions!$C$21,0)))</f>
        <v/>
      </c>
      <c r="Y62" s="18" t="str">
        <f aca="false">IF(X62="","",IF(R62="No","None",IF(X62&gt;=Assumptions!$C$23,"High",IF(X62&gt;=Assumptions!$C$24,"Medium","Low"))))</f>
        <v/>
      </c>
      <c r="Z62" s="16"/>
      <c r="AA62" s="17"/>
      <c r="AB62" s="16"/>
      <c r="AC62" s="18" t="str">
        <f aca="true">IF(OR(AA62="",AB62="Hybrid deployed",AB62="PQC deployed",AB62="Not required (not vulnerable)",AB62="Risk accepted"),"",IF(AA62&lt;TODAY(),"OVERDUE",""))</f>
        <v/>
      </c>
      <c r="AD62" s="18" t="str">
        <f aca="true">IF(A62="","",IF(B62="","Name the system. ","")&amp;IF(LEFT(R62,7)="Unknown","Algorithm unknown - scan or ask the vendor. ","")&amp;IF(AND(R62&lt;&gt;"No",Assumptions!$C$6=""),"Set Z on Assumptions. ","")&amp;IF(AND(R62&lt;&gt;"No",OR(O62="",P62="")),"Enter X and Y. ","")&amp;IF(LEFT(T62,7)="AT RISK","Mosca: X+Y exceeds Z - migration should already be under way. ","")&amp;IF(AND(LEFT(U62,3)="Yes",OR(AB62="",AB62="Not started")),"Harvest-now-decrypt-later exposure and migration not started. ","")&amp;IF(AND(R62&lt;&gt;"No",OR(W62="",W62="To decide")),"Choose a target algorithm. ","")&amp;IF(AND(R62&lt;&gt;"No",W62="Keep - not quantum-vulnerable"),"Target 'Keep' conflicts with a quantum-vulnerable algorithm. ","")&amp;IF(LEFT(J62,5)="SHA-1","SHA-1 is deprecated - replace (NIST IR 8547). ","")&amp;IF(AND(R62&lt;&gt;"No",OR(N62="Roadmap - verbal only",N62="No roadmap",N62="Not asked yet")),"Get a written PQC roadmap from the vendor. ","")&amp;IF(AND(R62&lt;&gt;"No",N62=""),"Record the vendor PQC roadmap status. ","")&amp;IF(ISNUMBER(M62),IF(M62&lt;TODAY(),"Certificate or key expired. ",IF(M62-TODAY()&lt;=Assumptions!$C$25,"Expires soon - use the renewal to revisit the algorithm. ","")),"")&amp;IF(AC62="OVERDUE","Migration overdue. ","")&amp;IF(AND(R62&lt;&gt;"No",Z62=""),"Assign a migration owner. ",""))</f>
        <v/>
      </c>
    </row>
    <row r="63" customFormat="false" ht="15" hidden="false" customHeight="false" outlineLevel="0" collapsed="false">
      <c r="A63" s="16"/>
      <c r="B63" s="16"/>
      <c r="C63" s="16"/>
      <c r="D63" s="16"/>
      <c r="E63" s="16"/>
      <c r="F63" s="16"/>
      <c r="G63" s="16"/>
      <c r="H63" s="16"/>
      <c r="I63" s="16"/>
      <c r="J63" s="16"/>
      <c r="K63" s="16"/>
      <c r="L63" s="16"/>
      <c r="M63" s="17"/>
      <c r="N63" s="16"/>
      <c r="O63" s="16"/>
      <c r="P63" s="16"/>
      <c r="Q63" s="18" t="str">
        <f aca="false">IF(A63="","",IF(J63="","Unknown",IFERROR(INDEX('Algorithm Reference'!$C$6:$C$41,MATCH(J63,'Algorithm Reference'!$B$6:$B$41,0)),"Not in reference")))</f>
        <v/>
      </c>
      <c r="R63" s="18" t="str">
        <f aca="false">IF(A63="","",IF(J63="","Unknown - investigate",IFERROR(INDEX('Algorithm Reference'!$E$6:$E$41,MATCH(J63,'Algorithm Reference'!$B$6:$B$41,0)),"Unknown - investigate")))</f>
        <v/>
      </c>
      <c r="S63" s="18" t="str">
        <f aca="false">IF(OR(O63="",P63=""),"",O63+P63)</f>
        <v/>
      </c>
      <c r="T63" s="18" t="str">
        <f aca="false">IF(A63="","",IF(R63="No","N/A - not quantum-vulnerable",IF(OR(O63="",P63=""),"Enter X and Y",IF(Assumptions!$C$6="","Set Z on Assumptions",IF(O63+P63&gt;Assumptions!$C$6,"AT RISK (X+Y &gt; Z)","Within Z (X+Y &lt;= Z)")))))</f>
        <v/>
      </c>
      <c r="U63" s="18" t="str">
        <f aca="false">IF(A63="","",IF(AND(R63&lt;&gt;"No",OR(I63="Key establishment / encryption in transit",I63="Key wrapping / key transport",I63="Mixed or unknown",I63=""),OR(N(O63)&gt;0,G63="Confidential",G63="Restricted")),IF(F63="Yes","Yes - internet-facing","Yes"),"No"))</f>
        <v/>
      </c>
      <c r="V63" s="18" t="str">
        <f aca="false">IF(A63="","",IF(R63="No","Keep - not quantum-vulnerable (review key size)",IF(I63="Digital signature / authentication","ML-DSA-65 (FIPS 204); SLH-DSA (FIPS 205) if hash-based is preferred",IF(OR(I63="Key establishment / encryption in transit",I63="Key wrapping / key transport"),"ML-KEM-768 (FIPS 203); hybrid X25519MLKEM768 for TLS 1.3",IF(I63="Mixed or unknown","Both: ML-KEM (FIPS 203) for keys, ML-DSA (FIPS 204) for signatures","Pick the crypto function first")))))</f>
        <v/>
      </c>
      <c r="W63" s="16"/>
      <c r="X63" s="18" t="str">
        <f aca="false">IF(A63="","",IF(R63="No",0,IF(LEFT(T63,7)="AT RISK",Assumptions!$C$13,0)+IF(LEFT(U63,3)="Yes",Assumptions!$C$14,0)+IF(F63="Yes",Assumptions!$C$15,0)+IF(G63="Restricted",Assumptions!$C$16,IF(G63="Confidential",Assumptions!$C$17,IF(G63="Internal",Assumptions!$C$18,0)))+IF(OR(N63="Roadmap - verbal only",N63="No roadmap",N63="Not asked yet",N63=""),Assumptions!$C$19,0)+IF(E63="Production",Assumptions!$C$20,0)+IF(AND(ISNUMBER(P63),N(P63)&gt;=Assumptions!$C$22),Assumptions!$C$21,0)))</f>
        <v/>
      </c>
      <c r="Y63" s="18" t="str">
        <f aca="false">IF(X63="","",IF(R63="No","None",IF(X63&gt;=Assumptions!$C$23,"High",IF(X63&gt;=Assumptions!$C$24,"Medium","Low"))))</f>
        <v/>
      </c>
      <c r="Z63" s="16"/>
      <c r="AA63" s="17"/>
      <c r="AB63" s="16"/>
      <c r="AC63" s="18" t="str">
        <f aca="true">IF(OR(AA63="",AB63="Hybrid deployed",AB63="PQC deployed",AB63="Not required (not vulnerable)",AB63="Risk accepted"),"",IF(AA63&lt;TODAY(),"OVERDUE",""))</f>
        <v/>
      </c>
      <c r="AD63" s="18" t="str">
        <f aca="true">IF(A63="","",IF(B63="","Name the system. ","")&amp;IF(LEFT(R63,7)="Unknown","Algorithm unknown - scan or ask the vendor. ","")&amp;IF(AND(R63&lt;&gt;"No",Assumptions!$C$6=""),"Set Z on Assumptions. ","")&amp;IF(AND(R63&lt;&gt;"No",OR(O63="",P63="")),"Enter X and Y. ","")&amp;IF(LEFT(T63,7)="AT RISK","Mosca: X+Y exceeds Z - migration should already be under way. ","")&amp;IF(AND(LEFT(U63,3)="Yes",OR(AB63="",AB63="Not started")),"Harvest-now-decrypt-later exposure and migration not started. ","")&amp;IF(AND(R63&lt;&gt;"No",OR(W63="",W63="To decide")),"Choose a target algorithm. ","")&amp;IF(AND(R63&lt;&gt;"No",W63="Keep - not quantum-vulnerable"),"Target 'Keep' conflicts with a quantum-vulnerable algorithm. ","")&amp;IF(LEFT(J63,5)="SHA-1","SHA-1 is deprecated - replace (NIST IR 8547). ","")&amp;IF(AND(R63&lt;&gt;"No",OR(N63="Roadmap - verbal only",N63="No roadmap",N63="Not asked yet")),"Get a written PQC roadmap from the vendor. ","")&amp;IF(AND(R63&lt;&gt;"No",N63=""),"Record the vendor PQC roadmap status. ","")&amp;IF(ISNUMBER(M63),IF(M63&lt;TODAY(),"Certificate or key expired. ",IF(M63-TODAY()&lt;=Assumptions!$C$25,"Expires soon - use the renewal to revisit the algorithm. ","")),"")&amp;IF(AC63="OVERDUE","Migration overdue. ","")&amp;IF(AND(R63&lt;&gt;"No",Z63=""),"Assign a migration owner. ",""))</f>
        <v/>
      </c>
    </row>
    <row r="64" customFormat="false" ht="15" hidden="false" customHeight="false" outlineLevel="0" collapsed="false">
      <c r="A64" s="16"/>
      <c r="B64" s="16"/>
      <c r="C64" s="16"/>
      <c r="D64" s="16"/>
      <c r="E64" s="16"/>
      <c r="F64" s="16"/>
      <c r="G64" s="16"/>
      <c r="H64" s="16"/>
      <c r="I64" s="16"/>
      <c r="J64" s="16"/>
      <c r="K64" s="16"/>
      <c r="L64" s="16"/>
      <c r="M64" s="17"/>
      <c r="N64" s="16"/>
      <c r="O64" s="16"/>
      <c r="P64" s="16"/>
      <c r="Q64" s="18" t="str">
        <f aca="false">IF(A64="","",IF(J64="","Unknown",IFERROR(INDEX('Algorithm Reference'!$C$6:$C$41,MATCH(J64,'Algorithm Reference'!$B$6:$B$41,0)),"Not in reference")))</f>
        <v/>
      </c>
      <c r="R64" s="18" t="str">
        <f aca="false">IF(A64="","",IF(J64="","Unknown - investigate",IFERROR(INDEX('Algorithm Reference'!$E$6:$E$41,MATCH(J64,'Algorithm Reference'!$B$6:$B$41,0)),"Unknown - investigate")))</f>
        <v/>
      </c>
      <c r="S64" s="18" t="str">
        <f aca="false">IF(OR(O64="",P64=""),"",O64+P64)</f>
        <v/>
      </c>
      <c r="T64" s="18" t="str">
        <f aca="false">IF(A64="","",IF(R64="No","N/A - not quantum-vulnerable",IF(OR(O64="",P64=""),"Enter X and Y",IF(Assumptions!$C$6="","Set Z on Assumptions",IF(O64+P64&gt;Assumptions!$C$6,"AT RISK (X+Y &gt; Z)","Within Z (X+Y &lt;= Z)")))))</f>
        <v/>
      </c>
      <c r="U64" s="18" t="str">
        <f aca="false">IF(A64="","",IF(AND(R64&lt;&gt;"No",OR(I64="Key establishment / encryption in transit",I64="Key wrapping / key transport",I64="Mixed or unknown",I64=""),OR(N(O64)&gt;0,G64="Confidential",G64="Restricted")),IF(F64="Yes","Yes - internet-facing","Yes"),"No"))</f>
        <v/>
      </c>
      <c r="V64" s="18" t="str">
        <f aca="false">IF(A64="","",IF(R64="No","Keep - not quantum-vulnerable (review key size)",IF(I64="Digital signature / authentication","ML-DSA-65 (FIPS 204); SLH-DSA (FIPS 205) if hash-based is preferred",IF(OR(I64="Key establishment / encryption in transit",I64="Key wrapping / key transport"),"ML-KEM-768 (FIPS 203); hybrid X25519MLKEM768 for TLS 1.3",IF(I64="Mixed or unknown","Both: ML-KEM (FIPS 203) for keys, ML-DSA (FIPS 204) for signatures","Pick the crypto function first")))))</f>
        <v/>
      </c>
      <c r="W64" s="16"/>
      <c r="X64" s="18" t="str">
        <f aca="false">IF(A64="","",IF(R64="No",0,IF(LEFT(T64,7)="AT RISK",Assumptions!$C$13,0)+IF(LEFT(U64,3)="Yes",Assumptions!$C$14,0)+IF(F64="Yes",Assumptions!$C$15,0)+IF(G64="Restricted",Assumptions!$C$16,IF(G64="Confidential",Assumptions!$C$17,IF(G64="Internal",Assumptions!$C$18,0)))+IF(OR(N64="Roadmap - verbal only",N64="No roadmap",N64="Not asked yet",N64=""),Assumptions!$C$19,0)+IF(E64="Production",Assumptions!$C$20,0)+IF(AND(ISNUMBER(P64),N(P64)&gt;=Assumptions!$C$22),Assumptions!$C$21,0)))</f>
        <v/>
      </c>
      <c r="Y64" s="18" t="str">
        <f aca="false">IF(X64="","",IF(R64="No","None",IF(X64&gt;=Assumptions!$C$23,"High",IF(X64&gt;=Assumptions!$C$24,"Medium","Low"))))</f>
        <v/>
      </c>
      <c r="Z64" s="16"/>
      <c r="AA64" s="17"/>
      <c r="AB64" s="16"/>
      <c r="AC64" s="18" t="str">
        <f aca="true">IF(OR(AA64="",AB64="Hybrid deployed",AB64="PQC deployed",AB64="Not required (not vulnerable)",AB64="Risk accepted"),"",IF(AA64&lt;TODAY(),"OVERDUE",""))</f>
        <v/>
      </c>
      <c r="AD64" s="18" t="str">
        <f aca="true">IF(A64="","",IF(B64="","Name the system. ","")&amp;IF(LEFT(R64,7)="Unknown","Algorithm unknown - scan or ask the vendor. ","")&amp;IF(AND(R64&lt;&gt;"No",Assumptions!$C$6=""),"Set Z on Assumptions. ","")&amp;IF(AND(R64&lt;&gt;"No",OR(O64="",P64="")),"Enter X and Y. ","")&amp;IF(LEFT(T64,7)="AT RISK","Mosca: X+Y exceeds Z - migration should already be under way. ","")&amp;IF(AND(LEFT(U64,3)="Yes",OR(AB64="",AB64="Not started")),"Harvest-now-decrypt-later exposure and migration not started. ","")&amp;IF(AND(R64&lt;&gt;"No",OR(W64="",W64="To decide")),"Choose a target algorithm. ","")&amp;IF(AND(R64&lt;&gt;"No",W64="Keep - not quantum-vulnerable"),"Target 'Keep' conflicts with a quantum-vulnerable algorithm. ","")&amp;IF(LEFT(J64,5)="SHA-1","SHA-1 is deprecated - replace (NIST IR 8547). ","")&amp;IF(AND(R64&lt;&gt;"No",OR(N64="Roadmap - verbal only",N64="No roadmap",N64="Not asked yet")),"Get a written PQC roadmap from the vendor. ","")&amp;IF(AND(R64&lt;&gt;"No",N64=""),"Record the vendor PQC roadmap status. ","")&amp;IF(ISNUMBER(M64),IF(M64&lt;TODAY(),"Certificate or key expired. ",IF(M64-TODAY()&lt;=Assumptions!$C$25,"Expires soon - use the renewal to revisit the algorithm. ","")),"")&amp;IF(AC64="OVERDUE","Migration overdue. ","")&amp;IF(AND(R64&lt;&gt;"No",Z64=""),"Assign a migration owner. ",""))</f>
        <v/>
      </c>
    </row>
    <row r="65" customFormat="false" ht="15" hidden="false" customHeight="false" outlineLevel="0" collapsed="false">
      <c r="A65" s="16"/>
      <c r="B65" s="16"/>
      <c r="C65" s="16"/>
      <c r="D65" s="16"/>
      <c r="E65" s="16"/>
      <c r="F65" s="16"/>
      <c r="G65" s="16"/>
      <c r="H65" s="16"/>
      <c r="I65" s="16"/>
      <c r="J65" s="16"/>
      <c r="K65" s="16"/>
      <c r="L65" s="16"/>
      <c r="M65" s="17"/>
      <c r="N65" s="16"/>
      <c r="O65" s="16"/>
      <c r="P65" s="16"/>
      <c r="Q65" s="18" t="str">
        <f aca="false">IF(A65="","",IF(J65="","Unknown",IFERROR(INDEX('Algorithm Reference'!$C$6:$C$41,MATCH(J65,'Algorithm Reference'!$B$6:$B$41,0)),"Not in reference")))</f>
        <v/>
      </c>
      <c r="R65" s="18" t="str">
        <f aca="false">IF(A65="","",IF(J65="","Unknown - investigate",IFERROR(INDEX('Algorithm Reference'!$E$6:$E$41,MATCH(J65,'Algorithm Reference'!$B$6:$B$41,0)),"Unknown - investigate")))</f>
        <v/>
      </c>
      <c r="S65" s="18" t="str">
        <f aca="false">IF(OR(O65="",P65=""),"",O65+P65)</f>
        <v/>
      </c>
      <c r="T65" s="18" t="str">
        <f aca="false">IF(A65="","",IF(R65="No","N/A - not quantum-vulnerable",IF(OR(O65="",P65=""),"Enter X and Y",IF(Assumptions!$C$6="","Set Z on Assumptions",IF(O65+P65&gt;Assumptions!$C$6,"AT RISK (X+Y &gt; Z)","Within Z (X+Y &lt;= Z)")))))</f>
        <v/>
      </c>
      <c r="U65" s="18" t="str">
        <f aca="false">IF(A65="","",IF(AND(R65&lt;&gt;"No",OR(I65="Key establishment / encryption in transit",I65="Key wrapping / key transport",I65="Mixed or unknown",I65=""),OR(N(O65)&gt;0,G65="Confidential",G65="Restricted")),IF(F65="Yes","Yes - internet-facing","Yes"),"No"))</f>
        <v/>
      </c>
      <c r="V65" s="18" t="str">
        <f aca="false">IF(A65="","",IF(R65="No","Keep - not quantum-vulnerable (review key size)",IF(I65="Digital signature / authentication","ML-DSA-65 (FIPS 204); SLH-DSA (FIPS 205) if hash-based is preferred",IF(OR(I65="Key establishment / encryption in transit",I65="Key wrapping / key transport"),"ML-KEM-768 (FIPS 203); hybrid X25519MLKEM768 for TLS 1.3",IF(I65="Mixed or unknown","Both: ML-KEM (FIPS 203) for keys, ML-DSA (FIPS 204) for signatures","Pick the crypto function first")))))</f>
        <v/>
      </c>
      <c r="W65" s="16"/>
      <c r="X65" s="18" t="str">
        <f aca="false">IF(A65="","",IF(R65="No",0,IF(LEFT(T65,7)="AT RISK",Assumptions!$C$13,0)+IF(LEFT(U65,3)="Yes",Assumptions!$C$14,0)+IF(F65="Yes",Assumptions!$C$15,0)+IF(G65="Restricted",Assumptions!$C$16,IF(G65="Confidential",Assumptions!$C$17,IF(G65="Internal",Assumptions!$C$18,0)))+IF(OR(N65="Roadmap - verbal only",N65="No roadmap",N65="Not asked yet",N65=""),Assumptions!$C$19,0)+IF(E65="Production",Assumptions!$C$20,0)+IF(AND(ISNUMBER(P65),N(P65)&gt;=Assumptions!$C$22),Assumptions!$C$21,0)))</f>
        <v/>
      </c>
      <c r="Y65" s="18" t="str">
        <f aca="false">IF(X65="","",IF(R65="No","None",IF(X65&gt;=Assumptions!$C$23,"High",IF(X65&gt;=Assumptions!$C$24,"Medium","Low"))))</f>
        <v/>
      </c>
      <c r="Z65" s="16"/>
      <c r="AA65" s="17"/>
      <c r="AB65" s="16"/>
      <c r="AC65" s="18" t="str">
        <f aca="true">IF(OR(AA65="",AB65="Hybrid deployed",AB65="PQC deployed",AB65="Not required (not vulnerable)",AB65="Risk accepted"),"",IF(AA65&lt;TODAY(),"OVERDUE",""))</f>
        <v/>
      </c>
      <c r="AD65" s="18" t="str">
        <f aca="true">IF(A65="","",IF(B65="","Name the system. ","")&amp;IF(LEFT(R65,7)="Unknown","Algorithm unknown - scan or ask the vendor. ","")&amp;IF(AND(R65&lt;&gt;"No",Assumptions!$C$6=""),"Set Z on Assumptions. ","")&amp;IF(AND(R65&lt;&gt;"No",OR(O65="",P65="")),"Enter X and Y. ","")&amp;IF(LEFT(T65,7)="AT RISK","Mosca: X+Y exceeds Z - migration should already be under way. ","")&amp;IF(AND(LEFT(U65,3)="Yes",OR(AB65="",AB65="Not started")),"Harvest-now-decrypt-later exposure and migration not started. ","")&amp;IF(AND(R65&lt;&gt;"No",OR(W65="",W65="To decide")),"Choose a target algorithm. ","")&amp;IF(AND(R65&lt;&gt;"No",W65="Keep - not quantum-vulnerable"),"Target 'Keep' conflicts with a quantum-vulnerable algorithm. ","")&amp;IF(LEFT(J65,5)="SHA-1","SHA-1 is deprecated - replace (NIST IR 8547). ","")&amp;IF(AND(R65&lt;&gt;"No",OR(N65="Roadmap - verbal only",N65="No roadmap",N65="Not asked yet")),"Get a written PQC roadmap from the vendor. ","")&amp;IF(AND(R65&lt;&gt;"No",N65=""),"Record the vendor PQC roadmap status. ","")&amp;IF(ISNUMBER(M65),IF(M65&lt;TODAY(),"Certificate or key expired. ",IF(M65-TODAY()&lt;=Assumptions!$C$25,"Expires soon - use the renewal to revisit the algorithm. ","")),"")&amp;IF(AC65="OVERDUE","Migration overdue. ","")&amp;IF(AND(R65&lt;&gt;"No",Z65=""),"Assign a migration owner. ",""))</f>
        <v/>
      </c>
    </row>
    <row r="66" customFormat="false" ht="15" hidden="false" customHeight="false" outlineLevel="0" collapsed="false">
      <c r="A66" s="16"/>
      <c r="B66" s="16"/>
      <c r="C66" s="16"/>
      <c r="D66" s="16"/>
      <c r="E66" s="16"/>
      <c r="F66" s="16"/>
      <c r="G66" s="16"/>
      <c r="H66" s="16"/>
      <c r="I66" s="16"/>
      <c r="J66" s="16"/>
      <c r="K66" s="16"/>
      <c r="L66" s="16"/>
      <c r="M66" s="17"/>
      <c r="N66" s="16"/>
      <c r="O66" s="16"/>
      <c r="P66" s="16"/>
      <c r="Q66" s="18" t="str">
        <f aca="false">IF(A66="","",IF(J66="","Unknown",IFERROR(INDEX('Algorithm Reference'!$C$6:$C$41,MATCH(J66,'Algorithm Reference'!$B$6:$B$41,0)),"Not in reference")))</f>
        <v/>
      </c>
      <c r="R66" s="18" t="str">
        <f aca="false">IF(A66="","",IF(J66="","Unknown - investigate",IFERROR(INDEX('Algorithm Reference'!$E$6:$E$41,MATCH(J66,'Algorithm Reference'!$B$6:$B$41,0)),"Unknown - investigate")))</f>
        <v/>
      </c>
      <c r="S66" s="18" t="str">
        <f aca="false">IF(OR(O66="",P66=""),"",O66+P66)</f>
        <v/>
      </c>
      <c r="T66" s="18" t="str">
        <f aca="false">IF(A66="","",IF(R66="No","N/A - not quantum-vulnerable",IF(OR(O66="",P66=""),"Enter X and Y",IF(Assumptions!$C$6="","Set Z on Assumptions",IF(O66+P66&gt;Assumptions!$C$6,"AT RISK (X+Y &gt; Z)","Within Z (X+Y &lt;= Z)")))))</f>
        <v/>
      </c>
      <c r="U66" s="18" t="str">
        <f aca="false">IF(A66="","",IF(AND(R66&lt;&gt;"No",OR(I66="Key establishment / encryption in transit",I66="Key wrapping / key transport",I66="Mixed or unknown",I66=""),OR(N(O66)&gt;0,G66="Confidential",G66="Restricted")),IF(F66="Yes","Yes - internet-facing","Yes"),"No"))</f>
        <v/>
      </c>
      <c r="V66" s="18" t="str">
        <f aca="false">IF(A66="","",IF(R66="No","Keep - not quantum-vulnerable (review key size)",IF(I66="Digital signature / authentication","ML-DSA-65 (FIPS 204); SLH-DSA (FIPS 205) if hash-based is preferred",IF(OR(I66="Key establishment / encryption in transit",I66="Key wrapping / key transport"),"ML-KEM-768 (FIPS 203); hybrid X25519MLKEM768 for TLS 1.3",IF(I66="Mixed or unknown","Both: ML-KEM (FIPS 203) for keys, ML-DSA (FIPS 204) for signatures","Pick the crypto function first")))))</f>
        <v/>
      </c>
      <c r="W66" s="16"/>
      <c r="X66" s="18" t="str">
        <f aca="false">IF(A66="","",IF(R66="No",0,IF(LEFT(T66,7)="AT RISK",Assumptions!$C$13,0)+IF(LEFT(U66,3)="Yes",Assumptions!$C$14,0)+IF(F66="Yes",Assumptions!$C$15,0)+IF(G66="Restricted",Assumptions!$C$16,IF(G66="Confidential",Assumptions!$C$17,IF(G66="Internal",Assumptions!$C$18,0)))+IF(OR(N66="Roadmap - verbal only",N66="No roadmap",N66="Not asked yet",N66=""),Assumptions!$C$19,0)+IF(E66="Production",Assumptions!$C$20,0)+IF(AND(ISNUMBER(P66),N(P66)&gt;=Assumptions!$C$22),Assumptions!$C$21,0)))</f>
        <v/>
      </c>
      <c r="Y66" s="18" t="str">
        <f aca="false">IF(X66="","",IF(R66="No","None",IF(X66&gt;=Assumptions!$C$23,"High",IF(X66&gt;=Assumptions!$C$24,"Medium","Low"))))</f>
        <v/>
      </c>
      <c r="Z66" s="16"/>
      <c r="AA66" s="17"/>
      <c r="AB66" s="16"/>
      <c r="AC66" s="18" t="str">
        <f aca="true">IF(OR(AA66="",AB66="Hybrid deployed",AB66="PQC deployed",AB66="Not required (not vulnerable)",AB66="Risk accepted"),"",IF(AA66&lt;TODAY(),"OVERDUE",""))</f>
        <v/>
      </c>
      <c r="AD66" s="18" t="str">
        <f aca="true">IF(A66="","",IF(B66="","Name the system. ","")&amp;IF(LEFT(R66,7)="Unknown","Algorithm unknown - scan or ask the vendor. ","")&amp;IF(AND(R66&lt;&gt;"No",Assumptions!$C$6=""),"Set Z on Assumptions. ","")&amp;IF(AND(R66&lt;&gt;"No",OR(O66="",P66="")),"Enter X and Y. ","")&amp;IF(LEFT(T66,7)="AT RISK","Mosca: X+Y exceeds Z - migration should already be under way. ","")&amp;IF(AND(LEFT(U66,3)="Yes",OR(AB66="",AB66="Not started")),"Harvest-now-decrypt-later exposure and migration not started. ","")&amp;IF(AND(R66&lt;&gt;"No",OR(W66="",W66="To decide")),"Choose a target algorithm. ","")&amp;IF(AND(R66&lt;&gt;"No",W66="Keep - not quantum-vulnerable"),"Target 'Keep' conflicts with a quantum-vulnerable algorithm. ","")&amp;IF(LEFT(J66,5)="SHA-1","SHA-1 is deprecated - replace (NIST IR 8547). ","")&amp;IF(AND(R66&lt;&gt;"No",OR(N66="Roadmap - verbal only",N66="No roadmap",N66="Not asked yet")),"Get a written PQC roadmap from the vendor. ","")&amp;IF(AND(R66&lt;&gt;"No",N66=""),"Record the vendor PQC roadmap status. ","")&amp;IF(ISNUMBER(M66),IF(M66&lt;TODAY(),"Certificate or key expired. ",IF(M66-TODAY()&lt;=Assumptions!$C$25,"Expires soon - use the renewal to revisit the algorithm. ","")),"")&amp;IF(AC66="OVERDUE","Migration overdue. ","")&amp;IF(AND(R66&lt;&gt;"No",Z66=""),"Assign a migration owner. ",""))</f>
        <v/>
      </c>
    </row>
    <row r="67" customFormat="false" ht="15" hidden="false" customHeight="false" outlineLevel="0" collapsed="false">
      <c r="A67" s="16"/>
      <c r="B67" s="16"/>
      <c r="C67" s="16"/>
      <c r="D67" s="16"/>
      <c r="E67" s="16"/>
      <c r="F67" s="16"/>
      <c r="G67" s="16"/>
      <c r="H67" s="16"/>
      <c r="I67" s="16"/>
      <c r="J67" s="16"/>
      <c r="K67" s="16"/>
      <c r="L67" s="16"/>
      <c r="M67" s="17"/>
      <c r="N67" s="16"/>
      <c r="O67" s="16"/>
      <c r="P67" s="16"/>
      <c r="Q67" s="18" t="str">
        <f aca="false">IF(A67="","",IF(J67="","Unknown",IFERROR(INDEX('Algorithm Reference'!$C$6:$C$41,MATCH(J67,'Algorithm Reference'!$B$6:$B$41,0)),"Not in reference")))</f>
        <v/>
      </c>
      <c r="R67" s="18" t="str">
        <f aca="false">IF(A67="","",IF(J67="","Unknown - investigate",IFERROR(INDEX('Algorithm Reference'!$E$6:$E$41,MATCH(J67,'Algorithm Reference'!$B$6:$B$41,0)),"Unknown - investigate")))</f>
        <v/>
      </c>
      <c r="S67" s="18" t="str">
        <f aca="false">IF(OR(O67="",P67=""),"",O67+P67)</f>
        <v/>
      </c>
      <c r="T67" s="18" t="str">
        <f aca="false">IF(A67="","",IF(R67="No","N/A - not quantum-vulnerable",IF(OR(O67="",P67=""),"Enter X and Y",IF(Assumptions!$C$6="","Set Z on Assumptions",IF(O67+P67&gt;Assumptions!$C$6,"AT RISK (X+Y &gt; Z)","Within Z (X+Y &lt;= Z)")))))</f>
        <v/>
      </c>
      <c r="U67" s="18" t="str">
        <f aca="false">IF(A67="","",IF(AND(R67&lt;&gt;"No",OR(I67="Key establishment / encryption in transit",I67="Key wrapping / key transport",I67="Mixed or unknown",I67=""),OR(N(O67)&gt;0,G67="Confidential",G67="Restricted")),IF(F67="Yes","Yes - internet-facing","Yes"),"No"))</f>
        <v/>
      </c>
      <c r="V67" s="18" t="str">
        <f aca="false">IF(A67="","",IF(R67="No","Keep - not quantum-vulnerable (review key size)",IF(I67="Digital signature / authentication","ML-DSA-65 (FIPS 204); SLH-DSA (FIPS 205) if hash-based is preferred",IF(OR(I67="Key establishment / encryption in transit",I67="Key wrapping / key transport"),"ML-KEM-768 (FIPS 203); hybrid X25519MLKEM768 for TLS 1.3",IF(I67="Mixed or unknown","Both: ML-KEM (FIPS 203) for keys, ML-DSA (FIPS 204) for signatures","Pick the crypto function first")))))</f>
        <v/>
      </c>
      <c r="W67" s="16"/>
      <c r="X67" s="18" t="str">
        <f aca="false">IF(A67="","",IF(R67="No",0,IF(LEFT(T67,7)="AT RISK",Assumptions!$C$13,0)+IF(LEFT(U67,3)="Yes",Assumptions!$C$14,0)+IF(F67="Yes",Assumptions!$C$15,0)+IF(G67="Restricted",Assumptions!$C$16,IF(G67="Confidential",Assumptions!$C$17,IF(G67="Internal",Assumptions!$C$18,0)))+IF(OR(N67="Roadmap - verbal only",N67="No roadmap",N67="Not asked yet",N67=""),Assumptions!$C$19,0)+IF(E67="Production",Assumptions!$C$20,0)+IF(AND(ISNUMBER(P67),N(P67)&gt;=Assumptions!$C$22),Assumptions!$C$21,0)))</f>
        <v/>
      </c>
      <c r="Y67" s="18" t="str">
        <f aca="false">IF(X67="","",IF(R67="No","None",IF(X67&gt;=Assumptions!$C$23,"High",IF(X67&gt;=Assumptions!$C$24,"Medium","Low"))))</f>
        <v/>
      </c>
      <c r="Z67" s="16"/>
      <c r="AA67" s="17"/>
      <c r="AB67" s="16"/>
      <c r="AC67" s="18" t="str">
        <f aca="true">IF(OR(AA67="",AB67="Hybrid deployed",AB67="PQC deployed",AB67="Not required (not vulnerable)",AB67="Risk accepted"),"",IF(AA67&lt;TODAY(),"OVERDUE",""))</f>
        <v/>
      </c>
      <c r="AD67" s="18" t="str">
        <f aca="true">IF(A67="","",IF(B67="","Name the system. ","")&amp;IF(LEFT(R67,7)="Unknown","Algorithm unknown - scan or ask the vendor. ","")&amp;IF(AND(R67&lt;&gt;"No",Assumptions!$C$6=""),"Set Z on Assumptions. ","")&amp;IF(AND(R67&lt;&gt;"No",OR(O67="",P67="")),"Enter X and Y. ","")&amp;IF(LEFT(T67,7)="AT RISK","Mosca: X+Y exceeds Z - migration should already be under way. ","")&amp;IF(AND(LEFT(U67,3)="Yes",OR(AB67="",AB67="Not started")),"Harvest-now-decrypt-later exposure and migration not started. ","")&amp;IF(AND(R67&lt;&gt;"No",OR(W67="",W67="To decide")),"Choose a target algorithm. ","")&amp;IF(AND(R67&lt;&gt;"No",W67="Keep - not quantum-vulnerable"),"Target 'Keep' conflicts with a quantum-vulnerable algorithm. ","")&amp;IF(LEFT(J67,5)="SHA-1","SHA-1 is deprecated - replace (NIST IR 8547). ","")&amp;IF(AND(R67&lt;&gt;"No",OR(N67="Roadmap - verbal only",N67="No roadmap",N67="Not asked yet")),"Get a written PQC roadmap from the vendor. ","")&amp;IF(AND(R67&lt;&gt;"No",N67=""),"Record the vendor PQC roadmap status. ","")&amp;IF(ISNUMBER(M67),IF(M67&lt;TODAY(),"Certificate or key expired. ",IF(M67-TODAY()&lt;=Assumptions!$C$25,"Expires soon - use the renewal to revisit the algorithm. ","")),"")&amp;IF(AC67="OVERDUE","Migration overdue. ","")&amp;IF(AND(R67&lt;&gt;"No",Z67=""),"Assign a migration owner. ",""))</f>
        <v/>
      </c>
    </row>
    <row r="68" customFormat="false" ht="15" hidden="false" customHeight="false" outlineLevel="0" collapsed="false">
      <c r="A68" s="16"/>
      <c r="B68" s="16"/>
      <c r="C68" s="16"/>
      <c r="D68" s="16"/>
      <c r="E68" s="16"/>
      <c r="F68" s="16"/>
      <c r="G68" s="16"/>
      <c r="H68" s="16"/>
      <c r="I68" s="16"/>
      <c r="J68" s="16"/>
      <c r="K68" s="16"/>
      <c r="L68" s="16"/>
      <c r="M68" s="17"/>
      <c r="N68" s="16"/>
      <c r="O68" s="16"/>
      <c r="P68" s="16"/>
      <c r="Q68" s="18" t="str">
        <f aca="false">IF(A68="","",IF(J68="","Unknown",IFERROR(INDEX('Algorithm Reference'!$C$6:$C$41,MATCH(J68,'Algorithm Reference'!$B$6:$B$41,0)),"Not in reference")))</f>
        <v/>
      </c>
      <c r="R68" s="18" t="str">
        <f aca="false">IF(A68="","",IF(J68="","Unknown - investigate",IFERROR(INDEX('Algorithm Reference'!$E$6:$E$41,MATCH(J68,'Algorithm Reference'!$B$6:$B$41,0)),"Unknown - investigate")))</f>
        <v/>
      </c>
      <c r="S68" s="18" t="str">
        <f aca="false">IF(OR(O68="",P68=""),"",O68+P68)</f>
        <v/>
      </c>
      <c r="T68" s="18" t="str">
        <f aca="false">IF(A68="","",IF(R68="No","N/A - not quantum-vulnerable",IF(OR(O68="",P68=""),"Enter X and Y",IF(Assumptions!$C$6="","Set Z on Assumptions",IF(O68+P68&gt;Assumptions!$C$6,"AT RISK (X+Y &gt; Z)","Within Z (X+Y &lt;= Z)")))))</f>
        <v/>
      </c>
      <c r="U68" s="18" t="str">
        <f aca="false">IF(A68="","",IF(AND(R68&lt;&gt;"No",OR(I68="Key establishment / encryption in transit",I68="Key wrapping / key transport",I68="Mixed or unknown",I68=""),OR(N(O68)&gt;0,G68="Confidential",G68="Restricted")),IF(F68="Yes","Yes - internet-facing","Yes"),"No"))</f>
        <v/>
      </c>
      <c r="V68" s="18" t="str">
        <f aca="false">IF(A68="","",IF(R68="No","Keep - not quantum-vulnerable (review key size)",IF(I68="Digital signature / authentication","ML-DSA-65 (FIPS 204); SLH-DSA (FIPS 205) if hash-based is preferred",IF(OR(I68="Key establishment / encryption in transit",I68="Key wrapping / key transport"),"ML-KEM-768 (FIPS 203); hybrid X25519MLKEM768 for TLS 1.3",IF(I68="Mixed or unknown","Both: ML-KEM (FIPS 203) for keys, ML-DSA (FIPS 204) for signatures","Pick the crypto function first")))))</f>
        <v/>
      </c>
      <c r="W68" s="16"/>
      <c r="X68" s="18" t="str">
        <f aca="false">IF(A68="","",IF(R68="No",0,IF(LEFT(T68,7)="AT RISK",Assumptions!$C$13,0)+IF(LEFT(U68,3)="Yes",Assumptions!$C$14,0)+IF(F68="Yes",Assumptions!$C$15,0)+IF(G68="Restricted",Assumptions!$C$16,IF(G68="Confidential",Assumptions!$C$17,IF(G68="Internal",Assumptions!$C$18,0)))+IF(OR(N68="Roadmap - verbal only",N68="No roadmap",N68="Not asked yet",N68=""),Assumptions!$C$19,0)+IF(E68="Production",Assumptions!$C$20,0)+IF(AND(ISNUMBER(P68),N(P68)&gt;=Assumptions!$C$22),Assumptions!$C$21,0)))</f>
        <v/>
      </c>
      <c r="Y68" s="18" t="str">
        <f aca="false">IF(X68="","",IF(R68="No","None",IF(X68&gt;=Assumptions!$C$23,"High",IF(X68&gt;=Assumptions!$C$24,"Medium","Low"))))</f>
        <v/>
      </c>
      <c r="Z68" s="16"/>
      <c r="AA68" s="17"/>
      <c r="AB68" s="16"/>
      <c r="AC68" s="18" t="str">
        <f aca="true">IF(OR(AA68="",AB68="Hybrid deployed",AB68="PQC deployed",AB68="Not required (not vulnerable)",AB68="Risk accepted"),"",IF(AA68&lt;TODAY(),"OVERDUE",""))</f>
        <v/>
      </c>
      <c r="AD68" s="18" t="str">
        <f aca="true">IF(A68="","",IF(B68="","Name the system. ","")&amp;IF(LEFT(R68,7)="Unknown","Algorithm unknown - scan or ask the vendor. ","")&amp;IF(AND(R68&lt;&gt;"No",Assumptions!$C$6=""),"Set Z on Assumptions. ","")&amp;IF(AND(R68&lt;&gt;"No",OR(O68="",P68="")),"Enter X and Y. ","")&amp;IF(LEFT(T68,7)="AT RISK","Mosca: X+Y exceeds Z - migration should already be under way. ","")&amp;IF(AND(LEFT(U68,3)="Yes",OR(AB68="",AB68="Not started")),"Harvest-now-decrypt-later exposure and migration not started. ","")&amp;IF(AND(R68&lt;&gt;"No",OR(W68="",W68="To decide")),"Choose a target algorithm. ","")&amp;IF(AND(R68&lt;&gt;"No",W68="Keep - not quantum-vulnerable"),"Target 'Keep' conflicts with a quantum-vulnerable algorithm. ","")&amp;IF(LEFT(J68,5)="SHA-1","SHA-1 is deprecated - replace (NIST IR 8547). ","")&amp;IF(AND(R68&lt;&gt;"No",OR(N68="Roadmap - verbal only",N68="No roadmap",N68="Not asked yet")),"Get a written PQC roadmap from the vendor. ","")&amp;IF(AND(R68&lt;&gt;"No",N68=""),"Record the vendor PQC roadmap status. ","")&amp;IF(ISNUMBER(M68),IF(M68&lt;TODAY(),"Certificate or key expired. ",IF(M68-TODAY()&lt;=Assumptions!$C$25,"Expires soon - use the renewal to revisit the algorithm. ","")),"")&amp;IF(AC68="OVERDUE","Migration overdue. ","")&amp;IF(AND(R68&lt;&gt;"No",Z68=""),"Assign a migration owner. ",""))</f>
        <v/>
      </c>
    </row>
    <row r="69" customFormat="false" ht="15" hidden="false" customHeight="false" outlineLevel="0" collapsed="false">
      <c r="A69" s="16"/>
      <c r="B69" s="16"/>
      <c r="C69" s="16"/>
      <c r="D69" s="16"/>
      <c r="E69" s="16"/>
      <c r="F69" s="16"/>
      <c r="G69" s="16"/>
      <c r="H69" s="16"/>
      <c r="I69" s="16"/>
      <c r="J69" s="16"/>
      <c r="K69" s="16"/>
      <c r="L69" s="16"/>
      <c r="M69" s="17"/>
      <c r="N69" s="16"/>
      <c r="O69" s="16"/>
      <c r="P69" s="16"/>
      <c r="Q69" s="18" t="str">
        <f aca="false">IF(A69="","",IF(J69="","Unknown",IFERROR(INDEX('Algorithm Reference'!$C$6:$C$41,MATCH(J69,'Algorithm Reference'!$B$6:$B$41,0)),"Not in reference")))</f>
        <v/>
      </c>
      <c r="R69" s="18" t="str">
        <f aca="false">IF(A69="","",IF(J69="","Unknown - investigate",IFERROR(INDEX('Algorithm Reference'!$E$6:$E$41,MATCH(J69,'Algorithm Reference'!$B$6:$B$41,0)),"Unknown - investigate")))</f>
        <v/>
      </c>
      <c r="S69" s="18" t="str">
        <f aca="false">IF(OR(O69="",P69=""),"",O69+P69)</f>
        <v/>
      </c>
      <c r="T69" s="18" t="str">
        <f aca="false">IF(A69="","",IF(R69="No","N/A - not quantum-vulnerable",IF(OR(O69="",P69=""),"Enter X and Y",IF(Assumptions!$C$6="","Set Z on Assumptions",IF(O69+P69&gt;Assumptions!$C$6,"AT RISK (X+Y &gt; Z)","Within Z (X+Y &lt;= Z)")))))</f>
        <v/>
      </c>
      <c r="U69" s="18" t="str">
        <f aca="false">IF(A69="","",IF(AND(R69&lt;&gt;"No",OR(I69="Key establishment / encryption in transit",I69="Key wrapping / key transport",I69="Mixed or unknown",I69=""),OR(N(O69)&gt;0,G69="Confidential",G69="Restricted")),IF(F69="Yes","Yes - internet-facing","Yes"),"No"))</f>
        <v/>
      </c>
      <c r="V69" s="18" t="str">
        <f aca="false">IF(A69="","",IF(R69="No","Keep - not quantum-vulnerable (review key size)",IF(I69="Digital signature / authentication","ML-DSA-65 (FIPS 204); SLH-DSA (FIPS 205) if hash-based is preferred",IF(OR(I69="Key establishment / encryption in transit",I69="Key wrapping / key transport"),"ML-KEM-768 (FIPS 203); hybrid X25519MLKEM768 for TLS 1.3",IF(I69="Mixed or unknown","Both: ML-KEM (FIPS 203) for keys, ML-DSA (FIPS 204) for signatures","Pick the crypto function first")))))</f>
        <v/>
      </c>
      <c r="W69" s="16"/>
      <c r="X69" s="18" t="str">
        <f aca="false">IF(A69="","",IF(R69="No",0,IF(LEFT(T69,7)="AT RISK",Assumptions!$C$13,0)+IF(LEFT(U69,3)="Yes",Assumptions!$C$14,0)+IF(F69="Yes",Assumptions!$C$15,0)+IF(G69="Restricted",Assumptions!$C$16,IF(G69="Confidential",Assumptions!$C$17,IF(G69="Internal",Assumptions!$C$18,0)))+IF(OR(N69="Roadmap - verbal only",N69="No roadmap",N69="Not asked yet",N69=""),Assumptions!$C$19,0)+IF(E69="Production",Assumptions!$C$20,0)+IF(AND(ISNUMBER(P69),N(P69)&gt;=Assumptions!$C$22),Assumptions!$C$21,0)))</f>
        <v/>
      </c>
      <c r="Y69" s="18" t="str">
        <f aca="false">IF(X69="","",IF(R69="No","None",IF(X69&gt;=Assumptions!$C$23,"High",IF(X69&gt;=Assumptions!$C$24,"Medium","Low"))))</f>
        <v/>
      </c>
      <c r="Z69" s="16"/>
      <c r="AA69" s="17"/>
      <c r="AB69" s="16"/>
      <c r="AC69" s="18" t="str">
        <f aca="true">IF(OR(AA69="",AB69="Hybrid deployed",AB69="PQC deployed",AB69="Not required (not vulnerable)",AB69="Risk accepted"),"",IF(AA69&lt;TODAY(),"OVERDUE",""))</f>
        <v/>
      </c>
      <c r="AD69" s="18" t="str">
        <f aca="true">IF(A69="","",IF(B69="","Name the system. ","")&amp;IF(LEFT(R69,7)="Unknown","Algorithm unknown - scan or ask the vendor. ","")&amp;IF(AND(R69&lt;&gt;"No",Assumptions!$C$6=""),"Set Z on Assumptions. ","")&amp;IF(AND(R69&lt;&gt;"No",OR(O69="",P69="")),"Enter X and Y. ","")&amp;IF(LEFT(T69,7)="AT RISK","Mosca: X+Y exceeds Z - migration should already be under way. ","")&amp;IF(AND(LEFT(U69,3)="Yes",OR(AB69="",AB69="Not started")),"Harvest-now-decrypt-later exposure and migration not started. ","")&amp;IF(AND(R69&lt;&gt;"No",OR(W69="",W69="To decide")),"Choose a target algorithm. ","")&amp;IF(AND(R69&lt;&gt;"No",W69="Keep - not quantum-vulnerable"),"Target 'Keep' conflicts with a quantum-vulnerable algorithm. ","")&amp;IF(LEFT(J69,5)="SHA-1","SHA-1 is deprecated - replace (NIST IR 8547). ","")&amp;IF(AND(R69&lt;&gt;"No",OR(N69="Roadmap - verbal only",N69="No roadmap",N69="Not asked yet")),"Get a written PQC roadmap from the vendor. ","")&amp;IF(AND(R69&lt;&gt;"No",N69=""),"Record the vendor PQC roadmap status. ","")&amp;IF(ISNUMBER(M69),IF(M69&lt;TODAY(),"Certificate or key expired. ",IF(M69-TODAY()&lt;=Assumptions!$C$25,"Expires soon - use the renewal to revisit the algorithm. ","")),"")&amp;IF(AC69="OVERDUE","Migration overdue. ","")&amp;IF(AND(R69&lt;&gt;"No",Z69=""),"Assign a migration owner. ",""))</f>
        <v/>
      </c>
    </row>
    <row r="70" customFormat="false" ht="15" hidden="false" customHeight="false" outlineLevel="0" collapsed="false">
      <c r="A70" s="16"/>
      <c r="B70" s="16"/>
      <c r="C70" s="16"/>
      <c r="D70" s="16"/>
      <c r="E70" s="16"/>
      <c r="F70" s="16"/>
      <c r="G70" s="16"/>
      <c r="H70" s="16"/>
      <c r="I70" s="16"/>
      <c r="J70" s="16"/>
      <c r="K70" s="16"/>
      <c r="L70" s="16"/>
      <c r="M70" s="17"/>
      <c r="N70" s="16"/>
      <c r="O70" s="16"/>
      <c r="P70" s="16"/>
      <c r="Q70" s="18" t="str">
        <f aca="false">IF(A70="","",IF(J70="","Unknown",IFERROR(INDEX('Algorithm Reference'!$C$6:$C$41,MATCH(J70,'Algorithm Reference'!$B$6:$B$41,0)),"Not in reference")))</f>
        <v/>
      </c>
      <c r="R70" s="18" t="str">
        <f aca="false">IF(A70="","",IF(J70="","Unknown - investigate",IFERROR(INDEX('Algorithm Reference'!$E$6:$E$41,MATCH(J70,'Algorithm Reference'!$B$6:$B$41,0)),"Unknown - investigate")))</f>
        <v/>
      </c>
      <c r="S70" s="18" t="str">
        <f aca="false">IF(OR(O70="",P70=""),"",O70+P70)</f>
        <v/>
      </c>
      <c r="T70" s="18" t="str">
        <f aca="false">IF(A70="","",IF(R70="No","N/A - not quantum-vulnerable",IF(OR(O70="",P70=""),"Enter X and Y",IF(Assumptions!$C$6="","Set Z on Assumptions",IF(O70+P70&gt;Assumptions!$C$6,"AT RISK (X+Y &gt; Z)","Within Z (X+Y &lt;= Z)")))))</f>
        <v/>
      </c>
      <c r="U70" s="18" t="str">
        <f aca="false">IF(A70="","",IF(AND(R70&lt;&gt;"No",OR(I70="Key establishment / encryption in transit",I70="Key wrapping / key transport",I70="Mixed or unknown",I70=""),OR(N(O70)&gt;0,G70="Confidential",G70="Restricted")),IF(F70="Yes","Yes - internet-facing","Yes"),"No"))</f>
        <v/>
      </c>
      <c r="V70" s="18" t="str">
        <f aca="false">IF(A70="","",IF(R70="No","Keep - not quantum-vulnerable (review key size)",IF(I70="Digital signature / authentication","ML-DSA-65 (FIPS 204); SLH-DSA (FIPS 205) if hash-based is preferred",IF(OR(I70="Key establishment / encryption in transit",I70="Key wrapping / key transport"),"ML-KEM-768 (FIPS 203); hybrid X25519MLKEM768 for TLS 1.3",IF(I70="Mixed or unknown","Both: ML-KEM (FIPS 203) for keys, ML-DSA (FIPS 204) for signatures","Pick the crypto function first")))))</f>
        <v/>
      </c>
      <c r="W70" s="16"/>
      <c r="X70" s="18" t="str">
        <f aca="false">IF(A70="","",IF(R70="No",0,IF(LEFT(T70,7)="AT RISK",Assumptions!$C$13,0)+IF(LEFT(U70,3)="Yes",Assumptions!$C$14,0)+IF(F70="Yes",Assumptions!$C$15,0)+IF(G70="Restricted",Assumptions!$C$16,IF(G70="Confidential",Assumptions!$C$17,IF(G70="Internal",Assumptions!$C$18,0)))+IF(OR(N70="Roadmap - verbal only",N70="No roadmap",N70="Not asked yet",N70=""),Assumptions!$C$19,0)+IF(E70="Production",Assumptions!$C$20,0)+IF(AND(ISNUMBER(P70),N(P70)&gt;=Assumptions!$C$22),Assumptions!$C$21,0)))</f>
        <v/>
      </c>
      <c r="Y70" s="18" t="str">
        <f aca="false">IF(X70="","",IF(R70="No","None",IF(X70&gt;=Assumptions!$C$23,"High",IF(X70&gt;=Assumptions!$C$24,"Medium","Low"))))</f>
        <v/>
      </c>
      <c r="Z70" s="16"/>
      <c r="AA70" s="17"/>
      <c r="AB70" s="16"/>
      <c r="AC70" s="18" t="str">
        <f aca="true">IF(OR(AA70="",AB70="Hybrid deployed",AB70="PQC deployed",AB70="Not required (not vulnerable)",AB70="Risk accepted"),"",IF(AA70&lt;TODAY(),"OVERDUE",""))</f>
        <v/>
      </c>
      <c r="AD70" s="18" t="str">
        <f aca="true">IF(A70="","",IF(B70="","Name the system. ","")&amp;IF(LEFT(R70,7)="Unknown","Algorithm unknown - scan or ask the vendor. ","")&amp;IF(AND(R70&lt;&gt;"No",Assumptions!$C$6=""),"Set Z on Assumptions. ","")&amp;IF(AND(R70&lt;&gt;"No",OR(O70="",P70="")),"Enter X and Y. ","")&amp;IF(LEFT(T70,7)="AT RISK","Mosca: X+Y exceeds Z - migration should already be under way. ","")&amp;IF(AND(LEFT(U70,3)="Yes",OR(AB70="",AB70="Not started")),"Harvest-now-decrypt-later exposure and migration not started. ","")&amp;IF(AND(R70&lt;&gt;"No",OR(W70="",W70="To decide")),"Choose a target algorithm. ","")&amp;IF(AND(R70&lt;&gt;"No",W70="Keep - not quantum-vulnerable"),"Target 'Keep' conflicts with a quantum-vulnerable algorithm. ","")&amp;IF(LEFT(J70,5)="SHA-1","SHA-1 is deprecated - replace (NIST IR 8547). ","")&amp;IF(AND(R70&lt;&gt;"No",OR(N70="Roadmap - verbal only",N70="No roadmap",N70="Not asked yet")),"Get a written PQC roadmap from the vendor. ","")&amp;IF(AND(R70&lt;&gt;"No",N70=""),"Record the vendor PQC roadmap status. ","")&amp;IF(ISNUMBER(M70),IF(M70&lt;TODAY(),"Certificate or key expired. ",IF(M70-TODAY()&lt;=Assumptions!$C$25,"Expires soon - use the renewal to revisit the algorithm. ","")),"")&amp;IF(AC70="OVERDUE","Migration overdue. ","")&amp;IF(AND(R70&lt;&gt;"No",Z70=""),"Assign a migration owner. ",""))</f>
        <v/>
      </c>
    </row>
    <row r="71" customFormat="false" ht="15" hidden="false" customHeight="false" outlineLevel="0" collapsed="false">
      <c r="A71" s="16"/>
      <c r="B71" s="16"/>
      <c r="C71" s="16"/>
      <c r="D71" s="16"/>
      <c r="E71" s="16"/>
      <c r="F71" s="16"/>
      <c r="G71" s="16"/>
      <c r="H71" s="16"/>
      <c r="I71" s="16"/>
      <c r="J71" s="16"/>
      <c r="K71" s="16"/>
      <c r="L71" s="16"/>
      <c r="M71" s="17"/>
      <c r="N71" s="16"/>
      <c r="O71" s="16"/>
      <c r="P71" s="16"/>
      <c r="Q71" s="18" t="str">
        <f aca="false">IF(A71="","",IF(J71="","Unknown",IFERROR(INDEX('Algorithm Reference'!$C$6:$C$41,MATCH(J71,'Algorithm Reference'!$B$6:$B$41,0)),"Not in reference")))</f>
        <v/>
      </c>
      <c r="R71" s="18" t="str">
        <f aca="false">IF(A71="","",IF(J71="","Unknown - investigate",IFERROR(INDEX('Algorithm Reference'!$E$6:$E$41,MATCH(J71,'Algorithm Reference'!$B$6:$B$41,0)),"Unknown - investigate")))</f>
        <v/>
      </c>
      <c r="S71" s="18" t="str">
        <f aca="false">IF(OR(O71="",P71=""),"",O71+P71)</f>
        <v/>
      </c>
      <c r="T71" s="18" t="str">
        <f aca="false">IF(A71="","",IF(R71="No","N/A - not quantum-vulnerable",IF(OR(O71="",P71=""),"Enter X and Y",IF(Assumptions!$C$6="","Set Z on Assumptions",IF(O71+P71&gt;Assumptions!$C$6,"AT RISK (X+Y &gt; Z)","Within Z (X+Y &lt;= Z)")))))</f>
        <v/>
      </c>
      <c r="U71" s="18" t="str">
        <f aca="false">IF(A71="","",IF(AND(R71&lt;&gt;"No",OR(I71="Key establishment / encryption in transit",I71="Key wrapping / key transport",I71="Mixed or unknown",I71=""),OR(N(O71)&gt;0,G71="Confidential",G71="Restricted")),IF(F71="Yes","Yes - internet-facing","Yes"),"No"))</f>
        <v/>
      </c>
      <c r="V71" s="18" t="str">
        <f aca="false">IF(A71="","",IF(R71="No","Keep - not quantum-vulnerable (review key size)",IF(I71="Digital signature / authentication","ML-DSA-65 (FIPS 204); SLH-DSA (FIPS 205) if hash-based is preferred",IF(OR(I71="Key establishment / encryption in transit",I71="Key wrapping / key transport"),"ML-KEM-768 (FIPS 203); hybrid X25519MLKEM768 for TLS 1.3",IF(I71="Mixed or unknown","Both: ML-KEM (FIPS 203) for keys, ML-DSA (FIPS 204) for signatures","Pick the crypto function first")))))</f>
        <v/>
      </c>
      <c r="W71" s="16"/>
      <c r="X71" s="18" t="str">
        <f aca="false">IF(A71="","",IF(R71="No",0,IF(LEFT(T71,7)="AT RISK",Assumptions!$C$13,0)+IF(LEFT(U71,3)="Yes",Assumptions!$C$14,0)+IF(F71="Yes",Assumptions!$C$15,0)+IF(G71="Restricted",Assumptions!$C$16,IF(G71="Confidential",Assumptions!$C$17,IF(G71="Internal",Assumptions!$C$18,0)))+IF(OR(N71="Roadmap - verbal only",N71="No roadmap",N71="Not asked yet",N71=""),Assumptions!$C$19,0)+IF(E71="Production",Assumptions!$C$20,0)+IF(AND(ISNUMBER(P71),N(P71)&gt;=Assumptions!$C$22),Assumptions!$C$21,0)))</f>
        <v/>
      </c>
      <c r="Y71" s="18" t="str">
        <f aca="false">IF(X71="","",IF(R71="No","None",IF(X71&gt;=Assumptions!$C$23,"High",IF(X71&gt;=Assumptions!$C$24,"Medium","Low"))))</f>
        <v/>
      </c>
      <c r="Z71" s="16"/>
      <c r="AA71" s="17"/>
      <c r="AB71" s="16"/>
      <c r="AC71" s="18" t="str">
        <f aca="true">IF(OR(AA71="",AB71="Hybrid deployed",AB71="PQC deployed",AB71="Not required (not vulnerable)",AB71="Risk accepted"),"",IF(AA71&lt;TODAY(),"OVERDUE",""))</f>
        <v/>
      </c>
      <c r="AD71" s="18" t="str">
        <f aca="true">IF(A71="","",IF(B71="","Name the system. ","")&amp;IF(LEFT(R71,7)="Unknown","Algorithm unknown - scan or ask the vendor. ","")&amp;IF(AND(R71&lt;&gt;"No",Assumptions!$C$6=""),"Set Z on Assumptions. ","")&amp;IF(AND(R71&lt;&gt;"No",OR(O71="",P71="")),"Enter X and Y. ","")&amp;IF(LEFT(T71,7)="AT RISK","Mosca: X+Y exceeds Z - migration should already be under way. ","")&amp;IF(AND(LEFT(U71,3)="Yes",OR(AB71="",AB71="Not started")),"Harvest-now-decrypt-later exposure and migration not started. ","")&amp;IF(AND(R71&lt;&gt;"No",OR(W71="",W71="To decide")),"Choose a target algorithm. ","")&amp;IF(AND(R71&lt;&gt;"No",W71="Keep - not quantum-vulnerable"),"Target 'Keep' conflicts with a quantum-vulnerable algorithm. ","")&amp;IF(LEFT(J71,5)="SHA-1","SHA-1 is deprecated - replace (NIST IR 8547). ","")&amp;IF(AND(R71&lt;&gt;"No",OR(N71="Roadmap - verbal only",N71="No roadmap",N71="Not asked yet")),"Get a written PQC roadmap from the vendor. ","")&amp;IF(AND(R71&lt;&gt;"No",N71=""),"Record the vendor PQC roadmap status. ","")&amp;IF(ISNUMBER(M71),IF(M71&lt;TODAY(),"Certificate or key expired. ",IF(M71-TODAY()&lt;=Assumptions!$C$25,"Expires soon - use the renewal to revisit the algorithm. ","")),"")&amp;IF(AC71="OVERDUE","Migration overdue. ","")&amp;IF(AND(R71&lt;&gt;"No",Z71=""),"Assign a migration owner. ",""))</f>
        <v/>
      </c>
    </row>
    <row r="72" customFormat="false" ht="15" hidden="false" customHeight="false" outlineLevel="0" collapsed="false">
      <c r="A72" s="16"/>
      <c r="B72" s="16"/>
      <c r="C72" s="16"/>
      <c r="D72" s="16"/>
      <c r="E72" s="16"/>
      <c r="F72" s="16"/>
      <c r="G72" s="16"/>
      <c r="H72" s="16"/>
      <c r="I72" s="16"/>
      <c r="J72" s="16"/>
      <c r="K72" s="16"/>
      <c r="L72" s="16"/>
      <c r="M72" s="17"/>
      <c r="N72" s="16"/>
      <c r="O72" s="16"/>
      <c r="P72" s="16"/>
      <c r="Q72" s="18" t="str">
        <f aca="false">IF(A72="","",IF(J72="","Unknown",IFERROR(INDEX('Algorithm Reference'!$C$6:$C$41,MATCH(J72,'Algorithm Reference'!$B$6:$B$41,0)),"Not in reference")))</f>
        <v/>
      </c>
      <c r="R72" s="18" t="str">
        <f aca="false">IF(A72="","",IF(J72="","Unknown - investigate",IFERROR(INDEX('Algorithm Reference'!$E$6:$E$41,MATCH(J72,'Algorithm Reference'!$B$6:$B$41,0)),"Unknown - investigate")))</f>
        <v/>
      </c>
      <c r="S72" s="18" t="str">
        <f aca="false">IF(OR(O72="",P72=""),"",O72+P72)</f>
        <v/>
      </c>
      <c r="T72" s="18" t="str">
        <f aca="false">IF(A72="","",IF(R72="No","N/A - not quantum-vulnerable",IF(OR(O72="",P72=""),"Enter X and Y",IF(Assumptions!$C$6="","Set Z on Assumptions",IF(O72+P72&gt;Assumptions!$C$6,"AT RISK (X+Y &gt; Z)","Within Z (X+Y &lt;= Z)")))))</f>
        <v/>
      </c>
      <c r="U72" s="18" t="str">
        <f aca="false">IF(A72="","",IF(AND(R72&lt;&gt;"No",OR(I72="Key establishment / encryption in transit",I72="Key wrapping / key transport",I72="Mixed or unknown",I72=""),OR(N(O72)&gt;0,G72="Confidential",G72="Restricted")),IF(F72="Yes","Yes - internet-facing","Yes"),"No"))</f>
        <v/>
      </c>
      <c r="V72" s="18" t="str">
        <f aca="false">IF(A72="","",IF(R72="No","Keep - not quantum-vulnerable (review key size)",IF(I72="Digital signature / authentication","ML-DSA-65 (FIPS 204); SLH-DSA (FIPS 205) if hash-based is preferred",IF(OR(I72="Key establishment / encryption in transit",I72="Key wrapping / key transport"),"ML-KEM-768 (FIPS 203); hybrid X25519MLKEM768 for TLS 1.3",IF(I72="Mixed or unknown","Both: ML-KEM (FIPS 203) for keys, ML-DSA (FIPS 204) for signatures","Pick the crypto function first")))))</f>
        <v/>
      </c>
      <c r="W72" s="16"/>
      <c r="X72" s="18" t="str">
        <f aca="false">IF(A72="","",IF(R72="No",0,IF(LEFT(T72,7)="AT RISK",Assumptions!$C$13,0)+IF(LEFT(U72,3)="Yes",Assumptions!$C$14,0)+IF(F72="Yes",Assumptions!$C$15,0)+IF(G72="Restricted",Assumptions!$C$16,IF(G72="Confidential",Assumptions!$C$17,IF(G72="Internal",Assumptions!$C$18,0)))+IF(OR(N72="Roadmap - verbal only",N72="No roadmap",N72="Not asked yet",N72=""),Assumptions!$C$19,0)+IF(E72="Production",Assumptions!$C$20,0)+IF(AND(ISNUMBER(P72),N(P72)&gt;=Assumptions!$C$22),Assumptions!$C$21,0)))</f>
        <v/>
      </c>
      <c r="Y72" s="18" t="str">
        <f aca="false">IF(X72="","",IF(R72="No","None",IF(X72&gt;=Assumptions!$C$23,"High",IF(X72&gt;=Assumptions!$C$24,"Medium","Low"))))</f>
        <v/>
      </c>
      <c r="Z72" s="16"/>
      <c r="AA72" s="17"/>
      <c r="AB72" s="16"/>
      <c r="AC72" s="18" t="str">
        <f aca="true">IF(OR(AA72="",AB72="Hybrid deployed",AB72="PQC deployed",AB72="Not required (not vulnerable)",AB72="Risk accepted"),"",IF(AA72&lt;TODAY(),"OVERDUE",""))</f>
        <v/>
      </c>
      <c r="AD72" s="18" t="str">
        <f aca="true">IF(A72="","",IF(B72="","Name the system. ","")&amp;IF(LEFT(R72,7)="Unknown","Algorithm unknown - scan or ask the vendor. ","")&amp;IF(AND(R72&lt;&gt;"No",Assumptions!$C$6=""),"Set Z on Assumptions. ","")&amp;IF(AND(R72&lt;&gt;"No",OR(O72="",P72="")),"Enter X and Y. ","")&amp;IF(LEFT(T72,7)="AT RISK","Mosca: X+Y exceeds Z - migration should already be under way. ","")&amp;IF(AND(LEFT(U72,3)="Yes",OR(AB72="",AB72="Not started")),"Harvest-now-decrypt-later exposure and migration not started. ","")&amp;IF(AND(R72&lt;&gt;"No",OR(W72="",W72="To decide")),"Choose a target algorithm. ","")&amp;IF(AND(R72&lt;&gt;"No",W72="Keep - not quantum-vulnerable"),"Target 'Keep' conflicts with a quantum-vulnerable algorithm. ","")&amp;IF(LEFT(J72,5)="SHA-1","SHA-1 is deprecated - replace (NIST IR 8547). ","")&amp;IF(AND(R72&lt;&gt;"No",OR(N72="Roadmap - verbal only",N72="No roadmap",N72="Not asked yet")),"Get a written PQC roadmap from the vendor. ","")&amp;IF(AND(R72&lt;&gt;"No",N72=""),"Record the vendor PQC roadmap status. ","")&amp;IF(ISNUMBER(M72),IF(M72&lt;TODAY(),"Certificate or key expired. ",IF(M72-TODAY()&lt;=Assumptions!$C$25,"Expires soon - use the renewal to revisit the algorithm. ","")),"")&amp;IF(AC72="OVERDUE","Migration overdue. ","")&amp;IF(AND(R72&lt;&gt;"No",Z72=""),"Assign a migration owner. ",""))</f>
        <v/>
      </c>
    </row>
    <row r="73" customFormat="false" ht="15" hidden="false" customHeight="false" outlineLevel="0" collapsed="false">
      <c r="A73" s="16"/>
      <c r="B73" s="16"/>
      <c r="C73" s="16"/>
      <c r="D73" s="16"/>
      <c r="E73" s="16"/>
      <c r="F73" s="16"/>
      <c r="G73" s="16"/>
      <c r="H73" s="16"/>
      <c r="I73" s="16"/>
      <c r="J73" s="16"/>
      <c r="K73" s="16"/>
      <c r="L73" s="16"/>
      <c r="M73" s="17"/>
      <c r="N73" s="16"/>
      <c r="O73" s="16"/>
      <c r="P73" s="16"/>
      <c r="Q73" s="18" t="str">
        <f aca="false">IF(A73="","",IF(J73="","Unknown",IFERROR(INDEX('Algorithm Reference'!$C$6:$C$41,MATCH(J73,'Algorithm Reference'!$B$6:$B$41,0)),"Not in reference")))</f>
        <v/>
      </c>
      <c r="R73" s="18" t="str">
        <f aca="false">IF(A73="","",IF(J73="","Unknown - investigate",IFERROR(INDEX('Algorithm Reference'!$E$6:$E$41,MATCH(J73,'Algorithm Reference'!$B$6:$B$41,0)),"Unknown - investigate")))</f>
        <v/>
      </c>
      <c r="S73" s="18" t="str">
        <f aca="false">IF(OR(O73="",P73=""),"",O73+P73)</f>
        <v/>
      </c>
      <c r="T73" s="18" t="str">
        <f aca="false">IF(A73="","",IF(R73="No","N/A - not quantum-vulnerable",IF(OR(O73="",P73=""),"Enter X and Y",IF(Assumptions!$C$6="","Set Z on Assumptions",IF(O73+P73&gt;Assumptions!$C$6,"AT RISK (X+Y &gt; Z)","Within Z (X+Y &lt;= Z)")))))</f>
        <v/>
      </c>
      <c r="U73" s="18" t="str">
        <f aca="false">IF(A73="","",IF(AND(R73&lt;&gt;"No",OR(I73="Key establishment / encryption in transit",I73="Key wrapping / key transport",I73="Mixed or unknown",I73=""),OR(N(O73)&gt;0,G73="Confidential",G73="Restricted")),IF(F73="Yes","Yes - internet-facing","Yes"),"No"))</f>
        <v/>
      </c>
      <c r="V73" s="18" t="str">
        <f aca="false">IF(A73="","",IF(R73="No","Keep - not quantum-vulnerable (review key size)",IF(I73="Digital signature / authentication","ML-DSA-65 (FIPS 204); SLH-DSA (FIPS 205) if hash-based is preferred",IF(OR(I73="Key establishment / encryption in transit",I73="Key wrapping / key transport"),"ML-KEM-768 (FIPS 203); hybrid X25519MLKEM768 for TLS 1.3",IF(I73="Mixed or unknown","Both: ML-KEM (FIPS 203) for keys, ML-DSA (FIPS 204) for signatures","Pick the crypto function first")))))</f>
        <v/>
      </c>
      <c r="W73" s="16"/>
      <c r="X73" s="18" t="str">
        <f aca="false">IF(A73="","",IF(R73="No",0,IF(LEFT(T73,7)="AT RISK",Assumptions!$C$13,0)+IF(LEFT(U73,3)="Yes",Assumptions!$C$14,0)+IF(F73="Yes",Assumptions!$C$15,0)+IF(G73="Restricted",Assumptions!$C$16,IF(G73="Confidential",Assumptions!$C$17,IF(G73="Internal",Assumptions!$C$18,0)))+IF(OR(N73="Roadmap - verbal only",N73="No roadmap",N73="Not asked yet",N73=""),Assumptions!$C$19,0)+IF(E73="Production",Assumptions!$C$20,0)+IF(AND(ISNUMBER(P73),N(P73)&gt;=Assumptions!$C$22),Assumptions!$C$21,0)))</f>
        <v/>
      </c>
      <c r="Y73" s="18" t="str">
        <f aca="false">IF(X73="","",IF(R73="No","None",IF(X73&gt;=Assumptions!$C$23,"High",IF(X73&gt;=Assumptions!$C$24,"Medium","Low"))))</f>
        <v/>
      </c>
      <c r="Z73" s="16"/>
      <c r="AA73" s="17"/>
      <c r="AB73" s="16"/>
      <c r="AC73" s="18" t="str">
        <f aca="true">IF(OR(AA73="",AB73="Hybrid deployed",AB73="PQC deployed",AB73="Not required (not vulnerable)",AB73="Risk accepted"),"",IF(AA73&lt;TODAY(),"OVERDUE",""))</f>
        <v/>
      </c>
      <c r="AD73" s="18" t="str">
        <f aca="true">IF(A73="","",IF(B73="","Name the system. ","")&amp;IF(LEFT(R73,7)="Unknown","Algorithm unknown - scan or ask the vendor. ","")&amp;IF(AND(R73&lt;&gt;"No",Assumptions!$C$6=""),"Set Z on Assumptions. ","")&amp;IF(AND(R73&lt;&gt;"No",OR(O73="",P73="")),"Enter X and Y. ","")&amp;IF(LEFT(T73,7)="AT RISK","Mosca: X+Y exceeds Z - migration should already be under way. ","")&amp;IF(AND(LEFT(U73,3)="Yes",OR(AB73="",AB73="Not started")),"Harvest-now-decrypt-later exposure and migration not started. ","")&amp;IF(AND(R73&lt;&gt;"No",OR(W73="",W73="To decide")),"Choose a target algorithm. ","")&amp;IF(AND(R73&lt;&gt;"No",W73="Keep - not quantum-vulnerable"),"Target 'Keep' conflicts with a quantum-vulnerable algorithm. ","")&amp;IF(LEFT(J73,5)="SHA-1","SHA-1 is deprecated - replace (NIST IR 8547). ","")&amp;IF(AND(R73&lt;&gt;"No",OR(N73="Roadmap - verbal only",N73="No roadmap",N73="Not asked yet")),"Get a written PQC roadmap from the vendor. ","")&amp;IF(AND(R73&lt;&gt;"No",N73=""),"Record the vendor PQC roadmap status. ","")&amp;IF(ISNUMBER(M73),IF(M73&lt;TODAY(),"Certificate or key expired. ",IF(M73-TODAY()&lt;=Assumptions!$C$25,"Expires soon - use the renewal to revisit the algorithm. ","")),"")&amp;IF(AC73="OVERDUE","Migration overdue. ","")&amp;IF(AND(R73&lt;&gt;"No",Z73=""),"Assign a migration owner. ",""))</f>
        <v/>
      </c>
    </row>
    <row r="74" customFormat="false" ht="15" hidden="false" customHeight="false" outlineLevel="0" collapsed="false">
      <c r="A74" s="16"/>
      <c r="B74" s="16"/>
      <c r="C74" s="16"/>
      <c r="D74" s="16"/>
      <c r="E74" s="16"/>
      <c r="F74" s="16"/>
      <c r="G74" s="16"/>
      <c r="H74" s="16"/>
      <c r="I74" s="16"/>
      <c r="J74" s="16"/>
      <c r="K74" s="16"/>
      <c r="L74" s="16"/>
      <c r="M74" s="17"/>
      <c r="N74" s="16"/>
      <c r="O74" s="16"/>
      <c r="P74" s="16"/>
      <c r="Q74" s="18" t="str">
        <f aca="false">IF(A74="","",IF(J74="","Unknown",IFERROR(INDEX('Algorithm Reference'!$C$6:$C$41,MATCH(J74,'Algorithm Reference'!$B$6:$B$41,0)),"Not in reference")))</f>
        <v/>
      </c>
      <c r="R74" s="18" t="str">
        <f aca="false">IF(A74="","",IF(J74="","Unknown - investigate",IFERROR(INDEX('Algorithm Reference'!$E$6:$E$41,MATCH(J74,'Algorithm Reference'!$B$6:$B$41,0)),"Unknown - investigate")))</f>
        <v/>
      </c>
      <c r="S74" s="18" t="str">
        <f aca="false">IF(OR(O74="",P74=""),"",O74+P74)</f>
        <v/>
      </c>
      <c r="T74" s="18" t="str">
        <f aca="false">IF(A74="","",IF(R74="No","N/A - not quantum-vulnerable",IF(OR(O74="",P74=""),"Enter X and Y",IF(Assumptions!$C$6="","Set Z on Assumptions",IF(O74+P74&gt;Assumptions!$C$6,"AT RISK (X+Y &gt; Z)","Within Z (X+Y &lt;= Z)")))))</f>
        <v/>
      </c>
      <c r="U74" s="18" t="str">
        <f aca="false">IF(A74="","",IF(AND(R74&lt;&gt;"No",OR(I74="Key establishment / encryption in transit",I74="Key wrapping / key transport",I74="Mixed or unknown",I74=""),OR(N(O74)&gt;0,G74="Confidential",G74="Restricted")),IF(F74="Yes","Yes - internet-facing","Yes"),"No"))</f>
        <v/>
      </c>
      <c r="V74" s="18" t="str">
        <f aca="false">IF(A74="","",IF(R74="No","Keep - not quantum-vulnerable (review key size)",IF(I74="Digital signature / authentication","ML-DSA-65 (FIPS 204); SLH-DSA (FIPS 205) if hash-based is preferred",IF(OR(I74="Key establishment / encryption in transit",I74="Key wrapping / key transport"),"ML-KEM-768 (FIPS 203); hybrid X25519MLKEM768 for TLS 1.3",IF(I74="Mixed or unknown","Both: ML-KEM (FIPS 203) for keys, ML-DSA (FIPS 204) for signatures","Pick the crypto function first")))))</f>
        <v/>
      </c>
      <c r="W74" s="16"/>
      <c r="X74" s="18" t="str">
        <f aca="false">IF(A74="","",IF(R74="No",0,IF(LEFT(T74,7)="AT RISK",Assumptions!$C$13,0)+IF(LEFT(U74,3)="Yes",Assumptions!$C$14,0)+IF(F74="Yes",Assumptions!$C$15,0)+IF(G74="Restricted",Assumptions!$C$16,IF(G74="Confidential",Assumptions!$C$17,IF(G74="Internal",Assumptions!$C$18,0)))+IF(OR(N74="Roadmap - verbal only",N74="No roadmap",N74="Not asked yet",N74=""),Assumptions!$C$19,0)+IF(E74="Production",Assumptions!$C$20,0)+IF(AND(ISNUMBER(P74),N(P74)&gt;=Assumptions!$C$22),Assumptions!$C$21,0)))</f>
        <v/>
      </c>
      <c r="Y74" s="18" t="str">
        <f aca="false">IF(X74="","",IF(R74="No","None",IF(X74&gt;=Assumptions!$C$23,"High",IF(X74&gt;=Assumptions!$C$24,"Medium","Low"))))</f>
        <v/>
      </c>
      <c r="Z74" s="16"/>
      <c r="AA74" s="17"/>
      <c r="AB74" s="16"/>
      <c r="AC74" s="18" t="str">
        <f aca="true">IF(OR(AA74="",AB74="Hybrid deployed",AB74="PQC deployed",AB74="Not required (not vulnerable)",AB74="Risk accepted"),"",IF(AA74&lt;TODAY(),"OVERDUE",""))</f>
        <v/>
      </c>
      <c r="AD74" s="18" t="str">
        <f aca="true">IF(A74="","",IF(B74="","Name the system. ","")&amp;IF(LEFT(R74,7)="Unknown","Algorithm unknown - scan or ask the vendor. ","")&amp;IF(AND(R74&lt;&gt;"No",Assumptions!$C$6=""),"Set Z on Assumptions. ","")&amp;IF(AND(R74&lt;&gt;"No",OR(O74="",P74="")),"Enter X and Y. ","")&amp;IF(LEFT(T74,7)="AT RISK","Mosca: X+Y exceeds Z - migration should already be under way. ","")&amp;IF(AND(LEFT(U74,3)="Yes",OR(AB74="",AB74="Not started")),"Harvest-now-decrypt-later exposure and migration not started. ","")&amp;IF(AND(R74&lt;&gt;"No",OR(W74="",W74="To decide")),"Choose a target algorithm. ","")&amp;IF(AND(R74&lt;&gt;"No",W74="Keep - not quantum-vulnerable"),"Target 'Keep' conflicts with a quantum-vulnerable algorithm. ","")&amp;IF(LEFT(J74,5)="SHA-1","SHA-1 is deprecated - replace (NIST IR 8547). ","")&amp;IF(AND(R74&lt;&gt;"No",OR(N74="Roadmap - verbal only",N74="No roadmap",N74="Not asked yet")),"Get a written PQC roadmap from the vendor. ","")&amp;IF(AND(R74&lt;&gt;"No",N74=""),"Record the vendor PQC roadmap status. ","")&amp;IF(ISNUMBER(M74),IF(M74&lt;TODAY(),"Certificate or key expired. ",IF(M74-TODAY()&lt;=Assumptions!$C$25,"Expires soon - use the renewal to revisit the algorithm. ","")),"")&amp;IF(AC74="OVERDUE","Migration overdue. ","")&amp;IF(AND(R74&lt;&gt;"No",Z74=""),"Assign a migration owner. ",""))</f>
        <v/>
      </c>
    </row>
    <row r="75" customFormat="false" ht="15" hidden="false" customHeight="false" outlineLevel="0" collapsed="false">
      <c r="A75" s="16"/>
      <c r="B75" s="16"/>
      <c r="C75" s="16"/>
      <c r="D75" s="16"/>
      <c r="E75" s="16"/>
      <c r="F75" s="16"/>
      <c r="G75" s="16"/>
      <c r="H75" s="16"/>
      <c r="I75" s="16"/>
      <c r="J75" s="16"/>
      <c r="K75" s="16"/>
      <c r="L75" s="16"/>
      <c r="M75" s="17"/>
      <c r="N75" s="16"/>
      <c r="O75" s="16"/>
      <c r="P75" s="16"/>
      <c r="Q75" s="18" t="str">
        <f aca="false">IF(A75="","",IF(J75="","Unknown",IFERROR(INDEX('Algorithm Reference'!$C$6:$C$41,MATCH(J75,'Algorithm Reference'!$B$6:$B$41,0)),"Not in reference")))</f>
        <v/>
      </c>
      <c r="R75" s="18" t="str">
        <f aca="false">IF(A75="","",IF(J75="","Unknown - investigate",IFERROR(INDEX('Algorithm Reference'!$E$6:$E$41,MATCH(J75,'Algorithm Reference'!$B$6:$B$41,0)),"Unknown - investigate")))</f>
        <v/>
      </c>
      <c r="S75" s="18" t="str">
        <f aca="false">IF(OR(O75="",P75=""),"",O75+P75)</f>
        <v/>
      </c>
      <c r="T75" s="18" t="str">
        <f aca="false">IF(A75="","",IF(R75="No","N/A - not quantum-vulnerable",IF(OR(O75="",P75=""),"Enter X and Y",IF(Assumptions!$C$6="","Set Z on Assumptions",IF(O75+P75&gt;Assumptions!$C$6,"AT RISK (X+Y &gt; Z)","Within Z (X+Y &lt;= Z)")))))</f>
        <v/>
      </c>
      <c r="U75" s="18" t="str">
        <f aca="false">IF(A75="","",IF(AND(R75&lt;&gt;"No",OR(I75="Key establishment / encryption in transit",I75="Key wrapping / key transport",I75="Mixed or unknown",I75=""),OR(N(O75)&gt;0,G75="Confidential",G75="Restricted")),IF(F75="Yes","Yes - internet-facing","Yes"),"No"))</f>
        <v/>
      </c>
      <c r="V75" s="18" t="str">
        <f aca="false">IF(A75="","",IF(R75="No","Keep - not quantum-vulnerable (review key size)",IF(I75="Digital signature / authentication","ML-DSA-65 (FIPS 204); SLH-DSA (FIPS 205) if hash-based is preferred",IF(OR(I75="Key establishment / encryption in transit",I75="Key wrapping / key transport"),"ML-KEM-768 (FIPS 203); hybrid X25519MLKEM768 for TLS 1.3",IF(I75="Mixed or unknown","Both: ML-KEM (FIPS 203) for keys, ML-DSA (FIPS 204) for signatures","Pick the crypto function first")))))</f>
        <v/>
      </c>
      <c r="W75" s="16"/>
      <c r="X75" s="18" t="str">
        <f aca="false">IF(A75="","",IF(R75="No",0,IF(LEFT(T75,7)="AT RISK",Assumptions!$C$13,0)+IF(LEFT(U75,3)="Yes",Assumptions!$C$14,0)+IF(F75="Yes",Assumptions!$C$15,0)+IF(G75="Restricted",Assumptions!$C$16,IF(G75="Confidential",Assumptions!$C$17,IF(G75="Internal",Assumptions!$C$18,0)))+IF(OR(N75="Roadmap - verbal only",N75="No roadmap",N75="Not asked yet",N75=""),Assumptions!$C$19,0)+IF(E75="Production",Assumptions!$C$20,0)+IF(AND(ISNUMBER(P75),N(P75)&gt;=Assumptions!$C$22),Assumptions!$C$21,0)))</f>
        <v/>
      </c>
      <c r="Y75" s="18" t="str">
        <f aca="false">IF(X75="","",IF(R75="No","None",IF(X75&gt;=Assumptions!$C$23,"High",IF(X75&gt;=Assumptions!$C$24,"Medium","Low"))))</f>
        <v/>
      </c>
      <c r="Z75" s="16"/>
      <c r="AA75" s="17"/>
      <c r="AB75" s="16"/>
      <c r="AC75" s="18" t="str">
        <f aca="true">IF(OR(AA75="",AB75="Hybrid deployed",AB75="PQC deployed",AB75="Not required (not vulnerable)",AB75="Risk accepted"),"",IF(AA75&lt;TODAY(),"OVERDUE",""))</f>
        <v/>
      </c>
      <c r="AD75" s="18" t="str">
        <f aca="true">IF(A75="","",IF(B75="","Name the system. ","")&amp;IF(LEFT(R75,7)="Unknown","Algorithm unknown - scan or ask the vendor. ","")&amp;IF(AND(R75&lt;&gt;"No",Assumptions!$C$6=""),"Set Z on Assumptions. ","")&amp;IF(AND(R75&lt;&gt;"No",OR(O75="",P75="")),"Enter X and Y. ","")&amp;IF(LEFT(T75,7)="AT RISK","Mosca: X+Y exceeds Z - migration should already be under way. ","")&amp;IF(AND(LEFT(U75,3)="Yes",OR(AB75="",AB75="Not started")),"Harvest-now-decrypt-later exposure and migration not started. ","")&amp;IF(AND(R75&lt;&gt;"No",OR(W75="",W75="To decide")),"Choose a target algorithm. ","")&amp;IF(AND(R75&lt;&gt;"No",W75="Keep - not quantum-vulnerable"),"Target 'Keep' conflicts with a quantum-vulnerable algorithm. ","")&amp;IF(LEFT(J75,5)="SHA-1","SHA-1 is deprecated - replace (NIST IR 8547). ","")&amp;IF(AND(R75&lt;&gt;"No",OR(N75="Roadmap - verbal only",N75="No roadmap",N75="Not asked yet")),"Get a written PQC roadmap from the vendor. ","")&amp;IF(AND(R75&lt;&gt;"No",N75=""),"Record the vendor PQC roadmap status. ","")&amp;IF(ISNUMBER(M75),IF(M75&lt;TODAY(),"Certificate or key expired. ",IF(M75-TODAY()&lt;=Assumptions!$C$25,"Expires soon - use the renewal to revisit the algorithm. ","")),"")&amp;IF(AC75="OVERDUE","Migration overdue. ","")&amp;IF(AND(R75&lt;&gt;"No",Z75=""),"Assign a migration owner. ",""))</f>
        <v/>
      </c>
    </row>
    <row r="76" customFormat="false" ht="15" hidden="false" customHeight="false" outlineLevel="0" collapsed="false">
      <c r="A76" s="16"/>
      <c r="B76" s="16"/>
      <c r="C76" s="16"/>
      <c r="D76" s="16"/>
      <c r="E76" s="16"/>
      <c r="F76" s="16"/>
      <c r="G76" s="16"/>
      <c r="H76" s="16"/>
      <c r="I76" s="16"/>
      <c r="J76" s="16"/>
      <c r="K76" s="16"/>
      <c r="L76" s="16"/>
      <c r="M76" s="17"/>
      <c r="N76" s="16"/>
      <c r="O76" s="16"/>
      <c r="P76" s="16"/>
      <c r="Q76" s="18" t="str">
        <f aca="false">IF(A76="","",IF(J76="","Unknown",IFERROR(INDEX('Algorithm Reference'!$C$6:$C$41,MATCH(J76,'Algorithm Reference'!$B$6:$B$41,0)),"Not in reference")))</f>
        <v/>
      </c>
      <c r="R76" s="18" t="str">
        <f aca="false">IF(A76="","",IF(J76="","Unknown - investigate",IFERROR(INDEX('Algorithm Reference'!$E$6:$E$41,MATCH(J76,'Algorithm Reference'!$B$6:$B$41,0)),"Unknown - investigate")))</f>
        <v/>
      </c>
      <c r="S76" s="18" t="str">
        <f aca="false">IF(OR(O76="",P76=""),"",O76+P76)</f>
        <v/>
      </c>
      <c r="T76" s="18" t="str">
        <f aca="false">IF(A76="","",IF(R76="No","N/A - not quantum-vulnerable",IF(OR(O76="",P76=""),"Enter X and Y",IF(Assumptions!$C$6="","Set Z on Assumptions",IF(O76+P76&gt;Assumptions!$C$6,"AT RISK (X+Y &gt; Z)","Within Z (X+Y &lt;= Z)")))))</f>
        <v/>
      </c>
      <c r="U76" s="18" t="str">
        <f aca="false">IF(A76="","",IF(AND(R76&lt;&gt;"No",OR(I76="Key establishment / encryption in transit",I76="Key wrapping / key transport",I76="Mixed or unknown",I76=""),OR(N(O76)&gt;0,G76="Confidential",G76="Restricted")),IF(F76="Yes","Yes - internet-facing","Yes"),"No"))</f>
        <v/>
      </c>
      <c r="V76" s="18" t="str">
        <f aca="false">IF(A76="","",IF(R76="No","Keep - not quantum-vulnerable (review key size)",IF(I76="Digital signature / authentication","ML-DSA-65 (FIPS 204); SLH-DSA (FIPS 205) if hash-based is preferred",IF(OR(I76="Key establishment / encryption in transit",I76="Key wrapping / key transport"),"ML-KEM-768 (FIPS 203); hybrid X25519MLKEM768 for TLS 1.3",IF(I76="Mixed or unknown","Both: ML-KEM (FIPS 203) for keys, ML-DSA (FIPS 204) for signatures","Pick the crypto function first")))))</f>
        <v/>
      </c>
      <c r="W76" s="16"/>
      <c r="X76" s="18" t="str">
        <f aca="false">IF(A76="","",IF(R76="No",0,IF(LEFT(T76,7)="AT RISK",Assumptions!$C$13,0)+IF(LEFT(U76,3)="Yes",Assumptions!$C$14,0)+IF(F76="Yes",Assumptions!$C$15,0)+IF(G76="Restricted",Assumptions!$C$16,IF(G76="Confidential",Assumptions!$C$17,IF(G76="Internal",Assumptions!$C$18,0)))+IF(OR(N76="Roadmap - verbal only",N76="No roadmap",N76="Not asked yet",N76=""),Assumptions!$C$19,0)+IF(E76="Production",Assumptions!$C$20,0)+IF(AND(ISNUMBER(P76),N(P76)&gt;=Assumptions!$C$22),Assumptions!$C$21,0)))</f>
        <v/>
      </c>
      <c r="Y76" s="18" t="str">
        <f aca="false">IF(X76="","",IF(R76="No","None",IF(X76&gt;=Assumptions!$C$23,"High",IF(X76&gt;=Assumptions!$C$24,"Medium","Low"))))</f>
        <v/>
      </c>
      <c r="Z76" s="16"/>
      <c r="AA76" s="17"/>
      <c r="AB76" s="16"/>
      <c r="AC76" s="18" t="str">
        <f aca="true">IF(OR(AA76="",AB76="Hybrid deployed",AB76="PQC deployed",AB76="Not required (not vulnerable)",AB76="Risk accepted"),"",IF(AA76&lt;TODAY(),"OVERDUE",""))</f>
        <v/>
      </c>
      <c r="AD76" s="18" t="str">
        <f aca="true">IF(A76="","",IF(B76="","Name the system. ","")&amp;IF(LEFT(R76,7)="Unknown","Algorithm unknown - scan or ask the vendor. ","")&amp;IF(AND(R76&lt;&gt;"No",Assumptions!$C$6=""),"Set Z on Assumptions. ","")&amp;IF(AND(R76&lt;&gt;"No",OR(O76="",P76="")),"Enter X and Y. ","")&amp;IF(LEFT(T76,7)="AT RISK","Mosca: X+Y exceeds Z - migration should already be under way. ","")&amp;IF(AND(LEFT(U76,3)="Yes",OR(AB76="",AB76="Not started")),"Harvest-now-decrypt-later exposure and migration not started. ","")&amp;IF(AND(R76&lt;&gt;"No",OR(W76="",W76="To decide")),"Choose a target algorithm. ","")&amp;IF(AND(R76&lt;&gt;"No",W76="Keep - not quantum-vulnerable"),"Target 'Keep' conflicts with a quantum-vulnerable algorithm. ","")&amp;IF(LEFT(J76,5)="SHA-1","SHA-1 is deprecated - replace (NIST IR 8547). ","")&amp;IF(AND(R76&lt;&gt;"No",OR(N76="Roadmap - verbal only",N76="No roadmap",N76="Not asked yet")),"Get a written PQC roadmap from the vendor. ","")&amp;IF(AND(R76&lt;&gt;"No",N76=""),"Record the vendor PQC roadmap status. ","")&amp;IF(ISNUMBER(M76),IF(M76&lt;TODAY(),"Certificate or key expired. ",IF(M76-TODAY()&lt;=Assumptions!$C$25,"Expires soon - use the renewal to revisit the algorithm. ","")),"")&amp;IF(AC76="OVERDUE","Migration overdue. ","")&amp;IF(AND(R76&lt;&gt;"No",Z76=""),"Assign a migration owner. ",""))</f>
        <v/>
      </c>
    </row>
    <row r="77" customFormat="false" ht="15" hidden="false" customHeight="false" outlineLevel="0" collapsed="false">
      <c r="A77" s="16"/>
      <c r="B77" s="16"/>
      <c r="C77" s="16"/>
      <c r="D77" s="16"/>
      <c r="E77" s="16"/>
      <c r="F77" s="16"/>
      <c r="G77" s="16"/>
      <c r="H77" s="16"/>
      <c r="I77" s="16"/>
      <c r="J77" s="16"/>
      <c r="K77" s="16"/>
      <c r="L77" s="16"/>
      <c r="M77" s="17"/>
      <c r="N77" s="16"/>
      <c r="O77" s="16"/>
      <c r="P77" s="16"/>
      <c r="Q77" s="18" t="str">
        <f aca="false">IF(A77="","",IF(J77="","Unknown",IFERROR(INDEX('Algorithm Reference'!$C$6:$C$41,MATCH(J77,'Algorithm Reference'!$B$6:$B$41,0)),"Not in reference")))</f>
        <v/>
      </c>
      <c r="R77" s="18" t="str">
        <f aca="false">IF(A77="","",IF(J77="","Unknown - investigate",IFERROR(INDEX('Algorithm Reference'!$E$6:$E$41,MATCH(J77,'Algorithm Reference'!$B$6:$B$41,0)),"Unknown - investigate")))</f>
        <v/>
      </c>
      <c r="S77" s="18" t="str">
        <f aca="false">IF(OR(O77="",P77=""),"",O77+P77)</f>
        <v/>
      </c>
      <c r="T77" s="18" t="str">
        <f aca="false">IF(A77="","",IF(R77="No","N/A - not quantum-vulnerable",IF(OR(O77="",P77=""),"Enter X and Y",IF(Assumptions!$C$6="","Set Z on Assumptions",IF(O77+P77&gt;Assumptions!$C$6,"AT RISK (X+Y &gt; Z)","Within Z (X+Y &lt;= Z)")))))</f>
        <v/>
      </c>
      <c r="U77" s="18" t="str">
        <f aca="false">IF(A77="","",IF(AND(R77&lt;&gt;"No",OR(I77="Key establishment / encryption in transit",I77="Key wrapping / key transport",I77="Mixed or unknown",I77=""),OR(N(O77)&gt;0,G77="Confidential",G77="Restricted")),IF(F77="Yes","Yes - internet-facing","Yes"),"No"))</f>
        <v/>
      </c>
      <c r="V77" s="18" t="str">
        <f aca="false">IF(A77="","",IF(R77="No","Keep - not quantum-vulnerable (review key size)",IF(I77="Digital signature / authentication","ML-DSA-65 (FIPS 204); SLH-DSA (FIPS 205) if hash-based is preferred",IF(OR(I77="Key establishment / encryption in transit",I77="Key wrapping / key transport"),"ML-KEM-768 (FIPS 203); hybrid X25519MLKEM768 for TLS 1.3",IF(I77="Mixed or unknown","Both: ML-KEM (FIPS 203) for keys, ML-DSA (FIPS 204) for signatures","Pick the crypto function first")))))</f>
        <v/>
      </c>
      <c r="W77" s="16"/>
      <c r="X77" s="18" t="str">
        <f aca="false">IF(A77="","",IF(R77="No",0,IF(LEFT(T77,7)="AT RISK",Assumptions!$C$13,0)+IF(LEFT(U77,3)="Yes",Assumptions!$C$14,0)+IF(F77="Yes",Assumptions!$C$15,0)+IF(G77="Restricted",Assumptions!$C$16,IF(G77="Confidential",Assumptions!$C$17,IF(G77="Internal",Assumptions!$C$18,0)))+IF(OR(N77="Roadmap - verbal only",N77="No roadmap",N77="Not asked yet",N77=""),Assumptions!$C$19,0)+IF(E77="Production",Assumptions!$C$20,0)+IF(AND(ISNUMBER(P77),N(P77)&gt;=Assumptions!$C$22),Assumptions!$C$21,0)))</f>
        <v/>
      </c>
      <c r="Y77" s="18" t="str">
        <f aca="false">IF(X77="","",IF(R77="No","None",IF(X77&gt;=Assumptions!$C$23,"High",IF(X77&gt;=Assumptions!$C$24,"Medium","Low"))))</f>
        <v/>
      </c>
      <c r="Z77" s="16"/>
      <c r="AA77" s="17"/>
      <c r="AB77" s="16"/>
      <c r="AC77" s="18" t="str">
        <f aca="true">IF(OR(AA77="",AB77="Hybrid deployed",AB77="PQC deployed",AB77="Not required (not vulnerable)",AB77="Risk accepted"),"",IF(AA77&lt;TODAY(),"OVERDUE",""))</f>
        <v/>
      </c>
      <c r="AD77" s="18" t="str">
        <f aca="true">IF(A77="","",IF(B77="","Name the system. ","")&amp;IF(LEFT(R77,7)="Unknown","Algorithm unknown - scan or ask the vendor. ","")&amp;IF(AND(R77&lt;&gt;"No",Assumptions!$C$6=""),"Set Z on Assumptions. ","")&amp;IF(AND(R77&lt;&gt;"No",OR(O77="",P77="")),"Enter X and Y. ","")&amp;IF(LEFT(T77,7)="AT RISK","Mosca: X+Y exceeds Z - migration should already be under way. ","")&amp;IF(AND(LEFT(U77,3)="Yes",OR(AB77="",AB77="Not started")),"Harvest-now-decrypt-later exposure and migration not started. ","")&amp;IF(AND(R77&lt;&gt;"No",OR(W77="",W77="To decide")),"Choose a target algorithm. ","")&amp;IF(AND(R77&lt;&gt;"No",W77="Keep - not quantum-vulnerable"),"Target 'Keep' conflicts with a quantum-vulnerable algorithm. ","")&amp;IF(LEFT(J77,5)="SHA-1","SHA-1 is deprecated - replace (NIST IR 8547). ","")&amp;IF(AND(R77&lt;&gt;"No",OR(N77="Roadmap - verbal only",N77="No roadmap",N77="Not asked yet")),"Get a written PQC roadmap from the vendor. ","")&amp;IF(AND(R77&lt;&gt;"No",N77=""),"Record the vendor PQC roadmap status. ","")&amp;IF(ISNUMBER(M77),IF(M77&lt;TODAY(),"Certificate or key expired. ",IF(M77-TODAY()&lt;=Assumptions!$C$25,"Expires soon - use the renewal to revisit the algorithm. ","")),"")&amp;IF(AC77="OVERDUE","Migration overdue. ","")&amp;IF(AND(R77&lt;&gt;"No",Z77=""),"Assign a migration owner. ",""))</f>
        <v/>
      </c>
    </row>
    <row r="78" customFormat="false" ht="15" hidden="false" customHeight="false" outlineLevel="0" collapsed="false">
      <c r="A78" s="16"/>
      <c r="B78" s="16"/>
      <c r="C78" s="16"/>
      <c r="D78" s="16"/>
      <c r="E78" s="16"/>
      <c r="F78" s="16"/>
      <c r="G78" s="16"/>
      <c r="H78" s="16"/>
      <c r="I78" s="16"/>
      <c r="J78" s="16"/>
      <c r="K78" s="16"/>
      <c r="L78" s="16"/>
      <c r="M78" s="17"/>
      <c r="N78" s="16"/>
      <c r="O78" s="16"/>
      <c r="P78" s="16"/>
      <c r="Q78" s="18" t="str">
        <f aca="false">IF(A78="","",IF(J78="","Unknown",IFERROR(INDEX('Algorithm Reference'!$C$6:$C$41,MATCH(J78,'Algorithm Reference'!$B$6:$B$41,0)),"Not in reference")))</f>
        <v/>
      </c>
      <c r="R78" s="18" t="str">
        <f aca="false">IF(A78="","",IF(J78="","Unknown - investigate",IFERROR(INDEX('Algorithm Reference'!$E$6:$E$41,MATCH(J78,'Algorithm Reference'!$B$6:$B$41,0)),"Unknown - investigate")))</f>
        <v/>
      </c>
      <c r="S78" s="18" t="str">
        <f aca="false">IF(OR(O78="",P78=""),"",O78+P78)</f>
        <v/>
      </c>
      <c r="T78" s="18" t="str">
        <f aca="false">IF(A78="","",IF(R78="No","N/A - not quantum-vulnerable",IF(OR(O78="",P78=""),"Enter X and Y",IF(Assumptions!$C$6="","Set Z on Assumptions",IF(O78+P78&gt;Assumptions!$C$6,"AT RISK (X+Y &gt; Z)","Within Z (X+Y &lt;= Z)")))))</f>
        <v/>
      </c>
      <c r="U78" s="18" t="str">
        <f aca="false">IF(A78="","",IF(AND(R78&lt;&gt;"No",OR(I78="Key establishment / encryption in transit",I78="Key wrapping / key transport",I78="Mixed or unknown",I78=""),OR(N(O78)&gt;0,G78="Confidential",G78="Restricted")),IF(F78="Yes","Yes - internet-facing","Yes"),"No"))</f>
        <v/>
      </c>
      <c r="V78" s="18" t="str">
        <f aca="false">IF(A78="","",IF(R78="No","Keep - not quantum-vulnerable (review key size)",IF(I78="Digital signature / authentication","ML-DSA-65 (FIPS 204); SLH-DSA (FIPS 205) if hash-based is preferred",IF(OR(I78="Key establishment / encryption in transit",I78="Key wrapping / key transport"),"ML-KEM-768 (FIPS 203); hybrid X25519MLKEM768 for TLS 1.3",IF(I78="Mixed or unknown","Both: ML-KEM (FIPS 203) for keys, ML-DSA (FIPS 204) for signatures","Pick the crypto function first")))))</f>
        <v/>
      </c>
      <c r="W78" s="16"/>
      <c r="X78" s="18" t="str">
        <f aca="false">IF(A78="","",IF(R78="No",0,IF(LEFT(T78,7)="AT RISK",Assumptions!$C$13,0)+IF(LEFT(U78,3)="Yes",Assumptions!$C$14,0)+IF(F78="Yes",Assumptions!$C$15,0)+IF(G78="Restricted",Assumptions!$C$16,IF(G78="Confidential",Assumptions!$C$17,IF(G78="Internal",Assumptions!$C$18,0)))+IF(OR(N78="Roadmap - verbal only",N78="No roadmap",N78="Not asked yet",N78=""),Assumptions!$C$19,0)+IF(E78="Production",Assumptions!$C$20,0)+IF(AND(ISNUMBER(P78),N(P78)&gt;=Assumptions!$C$22),Assumptions!$C$21,0)))</f>
        <v/>
      </c>
      <c r="Y78" s="18" t="str">
        <f aca="false">IF(X78="","",IF(R78="No","None",IF(X78&gt;=Assumptions!$C$23,"High",IF(X78&gt;=Assumptions!$C$24,"Medium","Low"))))</f>
        <v/>
      </c>
      <c r="Z78" s="16"/>
      <c r="AA78" s="17"/>
      <c r="AB78" s="16"/>
      <c r="AC78" s="18" t="str">
        <f aca="true">IF(OR(AA78="",AB78="Hybrid deployed",AB78="PQC deployed",AB78="Not required (not vulnerable)",AB78="Risk accepted"),"",IF(AA78&lt;TODAY(),"OVERDUE",""))</f>
        <v/>
      </c>
      <c r="AD78" s="18" t="str">
        <f aca="true">IF(A78="","",IF(B78="","Name the system. ","")&amp;IF(LEFT(R78,7)="Unknown","Algorithm unknown - scan or ask the vendor. ","")&amp;IF(AND(R78&lt;&gt;"No",Assumptions!$C$6=""),"Set Z on Assumptions. ","")&amp;IF(AND(R78&lt;&gt;"No",OR(O78="",P78="")),"Enter X and Y. ","")&amp;IF(LEFT(T78,7)="AT RISK","Mosca: X+Y exceeds Z - migration should already be under way. ","")&amp;IF(AND(LEFT(U78,3)="Yes",OR(AB78="",AB78="Not started")),"Harvest-now-decrypt-later exposure and migration not started. ","")&amp;IF(AND(R78&lt;&gt;"No",OR(W78="",W78="To decide")),"Choose a target algorithm. ","")&amp;IF(AND(R78&lt;&gt;"No",W78="Keep - not quantum-vulnerable"),"Target 'Keep' conflicts with a quantum-vulnerable algorithm. ","")&amp;IF(LEFT(J78,5)="SHA-1","SHA-1 is deprecated - replace (NIST IR 8547). ","")&amp;IF(AND(R78&lt;&gt;"No",OR(N78="Roadmap - verbal only",N78="No roadmap",N78="Not asked yet")),"Get a written PQC roadmap from the vendor. ","")&amp;IF(AND(R78&lt;&gt;"No",N78=""),"Record the vendor PQC roadmap status. ","")&amp;IF(ISNUMBER(M78),IF(M78&lt;TODAY(),"Certificate or key expired. ",IF(M78-TODAY()&lt;=Assumptions!$C$25,"Expires soon - use the renewal to revisit the algorithm. ","")),"")&amp;IF(AC78="OVERDUE","Migration overdue. ","")&amp;IF(AND(R78&lt;&gt;"No",Z78=""),"Assign a migration owner. ",""))</f>
        <v/>
      </c>
    </row>
    <row r="79" customFormat="false" ht="15" hidden="false" customHeight="false" outlineLevel="0" collapsed="false">
      <c r="A79" s="16"/>
      <c r="B79" s="16"/>
      <c r="C79" s="16"/>
      <c r="D79" s="16"/>
      <c r="E79" s="16"/>
      <c r="F79" s="16"/>
      <c r="G79" s="16"/>
      <c r="H79" s="16"/>
      <c r="I79" s="16"/>
      <c r="J79" s="16"/>
      <c r="K79" s="16"/>
      <c r="L79" s="16"/>
      <c r="M79" s="17"/>
      <c r="N79" s="16"/>
      <c r="O79" s="16"/>
      <c r="P79" s="16"/>
      <c r="Q79" s="18" t="str">
        <f aca="false">IF(A79="","",IF(J79="","Unknown",IFERROR(INDEX('Algorithm Reference'!$C$6:$C$41,MATCH(J79,'Algorithm Reference'!$B$6:$B$41,0)),"Not in reference")))</f>
        <v/>
      </c>
      <c r="R79" s="18" t="str">
        <f aca="false">IF(A79="","",IF(J79="","Unknown - investigate",IFERROR(INDEX('Algorithm Reference'!$E$6:$E$41,MATCH(J79,'Algorithm Reference'!$B$6:$B$41,0)),"Unknown - investigate")))</f>
        <v/>
      </c>
      <c r="S79" s="18" t="str">
        <f aca="false">IF(OR(O79="",P79=""),"",O79+P79)</f>
        <v/>
      </c>
      <c r="T79" s="18" t="str">
        <f aca="false">IF(A79="","",IF(R79="No","N/A - not quantum-vulnerable",IF(OR(O79="",P79=""),"Enter X and Y",IF(Assumptions!$C$6="","Set Z on Assumptions",IF(O79+P79&gt;Assumptions!$C$6,"AT RISK (X+Y &gt; Z)","Within Z (X+Y &lt;= Z)")))))</f>
        <v/>
      </c>
      <c r="U79" s="18" t="str">
        <f aca="false">IF(A79="","",IF(AND(R79&lt;&gt;"No",OR(I79="Key establishment / encryption in transit",I79="Key wrapping / key transport",I79="Mixed or unknown",I79=""),OR(N(O79)&gt;0,G79="Confidential",G79="Restricted")),IF(F79="Yes","Yes - internet-facing","Yes"),"No"))</f>
        <v/>
      </c>
      <c r="V79" s="18" t="str">
        <f aca="false">IF(A79="","",IF(R79="No","Keep - not quantum-vulnerable (review key size)",IF(I79="Digital signature / authentication","ML-DSA-65 (FIPS 204); SLH-DSA (FIPS 205) if hash-based is preferred",IF(OR(I79="Key establishment / encryption in transit",I79="Key wrapping / key transport"),"ML-KEM-768 (FIPS 203); hybrid X25519MLKEM768 for TLS 1.3",IF(I79="Mixed or unknown","Both: ML-KEM (FIPS 203) for keys, ML-DSA (FIPS 204) for signatures","Pick the crypto function first")))))</f>
        <v/>
      </c>
      <c r="W79" s="16"/>
      <c r="X79" s="18" t="str">
        <f aca="false">IF(A79="","",IF(R79="No",0,IF(LEFT(T79,7)="AT RISK",Assumptions!$C$13,0)+IF(LEFT(U79,3)="Yes",Assumptions!$C$14,0)+IF(F79="Yes",Assumptions!$C$15,0)+IF(G79="Restricted",Assumptions!$C$16,IF(G79="Confidential",Assumptions!$C$17,IF(G79="Internal",Assumptions!$C$18,0)))+IF(OR(N79="Roadmap - verbal only",N79="No roadmap",N79="Not asked yet",N79=""),Assumptions!$C$19,0)+IF(E79="Production",Assumptions!$C$20,0)+IF(AND(ISNUMBER(P79),N(P79)&gt;=Assumptions!$C$22),Assumptions!$C$21,0)))</f>
        <v/>
      </c>
      <c r="Y79" s="18" t="str">
        <f aca="false">IF(X79="","",IF(R79="No","None",IF(X79&gt;=Assumptions!$C$23,"High",IF(X79&gt;=Assumptions!$C$24,"Medium","Low"))))</f>
        <v/>
      </c>
      <c r="Z79" s="16"/>
      <c r="AA79" s="17"/>
      <c r="AB79" s="16"/>
      <c r="AC79" s="18" t="str">
        <f aca="true">IF(OR(AA79="",AB79="Hybrid deployed",AB79="PQC deployed",AB79="Not required (not vulnerable)",AB79="Risk accepted"),"",IF(AA79&lt;TODAY(),"OVERDUE",""))</f>
        <v/>
      </c>
      <c r="AD79" s="18" t="str">
        <f aca="true">IF(A79="","",IF(B79="","Name the system. ","")&amp;IF(LEFT(R79,7)="Unknown","Algorithm unknown - scan or ask the vendor. ","")&amp;IF(AND(R79&lt;&gt;"No",Assumptions!$C$6=""),"Set Z on Assumptions. ","")&amp;IF(AND(R79&lt;&gt;"No",OR(O79="",P79="")),"Enter X and Y. ","")&amp;IF(LEFT(T79,7)="AT RISK","Mosca: X+Y exceeds Z - migration should already be under way. ","")&amp;IF(AND(LEFT(U79,3)="Yes",OR(AB79="",AB79="Not started")),"Harvest-now-decrypt-later exposure and migration not started. ","")&amp;IF(AND(R79&lt;&gt;"No",OR(W79="",W79="To decide")),"Choose a target algorithm. ","")&amp;IF(AND(R79&lt;&gt;"No",W79="Keep - not quantum-vulnerable"),"Target 'Keep' conflicts with a quantum-vulnerable algorithm. ","")&amp;IF(LEFT(J79,5)="SHA-1","SHA-1 is deprecated - replace (NIST IR 8547). ","")&amp;IF(AND(R79&lt;&gt;"No",OR(N79="Roadmap - verbal only",N79="No roadmap",N79="Not asked yet")),"Get a written PQC roadmap from the vendor. ","")&amp;IF(AND(R79&lt;&gt;"No",N79=""),"Record the vendor PQC roadmap status. ","")&amp;IF(ISNUMBER(M79),IF(M79&lt;TODAY(),"Certificate or key expired. ",IF(M79-TODAY()&lt;=Assumptions!$C$25,"Expires soon - use the renewal to revisit the algorithm. ","")),"")&amp;IF(AC79="OVERDUE","Migration overdue. ","")&amp;IF(AND(R79&lt;&gt;"No",Z79=""),"Assign a migration owner. ",""))</f>
        <v/>
      </c>
    </row>
    <row r="80" customFormat="false" ht="15" hidden="false" customHeight="false" outlineLevel="0" collapsed="false">
      <c r="A80" s="16"/>
      <c r="B80" s="16"/>
      <c r="C80" s="16"/>
      <c r="D80" s="16"/>
      <c r="E80" s="16"/>
      <c r="F80" s="16"/>
      <c r="G80" s="16"/>
      <c r="H80" s="16"/>
      <c r="I80" s="16"/>
      <c r="J80" s="16"/>
      <c r="K80" s="16"/>
      <c r="L80" s="16"/>
      <c r="M80" s="17"/>
      <c r="N80" s="16"/>
      <c r="O80" s="16"/>
      <c r="P80" s="16"/>
      <c r="Q80" s="18" t="str">
        <f aca="false">IF(A80="","",IF(J80="","Unknown",IFERROR(INDEX('Algorithm Reference'!$C$6:$C$41,MATCH(J80,'Algorithm Reference'!$B$6:$B$41,0)),"Not in reference")))</f>
        <v/>
      </c>
      <c r="R80" s="18" t="str">
        <f aca="false">IF(A80="","",IF(J80="","Unknown - investigate",IFERROR(INDEX('Algorithm Reference'!$E$6:$E$41,MATCH(J80,'Algorithm Reference'!$B$6:$B$41,0)),"Unknown - investigate")))</f>
        <v/>
      </c>
      <c r="S80" s="18" t="str">
        <f aca="false">IF(OR(O80="",P80=""),"",O80+P80)</f>
        <v/>
      </c>
      <c r="T80" s="18" t="str">
        <f aca="false">IF(A80="","",IF(R80="No","N/A - not quantum-vulnerable",IF(OR(O80="",P80=""),"Enter X and Y",IF(Assumptions!$C$6="","Set Z on Assumptions",IF(O80+P80&gt;Assumptions!$C$6,"AT RISK (X+Y &gt; Z)","Within Z (X+Y &lt;= Z)")))))</f>
        <v/>
      </c>
      <c r="U80" s="18" t="str">
        <f aca="false">IF(A80="","",IF(AND(R80&lt;&gt;"No",OR(I80="Key establishment / encryption in transit",I80="Key wrapping / key transport",I80="Mixed or unknown",I80=""),OR(N(O80)&gt;0,G80="Confidential",G80="Restricted")),IF(F80="Yes","Yes - internet-facing","Yes"),"No"))</f>
        <v/>
      </c>
      <c r="V80" s="18" t="str">
        <f aca="false">IF(A80="","",IF(R80="No","Keep - not quantum-vulnerable (review key size)",IF(I80="Digital signature / authentication","ML-DSA-65 (FIPS 204); SLH-DSA (FIPS 205) if hash-based is preferred",IF(OR(I80="Key establishment / encryption in transit",I80="Key wrapping / key transport"),"ML-KEM-768 (FIPS 203); hybrid X25519MLKEM768 for TLS 1.3",IF(I80="Mixed or unknown","Both: ML-KEM (FIPS 203) for keys, ML-DSA (FIPS 204) for signatures","Pick the crypto function first")))))</f>
        <v/>
      </c>
      <c r="W80" s="16"/>
      <c r="X80" s="18" t="str">
        <f aca="false">IF(A80="","",IF(R80="No",0,IF(LEFT(T80,7)="AT RISK",Assumptions!$C$13,0)+IF(LEFT(U80,3)="Yes",Assumptions!$C$14,0)+IF(F80="Yes",Assumptions!$C$15,0)+IF(G80="Restricted",Assumptions!$C$16,IF(G80="Confidential",Assumptions!$C$17,IF(G80="Internal",Assumptions!$C$18,0)))+IF(OR(N80="Roadmap - verbal only",N80="No roadmap",N80="Not asked yet",N80=""),Assumptions!$C$19,0)+IF(E80="Production",Assumptions!$C$20,0)+IF(AND(ISNUMBER(P80),N(P80)&gt;=Assumptions!$C$22),Assumptions!$C$21,0)))</f>
        <v/>
      </c>
      <c r="Y80" s="18" t="str">
        <f aca="false">IF(X80="","",IF(R80="No","None",IF(X80&gt;=Assumptions!$C$23,"High",IF(X80&gt;=Assumptions!$C$24,"Medium","Low"))))</f>
        <v/>
      </c>
      <c r="Z80" s="16"/>
      <c r="AA80" s="17"/>
      <c r="AB80" s="16"/>
      <c r="AC80" s="18" t="str">
        <f aca="true">IF(OR(AA80="",AB80="Hybrid deployed",AB80="PQC deployed",AB80="Not required (not vulnerable)",AB80="Risk accepted"),"",IF(AA80&lt;TODAY(),"OVERDUE",""))</f>
        <v/>
      </c>
      <c r="AD80" s="18" t="str">
        <f aca="true">IF(A80="","",IF(B80="","Name the system. ","")&amp;IF(LEFT(R80,7)="Unknown","Algorithm unknown - scan or ask the vendor. ","")&amp;IF(AND(R80&lt;&gt;"No",Assumptions!$C$6=""),"Set Z on Assumptions. ","")&amp;IF(AND(R80&lt;&gt;"No",OR(O80="",P80="")),"Enter X and Y. ","")&amp;IF(LEFT(T80,7)="AT RISK","Mosca: X+Y exceeds Z - migration should already be under way. ","")&amp;IF(AND(LEFT(U80,3)="Yes",OR(AB80="",AB80="Not started")),"Harvest-now-decrypt-later exposure and migration not started. ","")&amp;IF(AND(R80&lt;&gt;"No",OR(W80="",W80="To decide")),"Choose a target algorithm. ","")&amp;IF(AND(R80&lt;&gt;"No",W80="Keep - not quantum-vulnerable"),"Target 'Keep' conflicts with a quantum-vulnerable algorithm. ","")&amp;IF(LEFT(J80,5)="SHA-1","SHA-1 is deprecated - replace (NIST IR 8547). ","")&amp;IF(AND(R80&lt;&gt;"No",OR(N80="Roadmap - verbal only",N80="No roadmap",N80="Not asked yet")),"Get a written PQC roadmap from the vendor. ","")&amp;IF(AND(R80&lt;&gt;"No",N80=""),"Record the vendor PQC roadmap status. ","")&amp;IF(ISNUMBER(M80),IF(M80&lt;TODAY(),"Certificate or key expired. ",IF(M80-TODAY()&lt;=Assumptions!$C$25,"Expires soon - use the renewal to revisit the algorithm. ","")),"")&amp;IF(AC80="OVERDUE","Migration overdue. ","")&amp;IF(AND(R80&lt;&gt;"No",Z80=""),"Assign a migration owner. ",""))</f>
        <v/>
      </c>
    </row>
    <row r="81" customFormat="false" ht="15" hidden="false" customHeight="false" outlineLevel="0" collapsed="false">
      <c r="A81" s="16"/>
      <c r="B81" s="16"/>
      <c r="C81" s="16"/>
      <c r="D81" s="16"/>
      <c r="E81" s="16"/>
      <c r="F81" s="16"/>
      <c r="G81" s="16"/>
      <c r="H81" s="16"/>
      <c r="I81" s="16"/>
      <c r="J81" s="16"/>
      <c r="K81" s="16"/>
      <c r="L81" s="16"/>
      <c r="M81" s="17"/>
      <c r="N81" s="16"/>
      <c r="O81" s="16"/>
      <c r="P81" s="16"/>
      <c r="Q81" s="18" t="str">
        <f aca="false">IF(A81="","",IF(J81="","Unknown",IFERROR(INDEX('Algorithm Reference'!$C$6:$C$41,MATCH(J81,'Algorithm Reference'!$B$6:$B$41,0)),"Not in reference")))</f>
        <v/>
      </c>
      <c r="R81" s="18" t="str">
        <f aca="false">IF(A81="","",IF(J81="","Unknown - investigate",IFERROR(INDEX('Algorithm Reference'!$E$6:$E$41,MATCH(J81,'Algorithm Reference'!$B$6:$B$41,0)),"Unknown - investigate")))</f>
        <v/>
      </c>
      <c r="S81" s="18" t="str">
        <f aca="false">IF(OR(O81="",P81=""),"",O81+P81)</f>
        <v/>
      </c>
      <c r="T81" s="18" t="str">
        <f aca="false">IF(A81="","",IF(R81="No","N/A - not quantum-vulnerable",IF(OR(O81="",P81=""),"Enter X and Y",IF(Assumptions!$C$6="","Set Z on Assumptions",IF(O81+P81&gt;Assumptions!$C$6,"AT RISK (X+Y &gt; Z)","Within Z (X+Y &lt;= Z)")))))</f>
        <v/>
      </c>
      <c r="U81" s="18" t="str">
        <f aca="false">IF(A81="","",IF(AND(R81&lt;&gt;"No",OR(I81="Key establishment / encryption in transit",I81="Key wrapping / key transport",I81="Mixed or unknown",I81=""),OR(N(O81)&gt;0,G81="Confidential",G81="Restricted")),IF(F81="Yes","Yes - internet-facing","Yes"),"No"))</f>
        <v/>
      </c>
      <c r="V81" s="18" t="str">
        <f aca="false">IF(A81="","",IF(R81="No","Keep - not quantum-vulnerable (review key size)",IF(I81="Digital signature / authentication","ML-DSA-65 (FIPS 204); SLH-DSA (FIPS 205) if hash-based is preferred",IF(OR(I81="Key establishment / encryption in transit",I81="Key wrapping / key transport"),"ML-KEM-768 (FIPS 203); hybrid X25519MLKEM768 for TLS 1.3",IF(I81="Mixed or unknown","Both: ML-KEM (FIPS 203) for keys, ML-DSA (FIPS 204) for signatures","Pick the crypto function first")))))</f>
        <v/>
      </c>
      <c r="W81" s="16"/>
      <c r="X81" s="18" t="str">
        <f aca="false">IF(A81="","",IF(R81="No",0,IF(LEFT(T81,7)="AT RISK",Assumptions!$C$13,0)+IF(LEFT(U81,3)="Yes",Assumptions!$C$14,0)+IF(F81="Yes",Assumptions!$C$15,0)+IF(G81="Restricted",Assumptions!$C$16,IF(G81="Confidential",Assumptions!$C$17,IF(G81="Internal",Assumptions!$C$18,0)))+IF(OR(N81="Roadmap - verbal only",N81="No roadmap",N81="Not asked yet",N81=""),Assumptions!$C$19,0)+IF(E81="Production",Assumptions!$C$20,0)+IF(AND(ISNUMBER(P81),N(P81)&gt;=Assumptions!$C$22),Assumptions!$C$21,0)))</f>
        <v/>
      </c>
      <c r="Y81" s="18" t="str">
        <f aca="false">IF(X81="","",IF(R81="No","None",IF(X81&gt;=Assumptions!$C$23,"High",IF(X81&gt;=Assumptions!$C$24,"Medium","Low"))))</f>
        <v/>
      </c>
      <c r="Z81" s="16"/>
      <c r="AA81" s="17"/>
      <c r="AB81" s="16"/>
      <c r="AC81" s="18" t="str">
        <f aca="true">IF(OR(AA81="",AB81="Hybrid deployed",AB81="PQC deployed",AB81="Not required (not vulnerable)",AB81="Risk accepted"),"",IF(AA81&lt;TODAY(),"OVERDUE",""))</f>
        <v/>
      </c>
      <c r="AD81" s="18" t="str">
        <f aca="true">IF(A81="","",IF(B81="","Name the system. ","")&amp;IF(LEFT(R81,7)="Unknown","Algorithm unknown - scan or ask the vendor. ","")&amp;IF(AND(R81&lt;&gt;"No",Assumptions!$C$6=""),"Set Z on Assumptions. ","")&amp;IF(AND(R81&lt;&gt;"No",OR(O81="",P81="")),"Enter X and Y. ","")&amp;IF(LEFT(T81,7)="AT RISK","Mosca: X+Y exceeds Z - migration should already be under way. ","")&amp;IF(AND(LEFT(U81,3)="Yes",OR(AB81="",AB81="Not started")),"Harvest-now-decrypt-later exposure and migration not started. ","")&amp;IF(AND(R81&lt;&gt;"No",OR(W81="",W81="To decide")),"Choose a target algorithm. ","")&amp;IF(AND(R81&lt;&gt;"No",W81="Keep - not quantum-vulnerable"),"Target 'Keep' conflicts with a quantum-vulnerable algorithm. ","")&amp;IF(LEFT(J81,5)="SHA-1","SHA-1 is deprecated - replace (NIST IR 8547). ","")&amp;IF(AND(R81&lt;&gt;"No",OR(N81="Roadmap - verbal only",N81="No roadmap",N81="Not asked yet")),"Get a written PQC roadmap from the vendor. ","")&amp;IF(AND(R81&lt;&gt;"No",N81=""),"Record the vendor PQC roadmap status. ","")&amp;IF(ISNUMBER(M81),IF(M81&lt;TODAY(),"Certificate or key expired. ",IF(M81-TODAY()&lt;=Assumptions!$C$25,"Expires soon - use the renewal to revisit the algorithm. ","")),"")&amp;IF(AC81="OVERDUE","Migration overdue. ","")&amp;IF(AND(R81&lt;&gt;"No",Z81=""),"Assign a migration owner. ",""))</f>
        <v/>
      </c>
    </row>
    <row r="82" customFormat="false" ht="15" hidden="false" customHeight="false" outlineLevel="0" collapsed="false">
      <c r="A82" s="16"/>
      <c r="B82" s="16"/>
      <c r="C82" s="16"/>
      <c r="D82" s="16"/>
      <c r="E82" s="16"/>
      <c r="F82" s="16"/>
      <c r="G82" s="16"/>
      <c r="H82" s="16"/>
      <c r="I82" s="16"/>
      <c r="J82" s="16"/>
      <c r="K82" s="16"/>
      <c r="L82" s="16"/>
      <c r="M82" s="17"/>
      <c r="N82" s="16"/>
      <c r="O82" s="16"/>
      <c r="P82" s="16"/>
      <c r="Q82" s="18" t="str">
        <f aca="false">IF(A82="","",IF(J82="","Unknown",IFERROR(INDEX('Algorithm Reference'!$C$6:$C$41,MATCH(J82,'Algorithm Reference'!$B$6:$B$41,0)),"Not in reference")))</f>
        <v/>
      </c>
      <c r="R82" s="18" t="str">
        <f aca="false">IF(A82="","",IF(J82="","Unknown - investigate",IFERROR(INDEX('Algorithm Reference'!$E$6:$E$41,MATCH(J82,'Algorithm Reference'!$B$6:$B$41,0)),"Unknown - investigate")))</f>
        <v/>
      </c>
      <c r="S82" s="18" t="str">
        <f aca="false">IF(OR(O82="",P82=""),"",O82+P82)</f>
        <v/>
      </c>
      <c r="T82" s="18" t="str">
        <f aca="false">IF(A82="","",IF(R82="No","N/A - not quantum-vulnerable",IF(OR(O82="",P82=""),"Enter X and Y",IF(Assumptions!$C$6="","Set Z on Assumptions",IF(O82+P82&gt;Assumptions!$C$6,"AT RISK (X+Y &gt; Z)","Within Z (X+Y &lt;= Z)")))))</f>
        <v/>
      </c>
      <c r="U82" s="18" t="str">
        <f aca="false">IF(A82="","",IF(AND(R82&lt;&gt;"No",OR(I82="Key establishment / encryption in transit",I82="Key wrapping / key transport",I82="Mixed or unknown",I82=""),OR(N(O82)&gt;0,G82="Confidential",G82="Restricted")),IF(F82="Yes","Yes - internet-facing","Yes"),"No"))</f>
        <v/>
      </c>
      <c r="V82" s="18" t="str">
        <f aca="false">IF(A82="","",IF(R82="No","Keep - not quantum-vulnerable (review key size)",IF(I82="Digital signature / authentication","ML-DSA-65 (FIPS 204); SLH-DSA (FIPS 205) if hash-based is preferred",IF(OR(I82="Key establishment / encryption in transit",I82="Key wrapping / key transport"),"ML-KEM-768 (FIPS 203); hybrid X25519MLKEM768 for TLS 1.3",IF(I82="Mixed or unknown","Both: ML-KEM (FIPS 203) for keys, ML-DSA (FIPS 204) for signatures","Pick the crypto function first")))))</f>
        <v/>
      </c>
      <c r="W82" s="16"/>
      <c r="X82" s="18" t="str">
        <f aca="false">IF(A82="","",IF(R82="No",0,IF(LEFT(T82,7)="AT RISK",Assumptions!$C$13,0)+IF(LEFT(U82,3)="Yes",Assumptions!$C$14,0)+IF(F82="Yes",Assumptions!$C$15,0)+IF(G82="Restricted",Assumptions!$C$16,IF(G82="Confidential",Assumptions!$C$17,IF(G82="Internal",Assumptions!$C$18,0)))+IF(OR(N82="Roadmap - verbal only",N82="No roadmap",N82="Not asked yet",N82=""),Assumptions!$C$19,0)+IF(E82="Production",Assumptions!$C$20,0)+IF(AND(ISNUMBER(P82),N(P82)&gt;=Assumptions!$C$22),Assumptions!$C$21,0)))</f>
        <v/>
      </c>
      <c r="Y82" s="18" t="str">
        <f aca="false">IF(X82="","",IF(R82="No","None",IF(X82&gt;=Assumptions!$C$23,"High",IF(X82&gt;=Assumptions!$C$24,"Medium","Low"))))</f>
        <v/>
      </c>
      <c r="Z82" s="16"/>
      <c r="AA82" s="17"/>
      <c r="AB82" s="16"/>
      <c r="AC82" s="18" t="str">
        <f aca="true">IF(OR(AA82="",AB82="Hybrid deployed",AB82="PQC deployed",AB82="Not required (not vulnerable)",AB82="Risk accepted"),"",IF(AA82&lt;TODAY(),"OVERDUE",""))</f>
        <v/>
      </c>
      <c r="AD82" s="18" t="str">
        <f aca="true">IF(A82="","",IF(B82="","Name the system. ","")&amp;IF(LEFT(R82,7)="Unknown","Algorithm unknown - scan or ask the vendor. ","")&amp;IF(AND(R82&lt;&gt;"No",Assumptions!$C$6=""),"Set Z on Assumptions. ","")&amp;IF(AND(R82&lt;&gt;"No",OR(O82="",P82="")),"Enter X and Y. ","")&amp;IF(LEFT(T82,7)="AT RISK","Mosca: X+Y exceeds Z - migration should already be under way. ","")&amp;IF(AND(LEFT(U82,3)="Yes",OR(AB82="",AB82="Not started")),"Harvest-now-decrypt-later exposure and migration not started. ","")&amp;IF(AND(R82&lt;&gt;"No",OR(W82="",W82="To decide")),"Choose a target algorithm. ","")&amp;IF(AND(R82&lt;&gt;"No",W82="Keep - not quantum-vulnerable"),"Target 'Keep' conflicts with a quantum-vulnerable algorithm. ","")&amp;IF(LEFT(J82,5)="SHA-1","SHA-1 is deprecated - replace (NIST IR 8547). ","")&amp;IF(AND(R82&lt;&gt;"No",OR(N82="Roadmap - verbal only",N82="No roadmap",N82="Not asked yet")),"Get a written PQC roadmap from the vendor. ","")&amp;IF(AND(R82&lt;&gt;"No",N82=""),"Record the vendor PQC roadmap status. ","")&amp;IF(ISNUMBER(M82),IF(M82&lt;TODAY(),"Certificate or key expired. ",IF(M82-TODAY()&lt;=Assumptions!$C$25,"Expires soon - use the renewal to revisit the algorithm. ","")),"")&amp;IF(AC82="OVERDUE","Migration overdue. ","")&amp;IF(AND(R82&lt;&gt;"No",Z82=""),"Assign a migration owner. ",""))</f>
        <v/>
      </c>
    </row>
    <row r="83" customFormat="false" ht="15" hidden="false" customHeight="false" outlineLevel="0" collapsed="false">
      <c r="A83" s="16"/>
      <c r="B83" s="16"/>
      <c r="C83" s="16"/>
      <c r="D83" s="16"/>
      <c r="E83" s="16"/>
      <c r="F83" s="16"/>
      <c r="G83" s="16"/>
      <c r="H83" s="16"/>
      <c r="I83" s="16"/>
      <c r="J83" s="16"/>
      <c r="K83" s="16"/>
      <c r="L83" s="16"/>
      <c r="M83" s="17"/>
      <c r="N83" s="16"/>
      <c r="O83" s="16"/>
      <c r="P83" s="16"/>
      <c r="Q83" s="18" t="str">
        <f aca="false">IF(A83="","",IF(J83="","Unknown",IFERROR(INDEX('Algorithm Reference'!$C$6:$C$41,MATCH(J83,'Algorithm Reference'!$B$6:$B$41,0)),"Not in reference")))</f>
        <v/>
      </c>
      <c r="R83" s="18" t="str">
        <f aca="false">IF(A83="","",IF(J83="","Unknown - investigate",IFERROR(INDEX('Algorithm Reference'!$E$6:$E$41,MATCH(J83,'Algorithm Reference'!$B$6:$B$41,0)),"Unknown - investigate")))</f>
        <v/>
      </c>
      <c r="S83" s="18" t="str">
        <f aca="false">IF(OR(O83="",P83=""),"",O83+P83)</f>
        <v/>
      </c>
      <c r="T83" s="18" t="str">
        <f aca="false">IF(A83="","",IF(R83="No","N/A - not quantum-vulnerable",IF(OR(O83="",P83=""),"Enter X and Y",IF(Assumptions!$C$6="","Set Z on Assumptions",IF(O83+P83&gt;Assumptions!$C$6,"AT RISK (X+Y &gt; Z)","Within Z (X+Y &lt;= Z)")))))</f>
        <v/>
      </c>
      <c r="U83" s="18" t="str">
        <f aca="false">IF(A83="","",IF(AND(R83&lt;&gt;"No",OR(I83="Key establishment / encryption in transit",I83="Key wrapping / key transport",I83="Mixed or unknown",I83=""),OR(N(O83)&gt;0,G83="Confidential",G83="Restricted")),IF(F83="Yes","Yes - internet-facing","Yes"),"No"))</f>
        <v/>
      </c>
      <c r="V83" s="18" t="str">
        <f aca="false">IF(A83="","",IF(R83="No","Keep - not quantum-vulnerable (review key size)",IF(I83="Digital signature / authentication","ML-DSA-65 (FIPS 204); SLH-DSA (FIPS 205) if hash-based is preferred",IF(OR(I83="Key establishment / encryption in transit",I83="Key wrapping / key transport"),"ML-KEM-768 (FIPS 203); hybrid X25519MLKEM768 for TLS 1.3",IF(I83="Mixed or unknown","Both: ML-KEM (FIPS 203) for keys, ML-DSA (FIPS 204) for signatures","Pick the crypto function first")))))</f>
        <v/>
      </c>
      <c r="W83" s="16"/>
      <c r="X83" s="18" t="str">
        <f aca="false">IF(A83="","",IF(R83="No",0,IF(LEFT(T83,7)="AT RISK",Assumptions!$C$13,0)+IF(LEFT(U83,3)="Yes",Assumptions!$C$14,0)+IF(F83="Yes",Assumptions!$C$15,0)+IF(G83="Restricted",Assumptions!$C$16,IF(G83="Confidential",Assumptions!$C$17,IF(G83="Internal",Assumptions!$C$18,0)))+IF(OR(N83="Roadmap - verbal only",N83="No roadmap",N83="Not asked yet",N83=""),Assumptions!$C$19,0)+IF(E83="Production",Assumptions!$C$20,0)+IF(AND(ISNUMBER(P83),N(P83)&gt;=Assumptions!$C$22),Assumptions!$C$21,0)))</f>
        <v/>
      </c>
      <c r="Y83" s="18" t="str">
        <f aca="false">IF(X83="","",IF(R83="No","None",IF(X83&gt;=Assumptions!$C$23,"High",IF(X83&gt;=Assumptions!$C$24,"Medium","Low"))))</f>
        <v/>
      </c>
      <c r="Z83" s="16"/>
      <c r="AA83" s="17"/>
      <c r="AB83" s="16"/>
      <c r="AC83" s="18" t="str">
        <f aca="true">IF(OR(AA83="",AB83="Hybrid deployed",AB83="PQC deployed",AB83="Not required (not vulnerable)",AB83="Risk accepted"),"",IF(AA83&lt;TODAY(),"OVERDUE",""))</f>
        <v/>
      </c>
      <c r="AD83" s="18" t="str">
        <f aca="true">IF(A83="","",IF(B83="","Name the system. ","")&amp;IF(LEFT(R83,7)="Unknown","Algorithm unknown - scan or ask the vendor. ","")&amp;IF(AND(R83&lt;&gt;"No",Assumptions!$C$6=""),"Set Z on Assumptions. ","")&amp;IF(AND(R83&lt;&gt;"No",OR(O83="",P83="")),"Enter X and Y. ","")&amp;IF(LEFT(T83,7)="AT RISK","Mosca: X+Y exceeds Z - migration should already be under way. ","")&amp;IF(AND(LEFT(U83,3)="Yes",OR(AB83="",AB83="Not started")),"Harvest-now-decrypt-later exposure and migration not started. ","")&amp;IF(AND(R83&lt;&gt;"No",OR(W83="",W83="To decide")),"Choose a target algorithm. ","")&amp;IF(AND(R83&lt;&gt;"No",W83="Keep - not quantum-vulnerable"),"Target 'Keep' conflicts with a quantum-vulnerable algorithm. ","")&amp;IF(LEFT(J83,5)="SHA-1","SHA-1 is deprecated - replace (NIST IR 8547). ","")&amp;IF(AND(R83&lt;&gt;"No",OR(N83="Roadmap - verbal only",N83="No roadmap",N83="Not asked yet")),"Get a written PQC roadmap from the vendor. ","")&amp;IF(AND(R83&lt;&gt;"No",N83=""),"Record the vendor PQC roadmap status. ","")&amp;IF(ISNUMBER(M83),IF(M83&lt;TODAY(),"Certificate or key expired. ",IF(M83-TODAY()&lt;=Assumptions!$C$25,"Expires soon - use the renewal to revisit the algorithm. ","")),"")&amp;IF(AC83="OVERDUE","Migration overdue. ","")&amp;IF(AND(R83&lt;&gt;"No",Z83=""),"Assign a migration owner. ",""))</f>
        <v/>
      </c>
    </row>
    <row r="84" customFormat="false" ht="15" hidden="false" customHeight="false" outlineLevel="0" collapsed="false">
      <c r="A84" s="16"/>
      <c r="B84" s="16"/>
      <c r="C84" s="16"/>
      <c r="D84" s="16"/>
      <c r="E84" s="16"/>
      <c r="F84" s="16"/>
      <c r="G84" s="16"/>
      <c r="H84" s="16"/>
      <c r="I84" s="16"/>
      <c r="J84" s="16"/>
      <c r="K84" s="16"/>
      <c r="L84" s="16"/>
      <c r="M84" s="17"/>
      <c r="N84" s="16"/>
      <c r="O84" s="16"/>
      <c r="P84" s="16"/>
      <c r="Q84" s="18" t="str">
        <f aca="false">IF(A84="","",IF(J84="","Unknown",IFERROR(INDEX('Algorithm Reference'!$C$6:$C$41,MATCH(J84,'Algorithm Reference'!$B$6:$B$41,0)),"Not in reference")))</f>
        <v/>
      </c>
      <c r="R84" s="18" t="str">
        <f aca="false">IF(A84="","",IF(J84="","Unknown - investigate",IFERROR(INDEX('Algorithm Reference'!$E$6:$E$41,MATCH(J84,'Algorithm Reference'!$B$6:$B$41,0)),"Unknown - investigate")))</f>
        <v/>
      </c>
      <c r="S84" s="18" t="str">
        <f aca="false">IF(OR(O84="",P84=""),"",O84+P84)</f>
        <v/>
      </c>
      <c r="T84" s="18" t="str">
        <f aca="false">IF(A84="","",IF(R84="No","N/A - not quantum-vulnerable",IF(OR(O84="",P84=""),"Enter X and Y",IF(Assumptions!$C$6="","Set Z on Assumptions",IF(O84+P84&gt;Assumptions!$C$6,"AT RISK (X+Y &gt; Z)","Within Z (X+Y &lt;= Z)")))))</f>
        <v/>
      </c>
      <c r="U84" s="18" t="str">
        <f aca="false">IF(A84="","",IF(AND(R84&lt;&gt;"No",OR(I84="Key establishment / encryption in transit",I84="Key wrapping / key transport",I84="Mixed or unknown",I84=""),OR(N(O84)&gt;0,G84="Confidential",G84="Restricted")),IF(F84="Yes","Yes - internet-facing","Yes"),"No"))</f>
        <v/>
      </c>
      <c r="V84" s="18" t="str">
        <f aca="false">IF(A84="","",IF(R84="No","Keep - not quantum-vulnerable (review key size)",IF(I84="Digital signature / authentication","ML-DSA-65 (FIPS 204); SLH-DSA (FIPS 205) if hash-based is preferred",IF(OR(I84="Key establishment / encryption in transit",I84="Key wrapping / key transport"),"ML-KEM-768 (FIPS 203); hybrid X25519MLKEM768 for TLS 1.3",IF(I84="Mixed or unknown","Both: ML-KEM (FIPS 203) for keys, ML-DSA (FIPS 204) for signatures","Pick the crypto function first")))))</f>
        <v/>
      </c>
      <c r="W84" s="16"/>
      <c r="X84" s="18" t="str">
        <f aca="false">IF(A84="","",IF(R84="No",0,IF(LEFT(T84,7)="AT RISK",Assumptions!$C$13,0)+IF(LEFT(U84,3)="Yes",Assumptions!$C$14,0)+IF(F84="Yes",Assumptions!$C$15,0)+IF(G84="Restricted",Assumptions!$C$16,IF(G84="Confidential",Assumptions!$C$17,IF(G84="Internal",Assumptions!$C$18,0)))+IF(OR(N84="Roadmap - verbal only",N84="No roadmap",N84="Not asked yet",N84=""),Assumptions!$C$19,0)+IF(E84="Production",Assumptions!$C$20,0)+IF(AND(ISNUMBER(P84),N(P84)&gt;=Assumptions!$C$22),Assumptions!$C$21,0)))</f>
        <v/>
      </c>
      <c r="Y84" s="18" t="str">
        <f aca="false">IF(X84="","",IF(R84="No","None",IF(X84&gt;=Assumptions!$C$23,"High",IF(X84&gt;=Assumptions!$C$24,"Medium","Low"))))</f>
        <v/>
      </c>
      <c r="Z84" s="16"/>
      <c r="AA84" s="17"/>
      <c r="AB84" s="16"/>
      <c r="AC84" s="18" t="str">
        <f aca="true">IF(OR(AA84="",AB84="Hybrid deployed",AB84="PQC deployed",AB84="Not required (not vulnerable)",AB84="Risk accepted"),"",IF(AA84&lt;TODAY(),"OVERDUE",""))</f>
        <v/>
      </c>
      <c r="AD84" s="18" t="str">
        <f aca="true">IF(A84="","",IF(B84="","Name the system. ","")&amp;IF(LEFT(R84,7)="Unknown","Algorithm unknown - scan or ask the vendor. ","")&amp;IF(AND(R84&lt;&gt;"No",Assumptions!$C$6=""),"Set Z on Assumptions. ","")&amp;IF(AND(R84&lt;&gt;"No",OR(O84="",P84="")),"Enter X and Y. ","")&amp;IF(LEFT(T84,7)="AT RISK","Mosca: X+Y exceeds Z - migration should already be under way. ","")&amp;IF(AND(LEFT(U84,3)="Yes",OR(AB84="",AB84="Not started")),"Harvest-now-decrypt-later exposure and migration not started. ","")&amp;IF(AND(R84&lt;&gt;"No",OR(W84="",W84="To decide")),"Choose a target algorithm. ","")&amp;IF(AND(R84&lt;&gt;"No",W84="Keep - not quantum-vulnerable"),"Target 'Keep' conflicts with a quantum-vulnerable algorithm. ","")&amp;IF(LEFT(J84,5)="SHA-1","SHA-1 is deprecated - replace (NIST IR 8547). ","")&amp;IF(AND(R84&lt;&gt;"No",OR(N84="Roadmap - verbal only",N84="No roadmap",N84="Not asked yet")),"Get a written PQC roadmap from the vendor. ","")&amp;IF(AND(R84&lt;&gt;"No",N84=""),"Record the vendor PQC roadmap status. ","")&amp;IF(ISNUMBER(M84),IF(M84&lt;TODAY(),"Certificate or key expired. ",IF(M84-TODAY()&lt;=Assumptions!$C$25,"Expires soon - use the renewal to revisit the algorithm. ","")),"")&amp;IF(AC84="OVERDUE","Migration overdue. ","")&amp;IF(AND(R84&lt;&gt;"No",Z84=""),"Assign a migration owner. ",""))</f>
        <v/>
      </c>
    </row>
    <row r="85" customFormat="false" ht="15" hidden="false" customHeight="false" outlineLevel="0" collapsed="false">
      <c r="A85" s="16"/>
      <c r="B85" s="16"/>
      <c r="C85" s="16"/>
      <c r="D85" s="16"/>
      <c r="E85" s="16"/>
      <c r="F85" s="16"/>
      <c r="G85" s="16"/>
      <c r="H85" s="16"/>
      <c r="I85" s="16"/>
      <c r="J85" s="16"/>
      <c r="K85" s="16"/>
      <c r="L85" s="16"/>
      <c r="M85" s="17"/>
      <c r="N85" s="16"/>
      <c r="O85" s="16"/>
      <c r="P85" s="16"/>
      <c r="Q85" s="18" t="str">
        <f aca="false">IF(A85="","",IF(J85="","Unknown",IFERROR(INDEX('Algorithm Reference'!$C$6:$C$41,MATCH(J85,'Algorithm Reference'!$B$6:$B$41,0)),"Not in reference")))</f>
        <v/>
      </c>
      <c r="R85" s="18" t="str">
        <f aca="false">IF(A85="","",IF(J85="","Unknown - investigate",IFERROR(INDEX('Algorithm Reference'!$E$6:$E$41,MATCH(J85,'Algorithm Reference'!$B$6:$B$41,0)),"Unknown - investigate")))</f>
        <v/>
      </c>
      <c r="S85" s="18" t="str">
        <f aca="false">IF(OR(O85="",P85=""),"",O85+P85)</f>
        <v/>
      </c>
      <c r="T85" s="18" t="str">
        <f aca="false">IF(A85="","",IF(R85="No","N/A - not quantum-vulnerable",IF(OR(O85="",P85=""),"Enter X and Y",IF(Assumptions!$C$6="","Set Z on Assumptions",IF(O85+P85&gt;Assumptions!$C$6,"AT RISK (X+Y &gt; Z)","Within Z (X+Y &lt;= Z)")))))</f>
        <v/>
      </c>
      <c r="U85" s="18" t="str">
        <f aca="false">IF(A85="","",IF(AND(R85&lt;&gt;"No",OR(I85="Key establishment / encryption in transit",I85="Key wrapping / key transport",I85="Mixed or unknown",I85=""),OR(N(O85)&gt;0,G85="Confidential",G85="Restricted")),IF(F85="Yes","Yes - internet-facing","Yes"),"No"))</f>
        <v/>
      </c>
      <c r="V85" s="18" t="str">
        <f aca="false">IF(A85="","",IF(R85="No","Keep - not quantum-vulnerable (review key size)",IF(I85="Digital signature / authentication","ML-DSA-65 (FIPS 204); SLH-DSA (FIPS 205) if hash-based is preferred",IF(OR(I85="Key establishment / encryption in transit",I85="Key wrapping / key transport"),"ML-KEM-768 (FIPS 203); hybrid X25519MLKEM768 for TLS 1.3",IF(I85="Mixed or unknown","Both: ML-KEM (FIPS 203) for keys, ML-DSA (FIPS 204) for signatures","Pick the crypto function first")))))</f>
        <v/>
      </c>
      <c r="W85" s="16"/>
      <c r="X85" s="18" t="str">
        <f aca="false">IF(A85="","",IF(R85="No",0,IF(LEFT(T85,7)="AT RISK",Assumptions!$C$13,0)+IF(LEFT(U85,3)="Yes",Assumptions!$C$14,0)+IF(F85="Yes",Assumptions!$C$15,0)+IF(G85="Restricted",Assumptions!$C$16,IF(G85="Confidential",Assumptions!$C$17,IF(G85="Internal",Assumptions!$C$18,0)))+IF(OR(N85="Roadmap - verbal only",N85="No roadmap",N85="Not asked yet",N85=""),Assumptions!$C$19,0)+IF(E85="Production",Assumptions!$C$20,0)+IF(AND(ISNUMBER(P85),N(P85)&gt;=Assumptions!$C$22),Assumptions!$C$21,0)))</f>
        <v/>
      </c>
      <c r="Y85" s="18" t="str">
        <f aca="false">IF(X85="","",IF(R85="No","None",IF(X85&gt;=Assumptions!$C$23,"High",IF(X85&gt;=Assumptions!$C$24,"Medium","Low"))))</f>
        <v/>
      </c>
      <c r="Z85" s="16"/>
      <c r="AA85" s="17"/>
      <c r="AB85" s="16"/>
      <c r="AC85" s="18" t="str">
        <f aca="true">IF(OR(AA85="",AB85="Hybrid deployed",AB85="PQC deployed",AB85="Not required (not vulnerable)",AB85="Risk accepted"),"",IF(AA85&lt;TODAY(),"OVERDUE",""))</f>
        <v/>
      </c>
      <c r="AD85" s="18" t="str">
        <f aca="true">IF(A85="","",IF(B85="","Name the system. ","")&amp;IF(LEFT(R85,7)="Unknown","Algorithm unknown - scan or ask the vendor. ","")&amp;IF(AND(R85&lt;&gt;"No",Assumptions!$C$6=""),"Set Z on Assumptions. ","")&amp;IF(AND(R85&lt;&gt;"No",OR(O85="",P85="")),"Enter X and Y. ","")&amp;IF(LEFT(T85,7)="AT RISK","Mosca: X+Y exceeds Z - migration should already be under way. ","")&amp;IF(AND(LEFT(U85,3)="Yes",OR(AB85="",AB85="Not started")),"Harvest-now-decrypt-later exposure and migration not started. ","")&amp;IF(AND(R85&lt;&gt;"No",OR(W85="",W85="To decide")),"Choose a target algorithm. ","")&amp;IF(AND(R85&lt;&gt;"No",W85="Keep - not quantum-vulnerable"),"Target 'Keep' conflicts with a quantum-vulnerable algorithm. ","")&amp;IF(LEFT(J85,5)="SHA-1","SHA-1 is deprecated - replace (NIST IR 8547). ","")&amp;IF(AND(R85&lt;&gt;"No",OR(N85="Roadmap - verbal only",N85="No roadmap",N85="Not asked yet")),"Get a written PQC roadmap from the vendor. ","")&amp;IF(AND(R85&lt;&gt;"No",N85=""),"Record the vendor PQC roadmap status. ","")&amp;IF(ISNUMBER(M85),IF(M85&lt;TODAY(),"Certificate or key expired. ",IF(M85-TODAY()&lt;=Assumptions!$C$25,"Expires soon - use the renewal to revisit the algorithm. ","")),"")&amp;IF(AC85="OVERDUE","Migration overdue. ","")&amp;IF(AND(R85&lt;&gt;"No",Z85=""),"Assign a migration owner. ",""))</f>
        <v/>
      </c>
    </row>
    <row r="86" customFormat="false" ht="15" hidden="false" customHeight="false" outlineLevel="0" collapsed="false">
      <c r="A86" s="16"/>
      <c r="B86" s="16"/>
      <c r="C86" s="16"/>
      <c r="D86" s="16"/>
      <c r="E86" s="16"/>
      <c r="F86" s="16"/>
      <c r="G86" s="16"/>
      <c r="H86" s="16"/>
      <c r="I86" s="16"/>
      <c r="J86" s="16"/>
      <c r="K86" s="16"/>
      <c r="L86" s="16"/>
      <c r="M86" s="17"/>
      <c r="N86" s="16"/>
      <c r="O86" s="16"/>
      <c r="P86" s="16"/>
      <c r="Q86" s="18" t="str">
        <f aca="false">IF(A86="","",IF(J86="","Unknown",IFERROR(INDEX('Algorithm Reference'!$C$6:$C$41,MATCH(J86,'Algorithm Reference'!$B$6:$B$41,0)),"Not in reference")))</f>
        <v/>
      </c>
      <c r="R86" s="18" t="str">
        <f aca="false">IF(A86="","",IF(J86="","Unknown - investigate",IFERROR(INDEX('Algorithm Reference'!$E$6:$E$41,MATCH(J86,'Algorithm Reference'!$B$6:$B$41,0)),"Unknown - investigate")))</f>
        <v/>
      </c>
      <c r="S86" s="18" t="str">
        <f aca="false">IF(OR(O86="",P86=""),"",O86+P86)</f>
        <v/>
      </c>
      <c r="T86" s="18" t="str">
        <f aca="false">IF(A86="","",IF(R86="No","N/A - not quantum-vulnerable",IF(OR(O86="",P86=""),"Enter X and Y",IF(Assumptions!$C$6="","Set Z on Assumptions",IF(O86+P86&gt;Assumptions!$C$6,"AT RISK (X+Y &gt; Z)","Within Z (X+Y &lt;= Z)")))))</f>
        <v/>
      </c>
      <c r="U86" s="18" t="str">
        <f aca="false">IF(A86="","",IF(AND(R86&lt;&gt;"No",OR(I86="Key establishment / encryption in transit",I86="Key wrapping / key transport",I86="Mixed or unknown",I86=""),OR(N(O86)&gt;0,G86="Confidential",G86="Restricted")),IF(F86="Yes","Yes - internet-facing","Yes"),"No"))</f>
        <v/>
      </c>
      <c r="V86" s="18" t="str">
        <f aca="false">IF(A86="","",IF(R86="No","Keep - not quantum-vulnerable (review key size)",IF(I86="Digital signature / authentication","ML-DSA-65 (FIPS 204); SLH-DSA (FIPS 205) if hash-based is preferred",IF(OR(I86="Key establishment / encryption in transit",I86="Key wrapping / key transport"),"ML-KEM-768 (FIPS 203); hybrid X25519MLKEM768 for TLS 1.3",IF(I86="Mixed or unknown","Both: ML-KEM (FIPS 203) for keys, ML-DSA (FIPS 204) for signatures","Pick the crypto function first")))))</f>
        <v/>
      </c>
      <c r="W86" s="16"/>
      <c r="X86" s="18" t="str">
        <f aca="false">IF(A86="","",IF(R86="No",0,IF(LEFT(T86,7)="AT RISK",Assumptions!$C$13,0)+IF(LEFT(U86,3)="Yes",Assumptions!$C$14,0)+IF(F86="Yes",Assumptions!$C$15,0)+IF(G86="Restricted",Assumptions!$C$16,IF(G86="Confidential",Assumptions!$C$17,IF(G86="Internal",Assumptions!$C$18,0)))+IF(OR(N86="Roadmap - verbal only",N86="No roadmap",N86="Not asked yet",N86=""),Assumptions!$C$19,0)+IF(E86="Production",Assumptions!$C$20,0)+IF(AND(ISNUMBER(P86),N(P86)&gt;=Assumptions!$C$22),Assumptions!$C$21,0)))</f>
        <v/>
      </c>
      <c r="Y86" s="18" t="str">
        <f aca="false">IF(X86="","",IF(R86="No","None",IF(X86&gt;=Assumptions!$C$23,"High",IF(X86&gt;=Assumptions!$C$24,"Medium","Low"))))</f>
        <v/>
      </c>
      <c r="Z86" s="16"/>
      <c r="AA86" s="17"/>
      <c r="AB86" s="16"/>
      <c r="AC86" s="18" t="str">
        <f aca="true">IF(OR(AA86="",AB86="Hybrid deployed",AB86="PQC deployed",AB86="Not required (not vulnerable)",AB86="Risk accepted"),"",IF(AA86&lt;TODAY(),"OVERDUE",""))</f>
        <v/>
      </c>
      <c r="AD86" s="18" t="str">
        <f aca="true">IF(A86="","",IF(B86="","Name the system. ","")&amp;IF(LEFT(R86,7)="Unknown","Algorithm unknown - scan or ask the vendor. ","")&amp;IF(AND(R86&lt;&gt;"No",Assumptions!$C$6=""),"Set Z on Assumptions. ","")&amp;IF(AND(R86&lt;&gt;"No",OR(O86="",P86="")),"Enter X and Y. ","")&amp;IF(LEFT(T86,7)="AT RISK","Mosca: X+Y exceeds Z - migration should already be under way. ","")&amp;IF(AND(LEFT(U86,3)="Yes",OR(AB86="",AB86="Not started")),"Harvest-now-decrypt-later exposure and migration not started. ","")&amp;IF(AND(R86&lt;&gt;"No",OR(W86="",W86="To decide")),"Choose a target algorithm. ","")&amp;IF(AND(R86&lt;&gt;"No",W86="Keep - not quantum-vulnerable"),"Target 'Keep' conflicts with a quantum-vulnerable algorithm. ","")&amp;IF(LEFT(J86,5)="SHA-1","SHA-1 is deprecated - replace (NIST IR 8547). ","")&amp;IF(AND(R86&lt;&gt;"No",OR(N86="Roadmap - verbal only",N86="No roadmap",N86="Not asked yet")),"Get a written PQC roadmap from the vendor. ","")&amp;IF(AND(R86&lt;&gt;"No",N86=""),"Record the vendor PQC roadmap status. ","")&amp;IF(ISNUMBER(M86),IF(M86&lt;TODAY(),"Certificate or key expired. ",IF(M86-TODAY()&lt;=Assumptions!$C$25,"Expires soon - use the renewal to revisit the algorithm. ","")),"")&amp;IF(AC86="OVERDUE","Migration overdue. ","")&amp;IF(AND(R86&lt;&gt;"No",Z86=""),"Assign a migration owner. ",""))</f>
        <v/>
      </c>
    </row>
    <row r="87" customFormat="false" ht="15" hidden="false" customHeight="false" outlineLevel="0" collapsed="false">
      <c r="A87" s="16"/>
      <c r="B87" s="16"/>
      <c r="C87" s="16"/>
      <c r="D87" s="16"/>
      <c r="E87" s="16"/>
      <c r="F87" s="16"/>
      <c r="G87" s="16"/>
      <c r="H87" s="16"/>
      <c r="I87" s="16"/>
      <c r="J87" s="16"/>
      <c r="K87" s="16"/>
      <c r="L87" s="16"/>
      <c r="M87" s="17"/>
      <c r="N87" s="16"/>
      <c r="O87" s="16"/>
      <c r="P87" s="16"/>
      <c r="Q87" s="18" t="str">
        <f aca="false">IF(A87="","",IF(J87="","Unknown",IFERROR(INDEX('Algorithm Reference'!$C$6:$C$41,MATCH(J87,'Algorithm Reference'!$B$6:$B$41,0)),"Not in reference")))</f>
        <v/>
      </c>
      <c r="R87" s="18" t="str">
        <f aca="false">IF(A87="","",IF(J87="","Unknown - investigate",IFERROR(INDEX('Algorithm Reference'!$E$6:$E$41,MATCH(J87,'Algorithm Reference'!$B$6:$B$41,0)),"Unknown - investigate")))</f>
        <v/>
      </c>
      <c r="S87" s="18" t="str">
        <f aca="false">IF(OR(O87="",P87=""),"",O87+P87)</f>
        <v/>
      </c>
      <c r="T87" s="18" t="str">
        <f aca="false">IF(A87="","",IF(R87="No","N/A - not quantum-vulnerable",IF(OR(O87="",P87=""),"Enter X and Y",IF(Assumptions!$C$6="","Set Z on Assumptions",IF(O87+P87&gt;Assumptions!$C$6,"AT RISK (X+Y &gt; Z)","Within Z (X+Y &lt;= Z)")))))</f>
        <v/>
      </c>
      <c r="U87" s="18" t="str">
        <f aca="false">IF(A87="","",IF(AND(R87&lt;&gt;"No",OR(I87="Key establishment / encryption in transit",I87="Key wrapping / key transport",I87="Mixed or unknown",I87=""),OR(N(O87)&gt;0,G87="Confidential",G87="Restricted")),IF(F87="Yes","Yes - internet-facing","Yes"),"No"))</f>
        <v/>
      </c>
      <c r="V87" s="18" t="str">
        <f aca="false">IF(A87="","",IF(R87="No","Keep - not quantum-vulnerable (review key size)",IF(I87="Digital signature / authentication","ML-DSA-65 (FIPS 204); SLH-DSA (FIPS 205) if hash-based is preferred",IF(OR(I87="Key establishment / encryption in transit",I87="Key wrapping / key transport"),"ML-KEM-768 (FIPS 203); hybrid X25519MLKEM768 for TLS 1.3",IF(I87="Mixed or unknown","Both: ML-KEM (FIPS 203) for keys, ML-DSA (FIPS 204) for signatures","Pick the crypto function first")))))</f>
        <v/>
      </c>
      <c r="W87" s="16"/>
      <c r="X87" s="18" t="str">
        <f aca="false">IF(A87="","",IF(R87="No",0,IF(LEFT(T87,7)="AT RISK",Assumptions!$C$13,0)+IF(LEFT(U87,3)="Yes",Assumptions!$C$14,0)+IF(F87="Yes",Assumptions!$C$15,0)+IF(G87="Restricted",Assumptions!$C$16,IF(G87="Confidential",Assumptions!$C$17,IF(G87="Internal",Assumptions!$C$18,0)))+IF(OR(N87="Roadmap - verbal only",N87="No roadmap",N87="Not asked yet",N87=""),Assumptions!$C$19,0)+IF(E87="Production",Assumptions!$C$20,0)+IF(AND(ISNUMBER(P87),N(P87)&gt;=Assumptions!$C$22),Assumptions!$C$21,0)))</f>
        <v/>
      </c>
      <c r="Y87" s="18" t="str">
        <f aca="false">IF(X87="","",IF(R87="No","None",IF(X87&gt;=Assumptions!$C$23,"High",IF(X87&gt;=Assumptions!$C$24,"Medium","Low"))))</f>
        <v/>
      </c>
      <c r="Z87" s="16"/>
      <c r="AA87" s="17"/>
      <c r="AB87" s="16"/>
      <c r="AC87" s="18" t="str">
        <f aca="true">IF(OR(AA87="",AB87="Hybrid deployed",AB87="PQC deployed",AB87="Not required (not vulnerable)",AB87="Risk accepted"),"",IF(AA87&lt;TODAY(),"OVERDUE",""))</f>
        <v/>
      </c>
      <c r="AD87" s="18" t="str">
        <f aca="true">IF(A87="","",IF(B87="","Name the system. ","")&amp;IF(LEFT(R87,7)="Unknown","Algorithm unknown - scan or ask the vendor. ","")&amp;IF(AND(R87&lt;&gt;"No",Assumptions!$C$6=""),"Set Z on Assumptions. ","")&amp;IF(AND(R87&lt;&gt;"No",OR(O87="",P87="")),"Enter X and Y. ","")&amp;IF(LEFT(T87,7)="AT RISK","Mosca: X+Y exceeds Z - migration should already be under way. ","")&amp;IF(AND(LEFT(U87,3)="Yes",OR(AB87="",AB87="Not started")),"Harvest-now-decrypt-later exposure and migration not started. ","")&amp;IF(AND(R87&lt;&gt;"No",OR(W87="",W87="To decide")),"Choose a target algorithm. ","")&amp;IF(AND(R87&lt;&gt;"No",W87="Keep - not quantum-vulnerable"),"Target 'Keep' conflicts with a quantum-vulnerable algorithm. ","")&amp;IF(LEFT(J87,5)="SHA-1","SHA-1 is deprecated - replace (NIST IR 8547). ","")&amp;IF(AND(R87&lt;&gt;"No",OR(N87="Roadmap - verbal only",N87="No roadmap",N87="Not asked yet")),"Get a written PQC roadmap from the vendor. ","")&amp;IF(AND(R87&lt;&gt;"No",N87=""),"Record the vendor PQC roadmap status. ","")&amp;IF(ISNUMBER(M87),IF(M87&lt;TODAY(),"Certificate or key expired. ",IF(M87-TODAY()&lt;=Assumptions!$C$25,"Expires soon - use the renewal to revisit the algorithm. ","")),"")&amp;IF(AC87="OVERDUE","Migration overdue. ","")&amp;IF(AND(R87&lt;&gt;"No",Z87=""),"Assign a migration owner. ",""))</f>
        <v/>
      </c>
    </row>
    <row r="88" customFormat="false" ht="15" hidden="false" customHeight="false" outlineLevel="0" collapsed="false">
      <c r="A88" s="16"/>
      <c r="B88" s="16"/>
      <c r="C88" s="16"/>
      <c r="D88" s="16"/>
      <c r="E88" s="16"/>
      <c r="F88" s="16"/>
      <c r="G88" s="16"/>
      <c r="H88" s="16"/>
      <c r="I88" s="16"/>
      <c r="J88" s="16"/>
      <c r="K88" s="16"/>
      <c r="L88" s="16"/>
      <c r="M88" s="17"/>
      <c r="N88" s="16"/>
      <c r="O88" s="16"/>
      <c r="P88" s="16"/>
      <c r="Q88" s="18" t="str">
        <f aca="false">IF(A88="","",IF(J88="","Unknown",IFERROR(INDEX('Algorithm Reference'!$C$6:$C$41,MATCH(J88,'Algorithm Reference'!$B$6:$B$41,0)),"Not in reference")))</f>
        <v/>
      </c>
      <c r="R88" s="18" t="str">
        <f aca="false">IF(A88="","",IF(J88="","Unknown - investigate",IFERROR(INDEX('Algorithm Reference'!$E$6:$E$41,MATCH(J88,'Algorithm Reference'!$B$6:$B$41,0)),"Unknown - investigate")))</f>
        <v/>
      </c>
      <c r="S88" s="18" t="str">
        <f aca="false">IF(OR(O88="",P88=""),"",O88+P88)</f>
        <v/>
      </c>
      <c r="T88" s="18" t="str">
        <f aca="false">IF(A88="","",IF(R88="No","N/A - not quantum-vulnerable",IF(OR(O88="",P88=""),"Enter X and Y",IF(Assumptions!$C$6="","Set Z on Assumptions",IF(O88+P88&gt;Assumptions!$C$6,"AT RISK (X+Y &gt; Z)","Within Z (X+Y &lt;= Z)")))))</f>
        <v/>
      </c>
      <c r="U88" s="18" t="str">
        <f aca="false">IF(A88="","",IF(AND(R88&lt;&gt;"No",OR(I88="Key establishment / encryption in transit",I88="Key wrapping / key transport",I88="Mixed or unknown",I88=""),OR(N(O88)&gt;0,G88="Confidential",G88="Restricted")),IF(F88="Yes","Yes - internet-facing","Yes"),"No"))</f>
        <v/>
      </c>
      <c r="V88" s="18" t="str">
        <f aca="false">IF(A88="","",IF(R88="No","Keep - not quantum-vulnerable (review key size)",IF(I88="Digital signature / authentication","ML-DSA-65 (FIPS 204); SLH-DSA (FIPS 205) if hash-based is preferred",IF(OR(I88="Key establishment / encryption in transit",I88="Key wrapping / key transport"),"ML-KEM-768 (FIPS 203); hybrid X25519MLKEM768 for TLS 1.3",IF(I88="Mixed or unknown","Both: ML-KEM (FIPS 203) for keys, ML-DSA (FIPS 204) for signatures","Pick the crypto function first")))))</f>
        <v/>
      </c>
      <c r="W88" s="16"/>
      <c r="X88" s="18" t="str">
        <f aca="false">IF(A88="","",IF(R88="No",0,IF(LEFT(T88,7)="AT RISK",Assumptions!$C$13,0)+IF(LEFT(U88,3)="Yes",Assumptions!$C$14,0)+IF(F88="Yes",Assumptions!$C$15,0)+IF(G88="Restricted",Assumptions!$C$16,IF(G88="Confidential",Assumptions!$C$17,IF(G88="Internal",Assumptions!$C$18,0)))+IF(OR(N88="Roadmap - verbal only",N88="No roadmap",N88="Not asked yet",N88=""),Assumptions!$C$19,0)+IF(E88="Production",Assumptions!$C$20,0)+IF(AND(ISNUMBER(P88),N(P88)&gt;=Assumptions!$C$22),Assumptions!$C$21,0)))</f>
        <v/>
      </c>
      <c r="Y88" s="18" t="str">
        <f aca="false">IF(X88="","",IF(R88="No","None",IF(X88&gt;=Assumptions!$C$23,"High",IF(X88&gt;=Assumptions!$C$24,"Medium","Low"))))</f>
        <v/>
      </c>
      <c r="Z88" s="16"/>
      <c r="AA88" s="17"/>
      <c r="AB88" s="16"/>
      <c r="AC88" s="18" t="str">
        <f aca="true">IF(OR(AA88="",AB88="Hybrid deployed",AB88="PQC deployed",AB88="Not required (not vulnerable)",AB88="Risk accepted"),"",IF(AA88&lt;TODAY(),"OVERDUE",""))</f>
        <v/>
      </c>
      <c r="AD88" s="18" t="str">
        <f aca="true">IF(A88="","",IF(B88="","Name the system. ","")&amp;IF(LEFT(R88,7)="Unknown","Algorithm unknown - scan or ask the vendor. ","")&amp;IF(AND(R88&lt;&gt;"No",Assumptions!$C$6=""),"Set Z on Assumptions. ","")&amp;IF(AND(R88&lt;&gt;"No",OR(O88="",P88="")),"Enter X and Y. ","")&amp;IF(LEFT(T88,7)="AT RISK","Mosca: X+Y exceeds Z - migration should already be under way. ","")&amp;IF(AND(LEFT(U88,3)="Yes",OR(AB88="",AB88="Not started")),"Harvest-now-decrypt-later exposure and migration not started. ","")&amp;IF(AND(R88&lt;&gt;"No",OR(W88="",W88="To decide")),"Choose a target algorithm. ","")&amp;IF(AND(R88&lt;&gt;"No",W88="Keep - not quantum-vulnerable"),"Target 'Keep' conflicts with a quantum-vulnerable algorithm. ","")&amp;IF(LEFT(J88,5)="SHA-1","SHA-1 is deprecated - replace (NIST IR 8547). ","")&amp;IF(AND(R88&lt;&gt;"No",OR(N88="Roadmap - verbal only",N88="No roadmap",N88="Not asked yet")),"Get a written PQC roadmap from the vendor. ","")&amp;IF(AND(R88&lt;&gt;"No",N88=""),"Record the vendor PQC roadmap status. ","")&amp;IF(ISNUMBER(M88),IF(M88&lt;TODAY(),"Certificate or key expired. ",IF(M88-TODAY()&lt;=Assumptions!$C$25,"Expires soon - use the renewal to revisit the algorithm. ","")),"")&amp;IF(AC88="OVERDUE","Migration overdue. ","")&amp;IF(AND(R88&lt;&gt;"No",Z88=""),"Assign a migration owner. ",""))</f>
        <v/>
      </c>
    </row>
    <row r="89" customFormat="false" ht="15" hidden="false" customHeight="false" outlineLevel="0" collapsed="false">
      <c r="A89" s="16"/>
      <c r="B89" s="16"/>
      <c r="C89" s="16"/>
      <c r="D89" s="16"/>
      <c r="E89" s="16"/>
      <c r="F89" s="16"/>
      <c r="G89" s="16"/>
      <c r="H89" s="16"/>
      <c r="I89" s="16"/>
      <c r="J89" s="16"/>
      <c r="K89" s="16"/>
      <c r="L89" s="16"/>
      <c r="M89" s="17"/>
      <c r="N89" s="16"/>
      <c r="O89" s="16"/>
      <c r="P89" s="16"/>
      <c r="Q89" s="18" t="str">
        <f aca="false">IF(A89="","",IF(J89="","Unknown",IFERROR(INDEX('Algorithm Reference'!$C$6:$C$41,MATCH(J89,'Algorithm Reference'!$B$6:$B$41,0)),"Not in reference")))</f>
        <v/>
      </c>
      <c r="R89" s="18" t="str">
        <f aca="false">IF(A89="","",IF(J89="","Unknown - investigate",IFERROR(INDEX('Algorithm Reference'!$E$6:$E$41,MATCH(J89,'Algorithm Reference'!$B$6:$B$41,0)),"Unknown - investigate")))</f>
        <v/>
      </c>
      <c r="S89" s="18" t="str">
        <f aca="false">IF(OR(O89="",P89=""),"",O89+P89)</f>
        <v/>
      </c>
      <c r="T89" s="18" t="str">
        <f aca="false">IF(A89="","",IF(R89="No","N/A - not quantum-vulnerable",IF(OR(O89="",P89=""),"Enter X and Y",IF(Assumptions!$C$6="","Set Z on Assumptions",IF(O89+P89&gt;Assumptions!$C$6,"AT RISK (X+Y &gt; Z)","Within Z (X+Y &lt;= Z)")))))</f>
        <v/>
      </c>
      <c r="U89" s="18" t="str">
        <f aca="false">IF(A89="","",IF(AND(R89&lt;&gt;"No",OR(I89="Key establishment / encryption in transit",I89="Key wrapping / key transport",I89="Mixed or unknown",I89=""),OR(N(O89)&gt;0,G89="Confidential",G89="Restricted")),IF(F89="Yes","Yes - internet-facing","Yes"),"No"))</f>
        <v/>
      </c>
      <c r="V89" s="18" t="str">
        <f aca="false">IF(A89="","",IF(R89="No","Keep - not quantum-vulnerable (review key size)",IF(I89="Digital signature / authentication","ML-DSA-65 (FIPS 204); SLH-DSA (FIPS 205) if hash-based is preferred",IF(OR(I89="Key establishment / encryption in transit",I89="Key wrapping / key transport"),"ML-KEM-768 (FIPS 203); hybrid X25519MLKEM768 for TLS 1.3",IF(I89="Mixed or unknown","Both: ML-KEM (FIPS 203) for keys, ML-DSA (FIPS 204) for signatures","Pick the crypto function first")))))</f>
        <v/>
      </c>
      <c r="W89" s="16"/>
      <c r="X89" s="18" t="str">
        <f aca="false">IF(A89="","",IF(R89="No",0,IF(LEFT(T89,7)="AT RISK",Assumptions!$C$13,0)+IF(LEFT(U89,3)="Yes",Assumptions!$C$14,0)+IF(F89="Yes",Assumptions!$C$15,0)+IF(G89="Restricted",Assumptions!$C$16,IF(G89="Confidential",Assumptions!$C$17,IF(G89="Internal",Assumptions!$C$18,0)))+IF(OR(N89="Roadmap - verbal only",N89="No roadmap",N89="Not asked yet",N89=""),Assumptions!$C$19,0)+IF(E89="Production",Assumptions!$C$20,0)+IF(AND(ISNUMBER(P89),N(P89)&gt;=Assumptions!$C$22),Assumptions!$C$21,0)))</f>
        <v/>
      </c>
      <c r="Y89" s="18" t="str">
        <f aca="false">IF(X89="","",IF(R89="No","None",IF(X89&gt;=Assumptions!$C$23,"High",IF(X89&gt;=Assumptions!$C$24,"Medium","Low"))))</f>
        <v/>
      </c>
      <c r="Z89" s="16"/>
      <c r="AA89" s="17"/>
      <c r="AB89" s="16"/>
      <c r="AC89" s="18" t="str">
        <f aca="true">IF(OR(AA89="",AB89="Hybrid deployed",AB89="PQC deployed",AB89="Not required (not vulnerable)",AB89="Risk accepted"),"",IF(AA89&lt;TODAY(),"OVERDUE",""))</f>
        <v/>
      </c>
      <c r="AD89" s="18" t="str">
        <f aca="true">IF(A89="","",IF(B89="","Name the system. ","")&amp;IF(LEFT(R89,7)="Unknown","Algorithm unknown - scan or ask the vendor. ","")&amp;IF(AND(R89&lt;&gt;"No",Assumptions!$C$6=""),"Set Z on Assumptions. ","")&amp;IF(AND(R89&lt;&gt;"No",OR(O89="",P89="")),"Enter X and Y. ","")&amp;IF(LEFT(T89,7)="AT RISK","Mosca: X+Y exceeds Z - migration should already be under way. ","")&amp;IF(AND(LEFT(U89,3)="Yes",OR(AB89="",AB89="Not started")),"Harvest-now-decrypt-later exposure and migration not started. ","")&amp;IF(AND(R89&lt;&gt;"No",OR(W89="",W89="To decide")),"Choose a target algorithm. ","")&amp;IF(AND(R89&lt;&gt;"No",W89="Keep - not quantum-vulnerable"),"Target 'Keep' conflicts with a quantum-vulnerable algorithm. ","")&amp;IF(LEFT(J89,5)="SHA-1","SHA-1 is deprecated - replace (NIST IR 8547). ","")&amp;IF(AND(R89&lt;&gt;"No",OR(N89="Roadmap - verbal only",N89="No roadmap",N89="Not asked yet")),"Get a written PQC roadmap from the vendor. ","")&amp;IF(AND(R89&lt;&gt;"No",N89=""),"Record the vendor PQC roadmap status. ","")&amp;IF(ISNUMBER(M89),IF(M89&lt;TODAY(),"Certificate or key expired. ",IF(M89-TODAY()&lt;=Assumptions!$C$25,"Expires soon - use the renewal to revisit the algorithm. ","")),"")&amp;IF(AC89="OVERDUE","Migration overdue. ","")&amp;IF(AND(R89&lt;&gt;"No",Z89=""),"Assign a migration owner. ",""))</f>
        <v/>
      </c>
    </row>
    <row r="90" customFormat="false" ht="15" hidden="false" customHeight="false" outlineLevel="0" collapsed="false">
      <c r="A90" s="16"/>
      <c r="B90" s="16"/>
      <c r="C90" s="16"/>
      <c r="D90" s="16"/>
      <c r="E90" s="16"/>
      <c r="F90" s="16"/>
      <c r="G90" s="16"/>
      <c r="H90" s="16"/>
      <c r="I90" s="16"/>
      <c r="J90" s="16"/>
      <c r="K90" s="16"/>
      <c r="L90" s="16"/>
      <c r="M90" s="17"/>
      <c r="N90" s="16"/>
      <c r="O90" s="16"/>
      <c r="P90" s="16"/>
      <c r="Q90" s="18" t="str">
        <f aca="false">IF(A90="","",IF(J90="","Unknown",IFERROR(INDEX('Algorithm Reference'!$C$6:$C$41,MATCH(J90,'Algorithm Reference'!$B$6:$B$41,0)),"Not in reference")))</f>
        <v/>
      </c>
      <c r="R90" s="18" t="str">
        <f aca="false">IF(A90="","",IF(J90="","Unknown - investigate",IFERROR(INDEX('Algorithm Reference'!$E$6:$E$41,MATCH(J90,'Algorithm Reference'!$B$6:$B$41,0)),"Unknown - investigate")))</f>
        <v/>
      </c>
      <c r="S90" s="18" t="str">
        <f aca="false">IF(OR(O90="",P90=""),"",O90+P90)</f>
        <v/>
      </c>
      <c r="T90" s="18" t="str">
        <f aca="false">IF(A90="","",IF(R90="No","N/A - not quantum-vulnerable",IF(OR(O90="",P90=""),"Enter X and Y",IF(Assumptions!$C$6="","Set Z on Assumptions",IF(O90+P90&gt;Assumptions!$C$6,"AT RISK (X+Y &gt; Z)","Within Z (X+Y &lt;= Z)")))))</f>
        <v/>
      </c>
      <c r="U90" s="18" t="str">
        <f aca="false">IF(A90="","",IF(AND(R90&lt;&gt;"No",OR(I90="Key establishment / encryption in transit",I90="Key wrapping / key transport",I90="Mixed or unknown",I90=""),OR(N(O90)&gt;0,G90="Confidential",G90="Restricted")),IF(F90="Yes","Yes - internet-facing","Yes"),"No"))</f>
        <v/>
      </c>
      <c r="V90" s="18" t="str">
        <f aca="false">IF(A90="","",IF(R90="No","Keep - not quantum-vulnerable (review key size)",IF(I90="Digital signature / authentication","ML-DSA-65 (FIPS 204); SLH-DSA (FIPS 205) if hash-based is preferred",IF(OR(I90="Key establishment / encryption in transit",I90="Key wrapping / key transport"),"ML-KEM-768 (FIPS 203); hybrid X25519MLKEM768 for TLS 1.3",IF(I90="Mixed or unknown","Both: ML-KEM (FIPS 203) for keys, ML-DSA (FIPS 204) for signatures","Pick the crypto function first")))))</f>
        <v/>
      </c>
      <c r="W90" s="16"/>
      <c r="X90" s="18" t="str">
        <f aca="false">IF(A90="","",IF(R90="No",0,IF(LEFT(T90,7)="AT RISK",Assumptions!$C$13,0)+IF(LEFT(U90,3)="Yes",Assumptions!$C$14,0)+IF(F90="Yes",Assumptions!$C$15,0)+IF(G90="Restricted",Assumptions!$C$16,IF(G90="Confidential",Assumptions!$C$17,IF(G90="Internal",Assumptions!$C$18,0)))+IF(OR(N90="Roadmap - verbal only",N90="No roadmap",N90="Not asked yet",N90=""),Assumptions!$C$19,0)+IF(E90="Production",Assumptions!$C$20,0)+IF(AND(ISNUMBER(P90),N(P90)&gt;=Assumptions!$C$22),Assumptions!$C$21,0)))</f>
        <v/>
      </c>
      <c r="Y90" s="18" t="str">
        <f aca="false">IF(X90="","",IF(R90="No","None",IF(X90&gt;=Assumptions!$C$23,"High",IF(X90&gt;=Assumptions!$C$24,"Medium","Low"))))</f>
        <v/>
      </c>
      <c r="Z90" s="16"/>
      <c r="AA90" s="17"/>
      <c r="AB90" s="16"/>
      <c r="AC90" s="18" t="str">
        <f aca="true">IF(OR(AA90="",AB90="Hybrid deployed",AB90="PQC deployed",AB90="Not required (not vulnerable)",AB90="Risk accepted"),"",IF(AA90&lt;TODAY(),"OVERDUE",""))</f>
        <v/>
      </c>
      <c r="AD90" s="18" t="str">
        <f aca="true">IF(A90="","",IF(B90="","Name the system. ","")&amp;IF(LEFT(R90,7)="Unknown","Algorithm unknown - scan or ask the vendor. ","")&amp;IF(AND(R90&lt;&gt;"No",Assumptions!$C$6=""),"Set Z on Assumptions. ","")&amp;IF(AND(R90&lt;&gt;"No",OR(O90="",P90="")),"Enter X and Y. ","")&amp;IF(LEFT(T90,7)="AT RISK","Mosca: X+Y exceeds Z - migration should already be under way. ","")&amp;IF(AND(LEFT(U90,3)="Yes",OR(AB90="",AB90="Not started")),"Harvest-now-decrypt-later exposure and migration not started. ","")&amp;IF(AND(R90&lt;&gt;"No",OR(W90="",W90="To decide")),"Choose a target algorithm. ","")&amp;IF(AND(R90&lt;&gt;"No",W90="Keep - not quantum-vulnerable"),"Target 'Keep' conflicts with a quantum-vulnerable algorithm. ","")&amp;IF(LEFT(J90,5)="SHA-1","SHA-1 is deprecated - replace (NIST IR 8547). ","")&amp;IF(AND(R90&lt;&gt;"No",OR(N90="Roadmap - verbal only",N90="No roadmap",N90="Not asked yet")),"Get a written PQC roadmap from the vendor. ","")&amp;IF(AND(R90&lt;&gt;"No",N90=""),"Record the vendor PQC roadmap status. ","")&amp;IF(ISNUMBER(M90),IF(M90&lt;TODAY(),"Certificate or key expired. ",IF(M90-TODAY()&lt;=Assumptions!$C$25,"Expires soon - use the renewal to revisit the algorithm. ","")),"")&amp;IF(AC90="OVERDUE","Migration overdue. ","")&amp;IF(AND(R90&lt;&gt;"No",Z90=""),"Assign a migration owner. ",""))</f>
        <v/>
      </c>
    </row>
    <row r="91" customFormat="false" ht="15" hidden="false" customHeight="false" outlineLevel="0" collapsed="false">
      <c r="A91" s="16"/>
      <c r="B91" s="16"/>
      <c r="C91" s="16"/>
      <c r="D91" s="16"/>
      <c r="E91" s="16"/>
      <c r="F91" s="16"/>
      <c r="G91" s="16"/>
      <c r="H91" s="16"/>
      <c r="I91" s="16"/>
      <c r="J91" s="16"/>
      <c r="K91" s="16"/>
      <c r="L91" s="16"/>
      <c r="M91" s="17"/>
      <c r="N91" s="16"/>
      <c r="O91" s="16"/>
      <c r="P91" s="16"/>
      <c r="Q91" s="18" t="str">
        <f aca="false">IF(A91="","",IF(J91="","Unknown",IFERROR(INDEX('Algorithm Reference'!$C$6:$C$41,MATCH(J91,'Algorithm Reference'!$B$6:$B$41,0)),"Not in reference")))</f>
        <v/>
      </c>
      <c r="R91" s="18" t="str">
        <f aca="false">IF(A91="","",IF(J91="","Unknown - investigate",IFERROR(INDEX('Algorithm Reference'!$E$6:$E$41,MATCH(J91,'Algorithm Reference'!$B$6:$B$41,0)),"Unknown - investigate")))</f>
        <v/>
      </c>
      <c r="S91" s="18" t="str">
        <f aca="false">IF(OR(O91="",P91=""),"",O91+P91)</f>
        <v/>
      </c>
      <c r="T91" s="18" t="str">
        <f aca="false">IF(A91="","",IF(R91="No","N/A - not quantum-vulnerable",IF(OR(O91="",P91=""),"Enter X and Y",IF(Assumptions!$C$6="","Set Z on Assumptions",IF(O91+P91&gt;Assumptions!$C$6,"AT RISK (X+Y &gt; Z)","Within Z (X+Y &lt;= Z)")))))</f>
        <v/>
      </c>
      <c r="U91" s="18" t="str">
        <f aca="false">IF(A91="","",IF(AND(R91&lt;&gt;"No",OR(I91="Key establishment / encryption in transit",I91="Key wrapping / key transport",I91="Mixed or unknown",I91=""),OR(N(O91)&gt;0,G91="Confidential",G91="Restricted")),IF(F91="Yes","Yes - internet-facing","Yes"),"No"))</f>
        <v/>
      </c>
      <c r="V91" s="18" t="str">
        <f aca="false">IF(A91="","",IF(R91="No","Keep - not quantum-vulnerable (review key size)",IF(I91="Digital signature / authentication","ML-DSA-65 (FIPS 204); SLH-DSA (FIPS 205) if hash-based is preferred",IF(OR(I91="Key establishment / encryption in transit",I91="Key wrapping / key transport"),"ML-KEM-768 (FIPS 203); hybrid X25519MLKEM768 for TLS 1.3",IF(I91="Mixed or unknown","Both: ML-KEM (FIPS 203) for keys, ML-DSA (FIPS 204) for signatures","Pick the crypto function first")))))</f>
        <v/>
      </c>
      <c r="W91" s="16"/>
      <c r="X91" s="18" t="str">
        <f aca="false">IF(A91="","",IF(R91="No",0,IF(LEFT(T91,7)="AT RISK",Assumptions!$C$13,0)+IF(LEFT(U91,3)="Yes",Assumptions!$C$14,0)+IF(F91="Yes",Assumptions!$C$15,0)+IF(G91="Restricted",Assumptions!$C$16,IF(G91="Confidential",Assumptions!$C$17,IF(G91="Internal",Assumptions!$C$18,0)))+IF(OR(N91="Roadmap - verbal only",N91="No roadmap",N91="Not asked yet",N91=""),Assumptions!$C$19,0)+IF(E91="Production",Assumptions!$C$20,0)+IF(AND(ISNUMBER(P91),N(P91)&gt;=Assumptions!$C$22),Assumptions!$C$21,0)))</f>
        <v/>
      </c>
      <c r="Y91" s="18" t="str">
        <f aca="false">IF(X91="","",IF(R91="No","None",IF(X91&gt;=Assumptions!$C$23,"High",IF(X91&gt;=Assumptions!$C$24,"Medium","Low"))))</f>
        <v/>
      </c>
      <c r="Z91" s="16"/>
      <c r="AA91" s="17"/>
      <c r="AB91" s="16"/>
      <c r="AC91" s="18" t="str">
        <f aca="true">IF(OR(AA91="",AB91="Hybrid deployed",AB91="PQC deployed",AB91="Not required (not vulnerable)",AB91="Risk accepted"),"",IF(AA91&lt;TODAY(),"OVERDUE",""))</f>
        <v/>
      </c>
      <c r="AD91" s="18" t="str">
        <f aca="true">IF(A91="","",IF(B91="","Name the system. ","")&amp;IF(LEFT(R91,7)="Unknown","Algorithm unknown - scan or ask the vendor. ","")&amp;IF(AND(R91&lt;&gt;"No",Assumptions!$C$6=""),"Set Z on Assumptions. ","")&amp;IF(AND(R91&lt;&gt;"No",OR(O91="",P91="")),"Enter X and Y. ","")&amp;IF(LEFT(T91,7)="AT RISK","Mosca: X+Y exceeds Z - migration should already be under way. ","")&amp;IF(AND(LEFT(U91,3)="Yes",OR(AB91="",AB91="Not started")),"Harvest-now-decrypt-later exposure and migration not started. ","")&amp;IF(AND(R91&lt;&gt;"No",OR(W91="",W91="To decide")),"Choose a target algorithm. ","")&amp;IF(AND(R91&lt;&gt;"No",W91="Keep - not quantum-vulnerable"),"Target 'Keep' conflicts with a quantum-vulnerable algorithm. ","")&amp;IF(LEFT(J91,5)="SHA-1","SHA-1 is deprecated - replace (NIST IR 8547). ","")&amp;IF(AND(R91&lt;&gt;"No",OR(N91="Roadmap - verbal only",N91="No roadmap",N91="Not asked yet")),"Get a written PQC roadmap from the vendor. ","")&amp;IF(AND(R91&lt;&gt;"No",N91=""),"Record the vendor PQC roadmap status. ","")&amp;IF(ISNUMBER(M91),IF(M91&lt;TODAY(),"Certificate or key expired. ",IF(M91-TODAY()&lt;=Assumptions!$C$25,"Expires soon - use the renewal to revisit the algorithm. ","")),"")&amp;IF(AC91="OVERDUE","Migration overdue. ","")&amp;IF(AND(R91&lt;&gt;"No",Z91=""),"Assign a migration owner. ",""))</f>
        <v/>
      </c>
    </row>
    <row r="92" customFormat="false" ht="15" hidden="false" customHeight="false" outlineLevel="0" collapsed="false">
      <c r="A92" s="16"/>
      <c r="B92" s="16"/>
      <c r="C92" s="16"/>
      <c r="D92" s="16"/>
      <c r="E92" s="16"/>
      <c r="F92" s="16"/>
      <c r="G92" s="16"/>
      <c r="H92" s="16"/>
      <c r="I92" s="16"/>
      <c r="J92" s="16"/>
      <c r="K92" s="16"/>
      <c r="L92" s="16"/>
      <c r="M92" s="17"/>
      <c r="N92" s="16"/>
      <c r="O92" s="16"/>
      <c r="P92" s="16"/>
      <c r="Q92" s="18" t="str">
        <f aca="false">IF(A92="","",IF(J92="","Unknown",IFERROR(INDEX('Algorithm Reference'!$C$6:$C$41,MATCH(J92,'Algorithm Reference'!$B$6:$B$41,0)),"Not in reference")))</f>
        <v/>
      </c>
      <c r="R92" s="18" t="str">
        <f aca="false">IF(A92="","",IF(J92="","Unknown - investigate",IFERROR(INDEX('Algorithm Reference'!$E$6:$E$41,MATCH(J92,'Algorithm Reference'!$B$6:$B$41,0)),"Unknown - investigate")))</f>
        <v/>
      </c>
      <c r="S92" s="18" t="str">
        <f aca="false">IF(OR(O92="",P92=""),"",O92+P92)</f>
        <v/>
      </c>
      <c r="T92" s="18" t="str">
        <f aca="false">IF(A92="","",IF(R92="No","N/A - not quantum-vulnerable",IF(OR(O92="",P92=""),"Enter X and Y",IF(Assumptions!$C$6="","Set Z on Assumptions",IF(O92+P92&gt;Assumptions!$C$6,"AT RISK (X+Y &gt; Z)","Within Z (X+Y &lt;= Z)")))))</f>
        <v/>
      </c>
      <c r="U92" s="18" t="str">
        <f aca="false">IF(A92="","",IF(AND(R92&lt;&gt;"No",OR(I92="Key establishment / encryption in transit",I92="Key wrapping / key transport",I92="Mixed or unknown",I92=""),OR(N(O92)&gt;0,G92="Confidential",G92="Restricted")),IF(F92="Yes","Yes - internet-facing","Yes"),"No"))</f>
        <v/>
      </c>
      <c r="V92" s="18" t="str">
        <f aca="false">IF(A92="","",IF(R92="No","Keep - not quantum-vulnerable (review key size)",IF(I92="Digital signature / authentication","ML-DSA-65 (FIPS 204); SLH-DSA (FIPS 205) if hash-based is preferred",IF(OR(I92="Key establishment / encryption in transit",I92="Key wrapping / key transport"),"ML-KEM-768 (FIPS 203); hybrid X25519MLKEM768 for TLS 1.3",IF(I92="Mixed or unknown","Both: ML-KEM (FIPS 203) for keys, ML-DSA (FIPS 204) for signatures","Pick the crypto function first")))))</f>
        <v/>
      </c>
      <c r="W92" s="16"/>
      <c r="X92" s="18" t="str">
        <f aca="false">IF(A92="","",IF(R92="No",0,IF(LEFT(T92,7)="AT RISK",Assumptions!$C$13,0)+IF(LEFT(U92,3)="Yes",Assumptions!$C$14,0)+IF(F92="Yes",Assumptions!$C$15,0)+IF(G92="Restricted",Assumptions!$C$16,IF(G92="Confidential",Assumptions!$C$17,IF(G92="Internal",Assumptions!$C$18,0)))+IF(OR(N92="Roadmap - verbal only",N92="No roadmap",N92="Not asked yet",N92=""),Assumptions!$C$19,0)+IF(E92="Production",Assumptions!$C$20,0)+IF(AND(ISNUMBER(P92),N(P92)&gt;=Assumptions!$C$22),Assumptions!$C$21,0)))</f>
        <v/>
      </c>
      <c r="Y92" s="18" t="str">
        <f aca="false">IF(X92="","",IF(R92="No","None",IF(X92&gt;=Assumptions!$C$23,"High",IF(X92&gt;=Assumptions!$C$24,"Medium","Low"))))</f>
        <v/>
      </c>
      <c r="Z92" s="16"/>
      <c r="AA92" s="17"/>
      <c r="AB92" s="16"/>
      <c r="AC92" s="18" t="str">
        <f aca="true">IF(OR(AA92="",AB92="Hybrid deployed",AB92="PQC deployed",AB92="Not required (not vulnerable)",AB92="Risk accepted"),"",IF(AA92&lt;TODAY(),"OVERDUE",""))</f>
        <v/>
      </c>
      <c r="AD92" s="18" t="str">
        <f aca="true">IF(A92="","",IF(B92="","Name the system. ","")&amp;IF(LEFT(R92,7)="Unknown","Algorithm unknown - scan or ask the vendor. ","")&amp;IF(AND(R92&lt;&gt;"No",Assumptions!$C$6=""),"Set Z on Assumptions. ","")&amp;IF(AND(R92&lt;&gt;"No",OR(O92="",P92="")),"Enter X and Y. ","")&amp;IF(LEFT(T92,7)="AT RISK","Mosca: X+Y exceeds Z - migration should already be under way. ","")&amp;IF(AND(LEFT(U92,3)="Yes",OR(AB92="",AB92="Not started")),"Harvest-now-decrypt-later exposure and migration not started. ","")&amp;IF(AND(R92&lt;&gt;"No",OR(W92="",W92="To decide")),"Choose a target algorithm. ","")&amp;IF(AND(R92&lt;&gt;"No",W92="Keep - not quantum-vulnerable"),"Target 'Keep' conflicts with a quantum-vulnerable algorithm. ","")&amp;IF(LEFT(J92,5)="SHA-1","SHA-1 is deprecated - replace (NIST IR 8547). ","")&amp;IF(AND(R92&lt;&gt;"No",OR(N92="Roadmap - verbal only",N92="No roadmap",N92="Not asked yet")),"Get a written PQC roadmap from the vendor. ","")&amp;IF(AND(R92&lt;&gt;"No",N92=""),"Record the vendor PQC roadmap status. ","")&amp;IF(ISNUMBER(M92),IF(M92&lt;TODAY(),"Certificate or key expired. ",IF(M92-TODAY()&lt;=Assumptions!$C$25,"Expires soon - use the renewal to revisit the algorithm. ","")),"")&amp;IF(AC92="OVERDUE","Migration overdue. ","")&amp;IF(AND(R92&lt;&gt;"No",Z92=""),"Assign a migration owner. ",""))</f>
        <v/>
      </c>
    </row>
    <row r="93" customFormat="false" ht="15" hidden="false" customHeight="false" outlineLevel="0" collapsed="false">
      <c r="A93" s="16"/>
      <c r="B93" s="16"/>
      <c r="C93" s="16"/>
      <c r="D93" s="16"/>
      <c r="E93" s="16"/>
      <c r="F93" s="16"/>
      <c r="G93" s="16"/>
      <c r="H93" s="16"/>
      <c r="I93" s="16"/>
      <c r="J93" s="16"/>
      <c r="K93" s="16"/>
      <c r="L93" s="16"/>
      <c r="M93" s="17"/>
      <c r="N93" s="16"/>
      <c r="O93" s="16"/>
      <c r="P93" s="16"/>
      <c r="Q93" s="18" t="str">
        <f aca="false">IF(A93="","",IF(J93="","Unknown",IFERROR(INDEX('Algorithm Reference'!$C$6:$C$41,MATCH(J93,'Algorithm Reference'!$B$6:$B$41,0)),"Not in reference")))</f>
        <v/>
      </c>
      <c r="R93" s="18" t="str">
        <f aca="false">IF(A93="","",IF(J93="","Unknown - investigate",IFERROR(INDEX('Algorithm Reference'!$E$6:$E$41,MATCH(J93,'Algorithm Reference'!$B$6:$B$41,0)),"Unknown - investigate")))</f>
        <v/>
      </c>
      <c r="S93" s="18" t="str">
        <f aca="false">IF(OR(O93="",P93=""),"",O93+P93)</f>
        <v/>
      </c>
      <c r="T93" s="18" t="str">
        <f aca="false">IF(A93="","",IF(R93="No","N/A - not quantum-vulnerable",IF(OR(O93="",P93=""),"Enter X and Y",IF(Assumptions!$C$6="","Set Z on Assumptions",IF(O93+P93&gt;Assumptions!$C$6,"AT RISK (X+Y &gt; Z)","Within Z (X+Y &lt;= Z)")))))</f>
        <v/>
      </c>
      <c r="U93" s="18" t="str">
        <f aca="false">IF(A93="","",IF(AND(R93&lt;&gt;"No",OR(I93="Key establishment / encryption in transit",I93="Key wrapping / key transport",I93="Mixed or unknown",I93=""),OR(N(O93)&gt;0,G93="Confidential",G93="Restricted")),IF(F93="Yes","Yes - internet-facing","Yes"),"No"))</f>
        <v/>
      </c>
      <c r="V93" s="18" t="str">
        <f aca="false">IF(A93="","",IF(R93="No","Keep - not quantum-vulnerable (review key size)",IF(I93="Digital signature / authentication","ML-DSA-65 (FIPS 204); SLH-DSA (FIPS 205) if hash-based is preferred",IF(OR(I93="Key establishment / encryption in transit",I93="Key wrapping / key transport"),"ML-KEM-768 (FIPS 203); hybrid X25519MLKEM768 for TLS 1.3",IF(I93="Mixed or unknown","Both: ML-KEM (FIPS 203) for keys, ML-DSA (FIPS 204) for signatures","Pick the crypto function first")))))</f>
        <v/>
      </c>
      <c r="W93" s="16"/>
      <c r="X93" s="18" t="str">
        <f aca="false">IF(A93="","",IF(R93="No",0,IF(LEFT(T93,7)="AT RISK",Assumptions!$C$13,0)+IF(LEFT(U93,3)="Yes",Assumptions!$C$14,0)+IF(F93="Yes",Assumptions!$C$15,0)+IF(G93="Restricted",Assumptions!$C$16,IF(G93="Confidential",Assumptions!$C$17,IF(G93="Internal",Assumptions!$C$18,0)))+IF(OR(N93="Roadmap - verbal only",N93="No roadmap",N93="Not asked yet",N93=""),Assumptions!$C$19,0)+IF(E93="Production",Assumptions!$C$20,0)+IF(AND(ISNUMBER(P93),N(P93)&gt;=Assumptions!$C$22),Assumptions!$C$21,0)))</f>
        <v/>
      </c>
      <c r="Y93" s="18" t="str">
        <f aca="false">IF(X93="","",IF(R93="No","None",IF(X93&gt;=Assumptions!$C$23,"High",IF(X93&gt;=Assumptions!$C$24,"Medium","Low"))))</f>
        <v/>
      </c>
      <c r="Z93" s="16"/>
      <c r="AA93" s="17"/>
      <c r="AB93" s="16"/>
      <c r="AC93" s="18" t="str">
        <f aca="true">IF(OR(AA93="",AB93="Hybrid deployed",AB93="PQC deployed",AB93="Not required (not vulnerable)",AB93="Risk accepted"),"",IF(AA93&lt;TODAY(),"OVERDUE",""))</f>
        <v/>
      </c>
      <c r="AD93" s="18" t="str">
        <f aca="true">IF(A93="","",IF(B93="","Name the system. ","")&amp;IF(LEFT(R93,7)="Unknown","Algorithm unknown - scan or ask the vendor. ","")&amp;IF(AND(R93&lt;&gt;"No",Assumptions!$C$6=""),"Set Z on Assumptions. ","")&amp;IF(AND(R93&lt;&gt;"No",OR(O93="",P93="")),"Enter X and Y. ","")&amp;IF(LEFT(T93,7)="AT RISK","Mosca: X+Y exceeds Z - migration should already be under way. ","")&amp;IF(AND(LEFT(U93,3)="Yes",OR(AB93="",AB93="Not started")),"Harvest-now-decrypt-later exposure and migration not started. ","")&amp;IF(AND(R93&lt;&gt;"No",OR(W93="",W93="To decide")),"Choose a target algorithm. ","")&amp;IF(AND(R93&lt;&gt;"No",W93="Keep - not quantum-vulnerable"),"Target 'Keep' conflicts with a quantum-vulnerable algorithm. ","")&amp;IF(LEFT(J93,5)="SHA-1","SHA-1 is deprecated - replace (NIST IR 8547). ","")&amp;IF(AND(R93&lt;&gt;"No",OR(N93="Roadmap - verbal only",N93="No roadmap",N93="Not asked yet")),"Get a written PQC roadmap from the vendor. ","")&amp;IF(AND(R93&lt;&gt;"No",N93=""),"Record the vendor PQC roadmap status. ","")&amp;IF(ISNUMBER(M93),IF(M93&lt;TODAY(),"Certificate or key expired. ",IF(M93-TODAY()&lt;=Assumptions!$C$25,"Expires soon - use the renewal to revisit the algorithm. ","")),"")&amp;IF(AC93="OVERDUE","Migration overdue. ","")&amp;IF(AND(R93&lt;&gt;"No",Z93=""),"Assign a migration owner. ",""))</f>
        <v/>
      </c>
    </row>
    <row r="94" customFormat="false" ht="15" hidden="false" customHeight="false" outlineLevel="0" collapsed="false">
      <c r="A94" s="16"/>
      <c r="B94" s="16"/>
      <c r="C94" s="16"/>
      <c r="D94" s="16"/>
      <c r="E94" s="16"/>
      <c r="F94" s="16"/>
      <c r="G94" s="16"/>
      <c r="H94" s="16"/>
      <c r="I94" s="16"/>
      <c r="J94" s="16"/>
      <c r="K94" s="16"/>
      <c r="L94" s="16"/>
      <c r="M94" s="17"/>
      <c r="N94" s="16"/>
      <c r="O94" s="16"/>
      <c r="P94" s="16"/>
      <c r="Q94" s="18" t="str">
        <f aca="false">IF(A94="","",IF(J94="","Unknown",IFERROR(INDEX('Algorithm Reference'!$C$6:$C$41,MATCH(J94,'Algorithm Reference'!$B$6:$B$41,0)),"Not in reference")))</f>
        <v/>
      </c>
      <c r="R94" s="18" t="str">
        <f aca="false">IF(A94="","",IF(J94="","Unknown - investigate",IFERROR(INDEX('Algorithm Reference'!$E$6:$E$41,MATCH(J94,'Algorithm Reference'!$B$6:$B$41,0)),"Unknown - investigate")))</f>
        <v/>
      </c>
      <c r="S94" s="18" t="str">
        <f aca="false">IF(OR(O94="",P94=""),"",O94+P94)</f>
        <v/>
      </c>
      <c r="T94" s="18" t="str">
        <f aca="false">IF(A94="","",IF(R94="No","N/A - not quantum-vulnerable",IF(OR(O94="",P94=""),"Enter X and Y",IF(Assumptions!$C$6="","Set Z on Assumptions",IF(O94+P94&gt;Assumptions!$C$6,"AT RISK (X+Y &gt; Z)","Within Z (X+Y &lt;= Z)")))))</f>
        <v/>
      </c>
      <c r="U94" s="18" t="str">
        <f aca="false">IF(A94="","",IF(AND(R94&lt;&gt;"No",OR(I94="Key establishment / encryption in transit",I94="Key wrapping / key transport",I94="Mixed or unknown",I94=""),OR(N(O94)&gt;0,G94="Confidential",G94="Restricted")),IF(F94="Yes","Yes - internet-facing","Yes"),"No"))</f>
        <v/>
      </c>
      <c r="V94" s="18" t="str">
        <f aca="false">IF(A94="","",IF(R94="No","Keep - not quantum-vulnerable (review key size)",IF(I94="Digital signature / authentication","ML-DSA-65 (FIPS 204); SLH-DSA (FIPS 205) if hash-based is preferred",IF(OR(I94="Key establishment / encryption in transit",I94="Key wrapping / key transport"),"ML-KEM-768 (FIPS 203); hybrid X25519MLKEM768 for TLS 1.3",IF(I94="Mixed or unknown","Both: ML-KEM (FIPS 203) for keys, ML-DSA (FIPS 204) for signatures","Pick the crypto function first")))))</f>
        <v/>
      </c>
      <c r="W94" s="16"/>
      <c r="X94" s="18" t="str">
        <f aca="false">IF(A94="","",IF(R94="No",0,IF(LEFT(T94,7)="AT RISK",Assumptions!$C$13,0)+IF(LEFT(U94,3)="Yes",Assumptions!$C$14,0)+IF(F94="Yes",Assumptions!$C$15,0)+IF(G94="Restricted",Assumptions!$C$16,IF(G94="Confidential",Assumptions!$C$17,IF(G94="Internal",Assumptions!$C$18,0)))+IF(OR(N94="Roadmap - verbal only",N94="No roadmap",N94="Not asked yet",N94=""),Assumptions!$C$19,0)+IF(E94="Production",Assumptions!$C$20,0)+IF(AND(ISNUMBER(P94),N(P94)&gt;=Assumptions!$C$22),Assumptions!$C$21,0)))</f>
        <v/>
      </c>
      <c r="Y94" s="18" t="str">
        <f aca="false">IF(X94="","",IF(R94="No","None",IF(X94&gt;=Assumptions!$C$23,"High",IF(X94&gt;=Assumptions!$C$24,"Medium","Low"))))</f>
        <v/>
      </c>
      <c r="Z94" s="16"/>
      <c r="AA94" s="17"/>
      <c r="AB94" s="16"/>
      <c r="AC94" s="18" t="str">
        <f aca="true">IF(OR(AA94="",AB94="Hybrid deployed",AB94="PQC deployed",AB94="Not required (not vulnerable)",AB94="Risk accepted"),"",IF(AA94&lt;TODAY(),"OVERDUE",""))</f>
        <v/>
      </c>
      <c r="AD94" s="18" t="str">
        <f aca="true">IF(A94="","",IF(B94="","Name the system. ","")&amp;IF(LEFT(R94,7)="Unknown","Algorithm unknown - scan or ask the vendor. ","")&amp;IF(AND(R94&lt;&gt;"No",Assumptions!$C$6=""),"Set Z on Assumptions. ","")&amp;IF(AND(R94&lt;&gt;"No",OR(O94="",P94="")),"Enter X and Y. ","")&amp;IF(LEFT(T94,7)="AT RISK","Mosca: X+Y exceeds Z - migration should already be under way. ","")&amp;IF(AND(LEFT(U94,3)="Yes",OR(AB94="",AB94="Not started")),"Harvest-now-decrypt-later exposure and migration not started. ","")&amp;IF(AND(R94&lt;&gt;"No",OR(W94="",W94="To decide")),"Choose a target algorithm. ","")&amp;IF(AND(R94&lt;&gt;"No",W94="Keep - not quantum-vulnerable"),"Target 'Keep' conflicts with a quantum-vulnerable algorithm. ","")&amp;IF(LEFT(J94,5)="SHA-1","SHA-1 is deprecated - replace (NIST IR 8547). ","")&amp;IF(AND(R94&lt;&gt;"No",OR(N94="Roadmap - verbal only",N94="No roadmap",N94="Not asked yet")),"Get a written PQC roadmap from the vendor. ","")&amp;IF(AND(R94&lt;&gt;"No",N94=""),"Record the vendor PQC roadmap status. ","")&amp;IF(ISNUMBER(M94),IF(M94&lt;TODAY(),"Certificate or key expired. ",IF(M94-TODAY()&lt;=Assumptions!$C$25,"Expires soon - use the renewal to revisit the algorithm. ","")),"")&amp;IF(AC94="OVERDUE","Migration overdue. ","")&amp;IF(AND(R94&lt;&gt;"No",Z94=""),"Assign a migration owner. ",""))</f>
        <v/>
      </c>
    </row>
    <row r="95" customFormat="false" ht="15" hidden="false" customHeight="false" outlineLevel="0" collapsed="false">
      <c r="A95" s="16"/>
      <c r="B95" s="16"/>
      <c r="C95" s="16"/>
      <c r="D95" s="16"/>
      <c r="E95" s="16"/>
      <c r="F95" s="16"/>
      <c r="G95" s="16"/>
      <c r="H95" s="16"/>
      <c r="I95" s="16"/>
      <c r="J95" s="16"/>
      <c r="K95" s="16"/>
      <c r="L95" s="16"/>
      <c r="M95" s="17"/>
      <c r="N95" s="16"/>
      <c r="O95" s="16"/>
      <c r="P95" s="16"/>
      <c r="Q95" s="18" t="str">
        <f aca="false">IF(A95="","",IF(J95="","Unknown",IFERROR(INDEX('Algorithm Reference'!$C$6:$C$41,MATCH(J95,'Algorithm Reference'!$B$6:$B$41,0)),"Not in reference")))</f>
        <v/>
      </c>
      <c r="R95" s="18" t="str">
        <f aca="false">IF(A95="","",IF(J95="","Unknown - investigate",IFERROR(INDEX('Algorithm Reference'!$E$6:$E$41,MATCH(J95,'Algorithm Reference'!$B$6:$B$41,0)),"Unknown - investigate")))</f>
        <v/>
      </c>
      <c r="S95" s="18" t="str">
        <f aca="false">IF(OR(O95="",P95=""),"",O95+P95)</f>
        <v/>
      </c>
      <c r="T95" s="18" t="str">
        <f aca="false">IF(A95="","",IF(R95="No","N/A - not quantum-vulnerable",IF(OR(O95="",P95=""),"Enter X and Y",IF(Assumptions!$C$6="","Set Z on Assumptions",IF(O95+P95&gt;Assumptions!$C$6,"AT RISK (X+Y &gt; Z)","Within Z (X+Y &lt;= Z)")))))</f>
        <v/>
      </c>
      <c r="U95" s="18" t="str">
        <f aca="false">IF(A95="","",IF(AND(R95&lt;&gt;"No",OR(I95="Key establishment / encryption in transit",I95="Key wrapping / key transport",I95="Mixed or unknown",I95=""),OR(N(O95)&gt;0,G95="Confidential",G95="Restricted")),IF(F95="Yes","Yes - internet-facing","Yes"),"No"))</f>
        <v/>
      </c>
      <c r="V95" s="18" t="str">
        <f aca="false">IF(A95="","",IF(R95="No","Keep - not quantum-vulnerable (review key size)",IF(I95="Digital signature / authentication","ML-DSA-65 (FIPS 204); SLH-DSA (FIPS 205) if hash-based is preferred",IF(OR(I95="Key establishment / encryption in transit",I95="Key wrapping / key transport"),"ML-KEM-768 (FIPS 203); hybrid X25519MLKEM768 for TLS 1.3",IF(I95="Mixed or unknown","Both: ML-KEM (FIPS 203) for keys, ML-DSA (FIPS 204) for signatures","Pick the crypto function first")))))</f>
        <v/>
      </c>
      <c r="W95" s="16"/>
      <c r="X95" s="18" t="str">
        <f aca="false">IF(A95="","",IF(R95="No",0,IF(LEFT(T95,7)="AT RISK",Assumptions!$C$13,0)+IF(LEFT(U95,3)="Yes",Assumptions!$C$14,0)+IF(F95="Yes",Assumptions!$C$15,0)+IF(G95="Restricted",Assumptions!$C$16,IF(G95="Confidential",Assumptions!$C$17,IF(G95="Internal",Assumptions!$C$18,0)))+IF(OR(N95="Roadmap - verbal only",N95="No roadmap",N95="Not asked yet",N95=""),Assumptions!$C$19,0)+IF(E95="Production",Assumptions!$C$20,0)+IF(AND(ISNUMBER(P95),N(P95)&gt;=Assumptions!$C$22),Assumptions!$C$21,0)))</f>
        <v/>
      </c>
      <c r="Y95" s="18" t="str">
        <f aca="false">IF(X95="","",IF(R95="No","None",IF(X95&gt;=Assumptions!$C$23,"High",IF(X95&gt;=Assumptions!$C$24,"Medium","Low"))))</f>
        <v/>
      </c>
      <c r="Z95" s="16"/>
      <c r="AA95" s="17"/>
      <c r="AB95" s="16"/>
      <c r="AC95" s="18" t="str">
        <f aca="true">IF(OR(AA95="",AB95="Hybrid deployed",AB95="PQC deployed",AB95="Not required (not vulnerable)",AB95="Risk accepted"),"",IF(AA95&lt;TODAY(),"OVERDUE",""))</f>
        <v/>
      </c>
      <c r="AD95" s="18" t="str">
        <f aca="true">IF(A95="","",IF(B95="","Name the system. ","")&amp;IF(LEFT(R95,7)="Unknown","Algorithm unknown - scan or ask the vendor. ","")&amp;IF(AND(R95&lt;&gt;"No",Assumptions!$C$6=""),"Set Z on Assumptions. ","")&amp;IF(AND(R95&lt;&gt;"No",OR(O95="",P95="")),"Enter X and Y. ","")&amp;IF(LEFT(T95,7)="AT RISK","Mosca: X+Y exceeds Z - migration should already be under way. ","")&amp;IF(AND(LEFT(U95,3)="Yes",OR(AB95="",AB95="Not started")),"Harvest-now-decrypt-later exposure and migration not started. ","")&amp;IF(AND(R95&lt;&gt;"No",OR(W95="",W95="To decide")),"Choose a target algorithm. ","")&amp;IF(AND(R95&lt;&gt;"No",W95="Keep - not quantum-vulnerable"),"Target 'Keep' conflicts with a quantum-vulnerable algorithm. ","")&amp;IF(LEFT(J95,5)="SHA-1","SHA-1 is deprecated - replace (NIST IR 8547). ","")&amp;IF(AND(R95&lt;&gt;"No",OR(N95="Roadmap - verbal only",N95="No roadmap",N95="Not asked yet")),"Get a written PQC roadmap from the vendor. ","")&amp;IF(AND(R95&lt;&gt;"No",N95=""),"Record the vendor PQC roadmap status. ","")&amp;IF(ISNUMBER(M95),IF(M95&lt;TODAY(),"Certificate or key expired. ",IF(M95-TODAY()&lt;=Assumptions!$C$25,"Expires soon - use the renewal to revisit the algorithm. ","")),"")&amp;IF(AC95="OVERDUE","Migration overdue. ","")&amp;IF(AND(R95&lt;&gt;"No",Z95=""),"Assign a migration owner. ",""))</f>
        <v/>
      </c>
    </row>
    <row r="96" customFormat="false" ht="15" hidden="false" customHeight="false" outlineLevel="0" collapsed="false">
      <c r="A96" s="16"/>
      <c r="B96" s="16"/>
      <c r="C96" s="16"/>
      <c r="D96" s="16"/>
      <c r="E96" s="16"/>
      <c r="F96" s="16"/>
      <c r="G96" s="16"/>
      <c r="H96" s="16"/>
      <c r="I96" s="16"/>
      <c r="J96" s="16"/>
      <c r="K96" s="16"/>
      <c r="L96" s="16"/>
      <c r="M96" s="17"/>
      <c r="N96" s="16"/>
      <c r="O96" s="16"/>
      <c r="P96" s="16"/>
      <c r="Q96" s="18" t="str">
        <f aca="false">IF(A96="","",IF(J96="","Unknown",IFERROR(INDEX('Algorithm Reference'!$C$6:$C$41,MATCH(J96,'Algorithm Reference'!$B$6:$B$41,0)),"Not in reference")))</f>
        <v/>
      </c>
      <c r="R96" s="18" t="str">
        <f aca="false">IF(A96="","",IF(J96="","Unknown - investigate",IFERROR(INDEX('Algorithm Reference'!$E$6:$E$41,MATCH(J96,'Algorithm Reference'!$B$6:$B$41,0)),"Unknown - investigate")))</f>
        <v/>
      </c>
      <c r="S96" s="18" t="str">
        <f aca="false">IF(OR(O96="",P96=""),"",O96+P96)</f>
        <v/>
      </c>
      <c r="T96" s="18" t="str">
        <f aca="false">IF(A96="","",IF(R96="No","N/A - not quantum-vulnerable",IF(OR(O96="",P96=""),"Enter X and Y",IF(Assumptions!$C$6="","Set Z on Assumptions",IF(O96+P96&gt;Assumptions!$C$6,"AT RISK (X+Y &gt; Z)","Within Z (X+Y &lt;= Z)")))))</f>
        <v/>
      </c>
      <c r="U96" s="18" t="str">
        <f aca="false">IF(A96="","",IF(AND(R96&lt;&gt;"No",OR(I96="Key establishment / encryption in transit",I96="Key wrapping / key transport",I96="Mixed or unknown",I96=""),OR(N(O96)&gt;0,G96="Confidential",G96="Restricted")),IF(F96="Yes","Yes - internet-facing","Yes"),"No"))</f>
        <v/>
      </c>
      <c r="V96" s="18" t="str">
        <f aca="false">IF(A96="","",IF(R96="No","Keep - not quantum-vulnerable (review key size)",IF(I96="Digital signature / authentication","ML-DSA-65 (FIPS 204); SLH-DSA (FIPS 205) if hash-based is preferred",IF(OR(I96="Key establishment / encryption in transit",I96="Key wrapping / key transport"),"ML-KEM-768 (FIPS 203); hybrid X25519MLKEM768 for TLS 1.3",IF(I96="Mixed or unknown","Both: ML-KEM (FIPS 203) for keys, ML-DSA (FIPS 204) for signatures","Pick the crypto function first")))))</f>
        <v/>
      </c>
      <c r="W96" s="16"/>
      <c r="X96" s="18" t="str">
        <f aca="false">IF(A96="","",IF(R96="No",0,IF(LEFT(T96,7)="AT RISK",Assumptions!$C$13,0)+IF(LEFT(U96,3)="Yes",Assumptions!$C$14,0)+IF(F96="Yes",Assumptions!$C$15,0)+IF(G96="Restricted",Assumptions!$C$16,IF(G96="Confidential",Assumptions!$C$17,IF(G96="Internal",Assumptions!$C$18,0)))+IF(OR(N96="Roadmap - verbal only",N96="No roadmap",N96="Not asked yet",N96=""),Assumptions!$C$19,0)+IF(E96="Production",Assumptions!$C$20,0)+IF(AND(ISNUMBER(P96),N(P96)&gt;=Assumptions!$C$22),Assumptions!$C$21,0)))</f>
        <v/>
      </c>
      <c r="Y96" s="18" t="str">
        <f aca="false">IF(X96="","",IF(R96="No","None",IF(X96&gt;=Assumptions!$C$23,"High",IF(X96&gt;=Assumptions!$C$24,"Medium","Low"))))</f>
        <v/>
      </c>
      <c r="Z96" s="16"/>
      <c r="AA96" s="17"/>
      <c r="AB96" s="16"/>
      <c r="AC96" s="18" t="str">
        <f aca="true">IF(OR(AA96="",AB96="Hybrid deployed",AB96="PQC deployed",AB96="Not required (not vulnerable)",AB96="Risk accepted"),"",IF(AA96&lt;TODAY(),"OVERDUE",""))</f>
        <v/>
      </c>
      <c r="AD96" s="18" t="str">
        <f aca="true">IF(A96="","",IF(B96="","Name the system. ","")&amp;IF(LEFT(R96,7)="Unknown","Algorithm unknown - scan or ask the vendor. ","")&amp;IF(AND(R96&lt;&gt;"No",Assumptions!$C$6=""),"Set Z on Assumptions. ","")&amp;IF(AND(R96&lt;&gt;"No",OR(O96="",P96="")),"Enter X and Y. ","")&amp;IF(LEFT(T96,7)="AT RISK","Mosca: X+Y exceeds Z - migration should already be under way. ","")&amp;IF(AND(LEFT(U96,3)="Yes",OR(AB96="",AB96="Not started")),"Harvest-now-decrypt-later exposure and migration not started. ","")&amp;IF(AND(R96&lt;&gt;"No",OR(W96="",W96="To decide")),"Choose a target algorithm. ","")&amp;IF(AND(R96&lt;&gt;"No",W96="Keep - not quantum-vulnerable"),"Target 'Keep' conflicts with a quantum-vulnerable algorithm. ","")&amp;IF(LEFT(J96,5)="SHA-1","SHA-1 is deprecated - replace (NIST IR 8547). ","")&amp;IF(AND(R96&lt;&gt;"No",OR(N96="Roadmap - verbal only",N96="No roadmap",N96="Not asked yet")),"Get a written PQC roadmap from the vendor. ","")&amp;IF(AND(R96&lt;&gt;"No",N96=""),"Record the vendor PQC roadmap status. ","")&amp;IF(ISNUMBER(M96),IF(M96&lt;TODAY(),"Certificate or key expired. ",IF(M96-TODAY()&lt;=Assumptions!$C$25,"Expires soon - use the renewal to revisit the algorithm. ","")),"")&amp;IF(AC96="OVERDUE","Migration overdue. ","")&amp;IF(AND(R96&lt;&gt;"No",Z96=""),"Assign a migration owner. ",""))</f>
        <v/>
      </c>
    </row>
    <row r="97" customFormat="false" ht="15" hidden="false" customHeight="false" outlineLevel="0" collapsed="false">
      <c r="A97" s="16"/>
      <c r="B97" s="16"/>
      <c r="C97" s="16"/>
      <c r="D97" s="16"/>
      <c r="E97" s="16"/>
      <c r="F97" s="16"/>
      <c r="G97" s="16"/>
      <c r="H97" s="16"/>
      <c r="I97" s="16"/>
      <c r="J97" s="16"/>
      <c r="K97" s="16"/>
      <c r="L97" s="16"/>
      <c r="M97" s="17"/>
      <c r="N97" s="16"/>
      <c r="O97" s="16"/>
      <c r="P97" s="16"/>
      <c r="Q97" s="18" t="str">
        <f aca="false">IF(A97="","",IF(J97="","Unknown",IFERROR(INDEX('Algorithm Reference'!$C$6:$C$41,MATCH(J97,'Algorithm Reference'!$B$6:$B$41,0)),"Not in reference")))</f>
        <v/>
      </c>
      <c r="R97" s="18" t="str">
        <f aca="false">IF(A97="","",IF(J97="","Unknown - investigate",IFERROR(INDEX('Algorithm Reference'!$E$6:$E$41,MATCH(J97,'Algorithm Reference'!$B$6:$B$41,0)),"Unknown - investigate")))</f>
        <v/>
      </c>
      <c r="S97" s="18" t="str">
        <f aca="false">IF(OR(O97="",P97=""),"",O97+P97)</f>
        <v/>
      </c>
      <c r="T97" s="18" t="str">
        <f aca="false">IF(A97="","",IF(R97="No","N/A - not quantum-vulnerable",IF(OR(O97="",P97=""),"Enter X and Y",IF(Assumptions!$C$6="","Set Z on Assumptions",IF(O97+P97&gt;Assumptions!$C$6,"AT RISK (X+Y &gt; Z)","Within Z (X+Y &lt;= Z)")))))</f>
        <v/>
      </c>
      <c r="U97" s="18" t="str">
        <f aca="false">IF(A97="","",IF(AND(R97&lt;&gt;"No",OR(I97="Key establishment / encryption in transit",I97="Key wrapping / key transport",I97="Mixed or unknown",I97=""),OR(N(O97)&gt;0,G97="Confidential",G97="Restricted")),IF(F97="Yes","Yes - internet-facing","Yes"),"No"))</f>
        <v/>
      </c>
      <c r="V97" s="18" t="str">
        <f aca="false">IF(A97="","",IF(R97="No","Keep - not quantum-vulnerable (review key size)",IF(I97="Digital signature / authentication","ML-DSA-65 (FIPS 204); SLH-DSA (FIPS 205) if hash-based is preferred",IF(OR(I97="Key establishment / encryption in transit",I97="Key wrapping / key transport"),"ML-KEM-768 (FIPS 203); hybrid X25519MLKEM768 for TLS 1.3",IF(I97="Mixed or unknown","Both: ML-KEM (FIPS 203) for keys, ML-DSA (FIPS 204) for signatures","Pick the crypto function first")))))</f>
        <v/>
      </c>
      <c r="W97" s="16"/>
      <c r="X97" s="18" t="str">
        <f aca="false">IF(A97="","",IF(R97="No",0,IF(LEFT(T97,7)="AT RISK",Assumptions!$C$13,0)+IF(LEFT(U97,3)="Yes",Assumptions!$C$14,0)+IF(F97="Yes",Assumptions!$C$15,0)+IF(G97="Restricted",Assumptions!$C$16,IF(G97="Confidential",Assumptions!$C$17,IF(G97="Internal",Assumptions!$C$18,0)))+IF(OR(N97="Roadmap - verbal only",N97="No roadmap",N97="Not asked yet",N97=""),Assumptions!$C$19,0)+IF(E97="Production",Assumptions!$C$20,0)+IF(AND(ISNUMBER(P97),N(P97)&gt;=Assumptions!$C$22),Assumptions!$C$21,0)))</f>
        <v/>
      </c>
      <c r="Y97" s="18" t="str">
        <f aca="false">IF(X97="","",IF(R97="No","None",IF(X97&gt;=Assumptions!$C$23,"High",IF(X97&gt;=Assumptions!$C$24,"Medium","Low"))))</f>
        <v/>
      </c>
      <c r="Z97" s="16"/>
      <c r="AA97" s="17"/>
      <c r="AB97" s="16"/>
      <c r="AC97" s="18" t="str">
        <f aca="true">IF(OR(AA97="",AB97="Hybrid deployed",AB97="PQC deployed",AB97="Not required (not vulnerable)",AB97="Risk accepted"),"",IF(AA97&lt;TODAY(),"OVERDUE",""))</f>
        <v/>
      </c>
      <c r="AD97" s="18" t="str">
        <f aca="true">IF(A97="","",IF(B97="","Name the system. ","")&amp;IF(LEFT(R97,7)="Unknown","Algorithm unknown - scan or ask the vendor. ","")&amp;IF(AND(R97&lt;&gt;"No",Assumptions!$C$6=""),"Set Z on Assumptions. ","")&amp;IF(AND(R97&lt;&gt;"No",OR(O97="",P97="")),"Enter X and Y. ","")&amp;IF(LEFT(T97,7)="AT RISK","Mosca: X+Y exceeds Z - migration should already be under way. ","")&amp;IF(AND(LEFT(U97,3)="Yes",OR(AB97="",AB97="Not started")),"Harvest-now-decrypt-later exposure and migration not started. ","")&amp;IF(AND(R97&lt;&gt;"No",OR(W97="",W97="To decide")),"Choose a target algorithm. ","")&amp;IF(AND(R97&lt;&gt;"No",W97="Keep - not quantum-vulnerable"),"Target 'Keep' conflicts with a quantum-vulnerable algorithm. ","")&amp;IF(LEFT(J97,5)="SHA-1","SHA-1 is deprecated - replace (NIST IR 8547). ","")&amp;IF(AND(R97&lt;&gt;"No",OR(N97="Roadmap - verbal only",N97="No roadmap",N97="Not asked yet")),"Get a written PQC roadmap from the vendor. ","")&amp;IF(AND(R97&lt;&gt;"No",N97=""),"Record the vendor PQC roadmap status. ","")&amp;IF(ISNUMBER(M97),IF(M97&lt;TODAY(),"Certificate or key expired. ",IF(M97-TODAY()&lt;=Assumptions!$C$25,"Expires soon - use the renewal to revisit the algorithm. ","")),"")&amp;IF(AC97="OVERDUE","Migration overdue. ","")&amp;IF(AND(R97&lt;&gt;"No",Z97=""),"Assign a migration owner. ",""))</f>
        <v/>
      </c>
    </row>
    <row r="98" customFormat="false" ht="15" hidden="false" customHeight="false" outlineLevel="0" collapsed="false">
      <c r="A98" s="16"/>
      <c r="B98" s="16"/>
      <c r="C98" s="16"/>
      <c r="D98" s="16"/>
      <c r="E98" s="16"/>
      <c r="F98" s="16"/>
      <c r="G98" s="16"/>
      <c r="H98" s="16"/>
      <c r="I98" s="16"/>
      <c r="J98" s="16"/>
      <c r="K98" s="16"/>
      <c r="L98" s="16"/>
      <c r="M98" s="17"/>
      <c r="N98" s="16"/>
      <c r="O98" s="16"/>
      <c r="P98" s="16"/>
      <c r="Q98" s="18" t="str">
        <f aca="false">IF(A98="","",IF(J98="","Unknown",IFERROR(INDEX('Algorithm Reference'!$C$6:$C$41,MATCH(J98,'Algorithm Reference'!$B$6:$B$41,0)),"Not in reference")))</f>
        <v/>
      </c>
      <c r="R98" s="18" t="str">
        <f aca="false">IF(A98="","",IF(J98="","Unknown - investigate",IFERROR(INDEX('Algorithm Reference'!$E$6:$E$41,MATCH(J98,'Algorithm Reference'!$B$6:$B$41,0)),"Unknown - investigate")))</f>
        <v/>
      </c>
      <c r="S98" s="18" t="str">
        <f aca="false">IF(OR(O98="",P98=""),"",O98+P98)</f>
        <v/>
      </c>
      <c r="T98" s="18" t="str">
        <f aca="false">IF(A98="","",IF(R98="No","N/A - not quantum-vulnerable",IF(OR(O98="",P98=""),"Enter X and Y",IF(Assumptions!$C$6="","Set Z on Assumptions",IF(O98+P98&gt;Assumptions!$C$6,"AT RISK (X+Y &gt; Z)","Within Z (X+Y &lt;= Z)")))))</f>
        <v/>
      </c>
      <c r="U98" s="18" t="str">
        <f aca="false">IF(A98="","",IF(AND(R98&lt;&gt;"No",OR(I98="Key establishment / encryption in transit",I98="Key wrapping / key transport",I98="Mixed or unknown",I98=""),OR(N(O98)&gt;0,G98="Confidential",G98="Restricted")),IF(F98="Yes","Yes - internet-facing","Yes"),"No"))</f>
        <v/>
      </c>
      <c r="V98" s="18" t="str">
        <f aca="false">IF(A98="","",IF(R98="No","Keep - not quantum-vulnerable (review key size)",IF(I98="Digital signature / authentication","ML-DSA-65 (FIPS 204); SLH-DSA (FIPS 205) if hash-based is preferred",IF(OR(I98="Key establishment / encryption in transit",I98="Key wrapping / key transport"),"ML-KEM-768 (FIPS 203); hybrid X25519MLKEM768 for TLS 1.3",IF(I98="Mixed or unknown","Both: ML-KEM (FIPS 203) for keys, ML-DSA (FIPS 204) for signatures","Pick the crypto function first")))))</f>
        <v/>
      </c>
      <c r="W98" s="16"/>
      <c r="X98" s="18" t="str">
        <f aca="false">IF(A98="","",IF(R98="No",0,IF(LEFT(T98,7)="AT RISK",Assumptions!$C$13,0)+IF(LEFT(U98,3)="Yes",Assumptions!$C$14,0)+IF(F98="Yes",Assumptions!$C$15,0)+IF(G98="Restricted",Assumptions!$C$16,IF(G98="Confidential",Assumptions!$C$17,IF(G98="Internal",Assumptions!$C$18,0)))+IF(OR(N98="Roadmap - verbal only",N98="No roadmap",N98="Not asked yet",N98=""),Assumptions!$C$19,0)+IF(E98="Production",Assumptions!$C$20,0)+IF(AND(ISNUMBER(P98),N(P98)&gt;=Assumptions!$C$22),Assumptions!$C$21,0)))</f>
        <v/>
      </c>
      <c r="Y98" s="18" t="str">
        <f aca="false">IF(X98="","",IF(R98="No","None",IF(X98&gt;=Assumptions!$C$23,"High",IF(X98&gt;=Assumptions!$C$24,"Medium","Low"))))</f>
        <v/>
      </c>
      <c r="Z98" s="16"/>
      <c r="AA98" s="17"/>
      <c r="AB98" s="16"/>
      <c r="AC98" s="18" t="str">
        <f aca="true">IF(OR(AA98="",AB98="Hybrid deployed",AB98="PQC deployed",AB98="Not required (not vulnerable)",AB98="Risk accepted"),"",IF(AA98&lt;TODAY(),"OVERDUE",""))</f>
        <v/>
      </c>
      <c r="AD98" s="18" t="str">
        <f aca="true">IF(A98="","",IF(B98="","Name the system. ","")&amp;IF(LEFT(R98,7)="Unknown","Algorithm unknown - scan or ask the vendor. ","")&amp;IF(AND(R98&lt;&gt;"No",Assumptions!$C$6=""),"Set Z on Assumptions. ","")&amp;IF(AND(R98&lt;&gt;"No",OR(O98="",P98="")),"Enter X and Y. ","")&amp;IF(LEFT(T98,7)="AT RISK","Mosca: X+Y exceeds Z - migration should already be under way. ","")&amp;IF(AND(LEFT(U98,3)="Yes",OR(AB98="",AB98="Not started")),"Harvest-now-decrypt-later exposure and migration not started. ","")&amp;IF(AND(R98&lt;&gt;"No",OR(W98="",W98="To decide")),"Choose a target algorithm. ","")&amp;IF(AND(R98&lt;&gt;"No",W98="Keep - not quantum-vulnerable"),"Target 'Keep' conflicts with a quantum-vulnerable algorithm. ","")&amp;IF(LEFT(J98,5)="SHA-1","SHA-1 is deprecated - replace (NIST IR 8547). ","")&amp;IF(AND(R98&lt;&gt;"No",OR(N98="Roadmap - verbal only",N98="No roadmap",N98="Not asked yet")),"Get a written PQC roadmap from the vendor. ","")&amp;IF(AND(R98&lt;&gt;"No",N98=""),"Record the vendor PQC roadmap status. ","")&amp;IF(ISNUMBER(M98),IF(M98&lt;TODAY(),"Certificate or key expired. ",IF(M98-TODAY()&lt;=Assumptions!$C$25,"Expires soon - use the renewal to revisit the algorithm. ","")),"")&amp;IF(AC98="OVERDUE","Migration overdue. ","")&amp;IF(AND(R98&lt;&gt;"No",Z98=""),"Assign a migration owner. ",""))</f>
        <v/>
      </c>
    </row>
    <row r="99" customFormat="false" ht="15" hidden="false" customHeight="false" outlineLevel="0" collapsed="false">
      <c r="A99" s="16"/>
      <c r="B99" s="16"/>
      <c r="C99" s="16"/>
      <c r="D99" s="16"/>
      <c r="E99" s="16"/>
      <c r="F99" s="16"/>
      <c r="G99" s="16"/>
      <c r="H99" s="16"/>
      <c r="I99" s="16"/>
      <c r="J99" s="16"/>
      <c r="K99" s="16"/>
      <c r="L99" s="16"/>
      <c r="M99" s="17"/>
      <c r="N99" s="16"/>
      <c r="O99" s="16"/>
      <c r="P99" s="16"/>
      <c r="Q99" s="18" t="str">
        <f aca="false">IF(A99="","",IF(J99="","Unknown",IFERROR(INDEX('Algorithm Reference'!$C$6:$C$41,MATCH(J99,'Algorithm Reference'!$B$6:$B$41,0)),"Not in reference")))</f>
        <v/>
      </c>
      <c r="R99" s="18" t="str">
        <f aca="false">IF(A99="","",IF(J99="","Unknown - investigate",IFERROR(INDEX('Algorithm Reference'!$E$6:$E$41,MATCH(J99,'Algorithm Reference'!$B$6:$B$41,0)),"Unknown - investigate")))</f>
        <v/>
      </c>
      <c r="S99" s="18" t="str">
        <f aca="false">IF(OR(O99="",P99=""),"",O99+P99)</f>
        <v/>
      </c>
      <c r="T99" s="18" t="str">
        <f aca="false">IF(A99="","",IF(R99="No","N/A - not quantum-vulnerable",IF(OR(O99="",P99=""),"Enter X and Y",IF(Assumptions!$C$6="","Set Z on Assumptions",IF(O99+P99&gt;Assumptions!$C$6,"AT RISK (X+Y &gt; Z)","Within Z (X+Y &lt;= Z)")))))</f>
        <v/>
      </c>
      <c r="U99" s="18" t="str">
        <f aca="false">IF(A99="","",IF(AND(R99&lt;&gt;"No",OR(I99="Key establishment / encryption in transit",I99="Key wrapping / key transport",I99="Mixed or unknown",I99=""),OR(N(O99)&gt;0,G99="Confidential",G99="Restricted")),IF(F99="Yes","Yes - internet-facing","Yes"),"No"))</f>
        <v/>
      </c>
      <c r="V99" s="18" t="str">
        <f aca="false">IF(A99="","",IF(R99="No","Keep - not quantum-vulnerable (review key size)",IF(I99="Digital signature / authentication","ML-DSA-65 (FIPS 204); SLH-DSA (FIPS 205) if hash-based is preferred",IF(OR(I99="Key establishment / encryption in transit",I99="Key wrapping / key transport"),"ML-KEM-768 (FIPS 203); hybrid X25519MLKEM768 for TLS 1.3",IF(I99="Mixed or unknown","Both: ML-KEM (FIPS 203) for keys, ML-DSA (FIPS 204) for signatures","Pick the crypto function first")))))</f>
        <v/>
      </c>
      <c r="W99" s="16"/>
      <c r="X99" s="18" t="str">
        <f aca="false">IF(A99="","",IF(R99="No",0,IF(LEFT(T99,7)="AT RISK",Assumptions!$C$13,0)+IF(LEFT(U99,3)="Yes",Assumptions!$C$14,0)+IF(F99="Yes",Assumptions!$C$15,0)+IF(G99="Restricted",Assumptions!$C$16,IF(G99="Confidential",Assumptions!$C$17,IF(G99="Internal",Assumptions!$C$18,0)))+IF(OR(N99="Roadmap - verbal only",N99="No roadmap",N99="Not asked yet",N99=""),Assumptions!$C$19,0)+IF(E99="Production",Assumptions!$C$20,0)+IF(AND(ISNUMBER(P99),N(P99)&gt;=Assumptions!$C$22),Assumptions!$C$21,0)))</f>
        <v/>
      </c>
      <c r="Y99" s="18" t="str">
        <f aca="false">IF(X99="","",IF(R99="No","None",IF(X99&gt;=Assumptions!$C$23,"High",IF(X99&gt;=Assumptions!$C$24,"Medium","Low"))))</f>
        <v/>
      </c>
      <c r="Z99" s="16"/>
      <c r="AA99" s="17"/>
      <c r="AB99" s="16"/>
      <c r="AC99" s="18" t="str">
        <f aca="true">IF(OR(AA99="",AB99="Hybrid deployed",AB99="PQC deployed",AB99="Not required (not vulnerable)",AB99="Risk accepted"),"",IF(AA99&lt;TODAY(),"OVERDUE",""))</f>
        <v/>
      </c>
      <c r="AD99" s="18" t="str">
        <f aca="true">IF(A99="","",IF(B99="","Name the system. ","")&amp;IF(LEFT(R99,7)="Unknown","Algorithm unknown - scan or ask the vendor. ","")&amp;IF(AND(R99&lt;&gt;"No",Assumptions!$C$6=""),"Set Z on Assumptions. ","")&amp;IF(AND(R99&lt;&gt;"No",OR(O99="",P99="")),"Enter X and Y. ","")&amp;IF(LEFT(T99,7)="AT RISK","Mosca: X+Y exceeds Z - migration should already be under way. ","")&amp;IF(AND(LEFT(U99,3)="Yes",OR(AB99="",AB99="Not started")),"Harvest-now-decrypt-later exposure and migration not started. ","")&amp;IF(AND(R99&lt;&gt;"No",OR(W99="",W99="To decide")),"Choose a target algorithm. ","")&amp;IF(AND(R99&lt;&gt;"No",W99="Keep - not quantum-vulnerable"),"Target 'Keep' conflicts with a quantum-vulnerable algorithm. ","")&amp;IF(LEFT(J99,5)="SHA-1","SHA-1 is deprecated - replace (NIST IR 8547). ","")&amp;IF(AND(R99&lt;&gt;"No",OR(N99="Roadmap - verbal only",N99="No roadmap",N99="Not asked yet")),"Get a written PQC roadmap from the vendor. ","")&amp;IF(AND(R99&lt;&gt;"No",N99=""),"Record the vendor PQC roadmap status. ","")&amp;IF(ISNUMBER(M99),IF(M99&lt;TODAY(),"Certificate or key expired. ",IF(M99-TODAY()&lt;=Assumptions!$C$25,"Expires soon - use the renewal to revisit the algorithm. ","")),"")&amp;IF(AC99="OVERDUE","Migration overdue. ","")&amp;IF(AND(R99&lt;&gt;"No",Z99=""),"Assign a migration owner. ",""))</f>
        <v/>
      </c>
    </row>
    <row r="100" customFormat="false" ht="15" hidden="false" customHeight="false" outlineLevel="0" collapsed="false">
      <c r="A100" s="16"/>
      <c r="B100" s="16"/>
      <c r="C100" s="16"/>
      <c r="D100" s="16"/>
      <c r="E100" s="16"/>
      <c r="F100" s="16"/>
      <c r="G100" s="16"/>
      <c r="H100" s="16"/>
      <c r="I100" s="16"/>
      <c r="J100" s="16"/>
      <c r="K100" s="16"/>
      <c r="L100" s="16"/>
      <c r="M100" s="17"/>
      <c r="N100" s="16"/>
      <c r="O100" s="16"/>
      <c r="P100" s="16"/>
      <c r="Q100" s="18" t="str">
        <f aca="false">IF(A100="","",IF(J100="","Unknown",IFERROR(INDEX('Algorithm Reference'!$C$6:$C$41,MATCH(J100,'Algorithm Reference'!$B$6:$B$41,0)),"Not in reference")))</f>
        <v/>
      </c>
      <c r="R100" s="18" t="str">
        <f aca="false">IF(A100="","",IF(J100="","Unknown - investigate",IFERROR(INDEX('Algorithm Reference'!$E$6:$E$41,MATCH(J100,'Algorithm Reference'!$B$6:$B$41,0)),"Unknown - investigate")))</f>
        <v/>
      </c>
      <c r="S100" s="18" t="str">
        <f aca="false">IF(OR(O100="",P100=""),"",O100+P100)</f>
        <v/>
      </c>
      <c r="T100" s="18" t="str">
        <f aca="false">IF(A100="","",IF(R100="No","N/A - not quantum-vulnerable",IF(OR(O100="",P100=""),"Enter X and Y",IF(Assumptions!$C$6="","Set Z on Assumptions",IF(O100+P100&gt;Assumptions!$C$6,"AT RISK (X+Y &gt; Z)","Within Z (X+Y &lt;= Z)")))))</f>
        <v/>
      </c>
      <c r="U100" s="18" t="str">
        <f aca="false">IF(A100="","",IF(AND(R100&lt;&gt;"No",OR(I100="Key establishment / encryption in transit",I100="Key wrapping / key transport",I100="Mixed or unknown",I100=""),OR(N(O100)&gt;0,G100="Confidential",G100="Restricted")),IF(F100="Yes","Yes - internet-facing","Yes"),"No"))</f>
        <v/>
      </c>
      <c r="V100" s="18" t="str">
        <f aca="false">IF(A100="","",IF(R100="No","Keep - not quantum-vulnerable (review key size)",IF(I100="Digital signature / authentication","ML-DSA-65 (FIPS 204); SLH-DSA (FIPS 205) if hash-based is preferred",IF(OR(I100="Key establishment / encryption in transit",I100="Key wrapping / key transport"),"ML-KEM-768 (FIPS 203); hybrid X25519MLKEM768 for TLS 1.3",IF(I100="Mixed or unknown","Both: ML-KEM (FIPS 203) for keys, ML-DSA (FIPS 204) for signatures","Pick the crypto function first")))))</f>
        <v/>
      </c>
      <c r="W100" s="16"/>
      <c r="X100" s="18" t="str">
        <f aca="false">IF(A100="","",IF(R100="No",0,IF(LEFT(T100,7)="AT RISK",Assumptions!$C$13,0)+IF(LEFT(U100,3)="Yes",Assumptions!$C$14,0)+IF(F100="Yes",Assumptions!$C$15,0)+IF(G100="Restricted",Assumptions!$C$16,IF(G100="Confidential",Assumptions!$C$17,IF(G100="Internal",Assumptions!$C$18,0)))+IF(OR(N100="Roadmap - verbal only",N100="No roadmap",N100="Not asked yet",N100=""),Assumptions!$C$19,0)+IF(E100="Production",Assumptions!$C$20,0)+IF(AND(ISNUMBER(P100),N(P100)&gt;=Assumptions!$C$22),Assumptions!$C$21,0)))</f>
        <v/>
      </c>
      <c r="Y100" s="18" t="str">
        <f aca="false">IF(X100="","",IF(R100="No","None",IF(X100&gt;=Assumptions!$C$23,"High",IF(X100&gt;=Assumptions!$C$24,"Medium","Low"))))</f>
        <v/>
      </c>
      <c r="Z100" s="16"/>
      <c r="AA100" s="17"/>
      <c r="AB100" s="16"/>
      <c r="AC100" s="18" t="str">
        <f aca="true">IF(OR(AA100="",AB100="Hybrid deployed",AB100="PQC deployed",AB100="Not required (not vulnerable)",AB100="Risk accepted"),"",IF(AA100&lt;TODAY(),"OVERDUE",""))</f>
        <v/>
      </c>
      <c r="AD100" s="18" t="str">
        <f aca="true">IF(A100="","",IF(B100="","Name the system. ","")&amp;IF(LEFT(R100,7)="Unknown","Algorithm unknown - scan or ask the vendor. ","")&amp;IF(AND(R100&lt;&gt;"No",Assumptions!$C$6=""),"Set Z on Assumptions. ","")&amp;IF(AND(R100&lt;&gt;"No",OR(O100="",P100="")),"Enter X and Y. ","")&amp;IF(LEFT(T100,7)="AT RISK","Mosca: X+Y exceeds Z - migration should already be under way. ","")&amp;IF(AND(LEFT(U100,3)="Yes",OR(AB100="",AB100="Not started")),"Harvest-now-decrypt-later exposure and migration not started. ","")&amp;IF(AND(R100&lt;&gt;"No",OR(W100="",W100="To decide")),"Choose a target algorithm. ","")&amp;IF(AND(R100&lt;&gt;"No",W100="Keep - not quantum-vulnerable"),"Target 'Keep' conflicts with a quantum-vulnerable algorithm. ","")&amp;IF(LEFT(J100,5)="SHA-1","SHA-1 is deprecated - replace (NIST IR 8547). ","")&amp;IF(AND(R100&lt;&gt;"No",OR(N100="Roadmap - verbal only",N100="No roadmap",N100="Not asked yet")),"Get a written PQC roadmap from the vendor. ","")&amp;IF(AND(R100&lt;&gt;"No",N100=""),"Record the vendor PQC roadmap status. ","")&amp;IF(ISNUMBER(M100),IF(M100&lt;TODAY(),"Certificate or key expired. ",IF(M100-TODAY()&lt;=Assumptions!$C$25,"Expires soon - use the renewal to revisit the algorithm. ","")),"")&amp;IF(AC100="OVERDUE","Migration overdue. ","")&amp;IF(AND(R100&lt;&gt;"No",Z100=""),"Assign a migration owner. ",""))</f>
        <v/>
      </c>
    </row>
    <row r="101" customFormat="false" ht="15" hidden="false" customHeight="false" outlineLevel="0" collapsed="false">
      <c r="A101" s="16"/>
      <c r="B101" s="16"/>
      <c r="C101" s="16"/>
      <c r="D101" s="16"/>
      <c r="E101" s="16"/>
      <c r="F101" s="16"/>
      <c r="G101" s="16"/>
      <c r="H101" s="16"/>
      <c r="I101" s="16"/>
      <c r="J101" s="16"/>
      <c r="K101" s="16"/>
      <c r="L101" s="16"/>
      <c r="M101" s="17"/>
      <c r="N101" s="16"/>
      <c r="O101" s="16"/>
      <c r="P101" s="16"/>
      <c r="Q101" s="18" t="str">
        <f aca="false">IF(A101="","",IF(J101="","Unknown",IFERROR(INDEX('Algorithm Reference'!$C$6:$C$41,MATCH(J101,'Algorithm Reference'!$B$6:$B$41,0)),"Not in reference")))</f>
        <v/>
      </c>
      <c r="R101" s="18" t="str">
        <f aca="false">IF(A101="","",IF(J101="","Unknown - investigate",IFERROR(INDEX('Algorithm Reference'!$E$6:$E$41,MATCH(J101,'Algorithm Reference'!$B$6:$B$41,0)),"Unknown - investigate")))</f>
        <v/>
      </c>
      <c r="S101" s="18" t="str">
        <f aca="false">IF(OR(O101="",P101=""),"",O101+P101)</f>
        <v/>
      </c>
      <c r="T101" s="18" t="str">
        <f aca="false">IF(A101="","",IF(R101="No","N/A - not quantum-vulnerable",IF(OR(O101="",P101=""),"Enter X and Y",IF(Assumptions!$C$6="","Set Z on Assumptions",IF(O101+P101&gt;Assumptions!$C$6,"AT RISK (X+Y &gt; Z)","Within Z (X+Y &lt;= Z)")))))</f>
        <v/>
      </c>
      <c r="U101" s="18" t="str">
        <f aca="false">IF(A101="","",IF(AND(R101&lt;&gt;"No",OR(I101="Key establishment / encryption in transit",I101="Key wrapping / key transport",I101="Mixed or unknown",I101=""),OR(N(O101)&gt;0,G101="Confidential",G101="Restricted")),IF(F101="Yes","Yes - internet-facing","Yes"),"No"))</f>
        <v/>
      </c>
      <c r="V101" s="18" t="str">
        <f aca="false">IF(A101="","",IF(R101="No","Keep - not quantum-vulnerable (review key size)",IF(I101="Digital signature / authentication","ML-DSA-65 (FIPS 204); SLH-DSA (FIPS 205) if hash-based is preferred",IF(OR(I101="Key establishment / encryption in transit",I101="Key wrapping / key transport"),"ML-KEM-768 (FIPS 203); hybrid X25519MLKEM768 for TLS 1.3",IF(I101="Mixed or unknown","Both: ML-KEM (FIPS 203) for keys, ML-DSA (FIPS 204) for signatures","Pick the crypto function first")))))</f>
        <v/>
      </c>
      <c r="W101" s="16"/>
      <c r="X101" s="18" t="str">
        <f aca="false">IF(A101="","",IF(R101="No",0,IF(LEFT(T101,7)="AT RISK",Assumptions!$C$13,0)+IF(LEFT(U101,3)="Yes",Assumptions!$C$14,0)+IF(F101="Yes",Assumptions!$C$15,0)+IF(G101="Restricted",Assumptions!$C$16,IF(G101="Confidential",Assumptions!$C$17,IF(G101="Internal",Assumptions!$C$18,0)))+IF(OR(N101="Roadmap - verbal only",N101="No roadmap",N101="Not asked yet",N101=""),Assumptions!$C$19,0)+IF(E101="Production",Assumptions!$C$20,0)+IF(AND(ISNUMBER(P101),N(P101)&gt;=Assumptions!$C$22),Assumptions!$C$21,0)))</f>
        <v/>
      </c>
      <c r="Y101" s="18" t="str">
        <f aca="false">IF(X101="","",IF(R101="No","None",IF(X101&gt;=Assumptions!$C$23,"High",IF(X101&gt;=Assumptions!$C$24,"Medium","Low"))))</f>
        <v/>
      </c>
      <c r="Z101" s="16"/>
      <c r="AA101" s="17"/>
      <c r="AB101" s="16"/>
      <c r="AC101" s="18" t="str">
        <f aca="true">IF(OR(AA101="",AB101="Hybrid deployed",AB101="PQC deployed",AB101="Not required (not vulnerable)",AB101="Risk accepted"),"",IF(AA101&lt;TODAY(),"OVERDUE",""))</f>
        <v/>
      </c>
      <c r="AD101" s="18" t="str">
        <f aca="true">IF(A101="","",IF(B101="","Name the system. ","")&amp;IF(LEFT(R101,7)="Unknown","Algorithm unknown - scan or ask the vendor. ","")&amp;IF(AND(R101&lt;&gt;"No",Assumptions!$C$6=""),"Set Z on Assumptions. ","")&amp;IF(AND(R101&lt;&gt;"No",OR(O101="",P101="")),"Enter X and Y. ","")&amp;IF(LEFT(T101,7)="AT RISK","Mosca: X+Y exceeds Z - migration should already be under way. ","")&amp;IF(AND(LEFT(U101,3)="Yes",OR(AB101="",AB101="Not started")),"Harvest-now-decrypt-later exposure and migration not started. ","")&amp;IF(AND(R101&lt;&gt;"No",OR(W101="",W101="To decide")),"Choose a target algorithm. ","")&amp;IF(AND(R101&lt;&gt;"No",W101="Keep - not quantum-vulnerable"),"Target 'Keep' conflicts with a quantum-vulnerable algorithm. ","")&amp;IF(LEFT(J101,5)="SHA-1","SHA-1 is deprecated - replace (NIST IR 8547). ","")&amp;IF(AND(R101&lt;&gt;"No",OR(N101="Roadmap - verbal only",N101="No roadmap",N101="Not asked yet")),"Get a written PQC roadmap from the vendor. ","")&amp;IF(AND(R101&lt;&gt;"No",N101=""),"Record the vendor PQC roadmap status. ","")&amp;IF(ISNUMBER(M101),IF(M101&lt;TODAY(),"Certificate or key expired. ",IF(M101-TODAY()&lt;=Assumptions!$C$25,"Expires soon - use the renewal to revisit the algorithm. ","")),"")&amp;IF(AC101="OVERDUE","Migration overdue. ","")&amp;IF(AND(R101&lt;&gt;"No",Z101=""),"Assign a migration owner. ",""))</f>
        <v/>
      </c>
    </row>
    <row r="102" customFormat="false" ht="15" hidden="false" customHeight="false" outlineLevel="0" collapsed="false">
      <c r="A102" s="16"/>
      <c r="B102" s="16"/>
      <c r="C102" s="16"/>
      <c r="D102" s="16"/>
      <c r="E102" s="16"/>
      <c r="F102" s="16"/>
      <c r="G102" s="16"/>
      <c r="H102" s="16"/>
      <c r="I102" s="16"/>
      <c r="J102" s="16"/>
      <c r="K102" s="16"/>
      <c r="L102" s="16"/>
      <c r="M102" s="17"/>
      <c r="N102" s="16"/>
      <c r="O102" s="16"/>
      <c r="P102" s="16"/>
      <c r="Q102" s="18" t="str">
        <f aca="false">IF(A102="","",IF(J102="","Unknown",IFERROR(INDEX('Algorithm Reference'!$C$6:$C$41,MATCH(J102,'Algorithm Reference'!$B$6:$B$41,0)),"Not in reference")))</f>
        <v/>
      </c>
      <c r="R102" s="18" t="str">
        <f aca="false">IF(A102="","",IF(J102="","Unknown - investigate",IFERROR(INDEX('Algorithm Reference'!$E$6:$E$41,MATCH(J102,'Algorithm Reference'!$B$6:$B$41,0)),"Unknown - investigate")))</f>
        <v/>
      </c>
      <c r="S102" s="18" t="str">
        <f aca="false">IF(OR(O102="",P102=""),"",O102+P102)</f>
        <v/>
      </c>
      <c r="T102" s="18" t="str">
        <f aca="false">IF(A102="","",IF(R102="No","N/A - not quantum-vulnerable",IF(OR(O102="",P102=""),"Enter X and Y",IF(Assumptions!$C$6="","Set Z on Assumptions",IF(O102+P102&gt;Assumptions!$C$6,"AT RISK (X+Y &gt; Z)","Within Z (X+Y &lt;= Z)")))))</f>
        <v/>
      </c>
      <c r="U102" s="18" t="str">
        <f aca="false">IF(A102="","",IF(AND(R102&lt;&gt;"No",OR(I102="Key establishment / encryption in transit",I102="Key wrapping / key transport",I102="Mixed or unknown",I102=""),OR(N(O102)&gt;0,G102="Confidential",G102="Restricted")),IF(F102="Yes","Yes - internet-facing","Yes"),"No"))</f>
        <v/>
      </c>
      <c r="V102" s="18" t="str">
        <f aca="false">IF(A102="","",IF(R102="No","Keep - not quantum-vulnerable (review key size)",IF(I102="Digital signature / authentication","ML-DSA-65 (FIPS 204); SLH-DSA (FIPS 205) if hash-based is preferred",IF(OR(I102="Key establishment / encryption in transit",I102="Key wrapping / key transport"),"ML-KEM-768 (FIPS 203); hybrid X25519MLKEM768 for TLS 1.3",IF(I102="Mixed or unknown","Both: ML-KEM (FIPS 203) for keys, ML-DSA (FIPS 204) for signatures","Pick the crypto function first")))))</f>
        <v/>
      </c>
      <c r="W102" s="16"/>
      <c r="X102" s="18" t="str">
        <f aca="false">IF(A102="","",IF(R102="No",0,IF(LEFT(T102,7)="AT RISK",Assumptions!$C$13,0)+IF(LEFT(U102,3)="Yes",Assumptions!$C$14,0)+IF(F102="Yes",Assumptions!$C$15,0)+IF(G102="Restricted",Assumptions!$C$16,IF(G102="Confidential",Assumptions!$C$17,IF(G102="Internal",Assumptions!$C$18,0)))+IF(OR(N102="Roadmap - verbal only",N102="No roadmap",N102="Not asked yet",N102=""),Assumptions!$C$19,0)+IF(E102="Production",Assumptions!$C$20,0)+IF(AND(ISNUMBER(P102),N(P102)&gt;=Assumptions!$C$22),Assumptions!$C$21,0)))</f>
        <v/>
      </c>
      <c r="Y102" s="18" t="str">
        <f aca="false">IF(X102="","",IF(R102="No","None",IF(X102&gt;=Assumptions!$C$23,"High",IF(X102&gt;=Assumptions!$C$24,"Medium","Low"))))</f>
        <v/>
      </c>
      <c r="Z102" s="16"/>
      <c r="AA102" s="17"/>
      <c r="AB102" s="16"/>
      <c r="AC102" s="18" t="str">
        <f aca="true">IF(OR(AA102="",AB102="Hybrid deployed",AB102="PQC deployed",AB102="Not required (not vulnerable)",AB102="Risk accepted"),"",IF(AA102&lt;TODAY(),"OVERDUE",""))</f>
        <v/>
      </c>
      <c r="AD102" s="18" t="str">
        <f aca="true">IF(A102="","",IF(B102="","Name the system. ","")&amp;IF(LEFT(R102,7)="Unknown","Algorithm unknown - scan or ask the vendor. ","")&amp;IF(AND(R102&lt;&gt;"No",Assumptions!$C$6=""),"Set Z on Assumptions. ","")&amp;IF(AND(R102&lt;&gt;"No",OR(O102="",P102="")),"Enter X and Y. ","")&amp;IF(LEFT(T102,7)="AT RISK","Mosca: X+Y exceeds Z - migration should already be under way. ","")&amp;IF(AND(LEFT(U102,3)="Yes",OR(AB102="",AB102="Not started")),"Harvest-now-decrypt-later exposure and migration not started. ","")&amp;IF(AND(R102&lt;&gt;"No",OR(W102="",W102="To decide")),"Choose a target algorithm. ","")&amp;IF(AND(R102&lt;&gt;"No",W102="Keep - not quantum-vulnerable"),"Target 'Keep' conflicts with a quantum-vulnerable algorithm. ","")&amp;IF(LEFT(J102,5)="SHA-1","SHA-1 is deprecated - replace (NIST IR 8547). ","")&amp;IF(AND(R102&lt;&gt;"No",OR(N102="Roadmap - verbal only",N102="No roadmap",N102="Not asked yet")),"Get a written PQC roadmap from the vendor. ","")&amp;IF(AND(R102&lt;&gt;"No",N102=""),"Record the vendor PQC roadmap status. ","")&amp;IF(ISNUMBER(M102),IF(M102&lt;TODAY(),"Certificate or key expired. ",IF(M102-TODAY()&lt;=Assumptions!$C$25,"Expires soon - use the renewal to revisit the algorithm. ","")),"")&amp;IF(AC102="OVERDUE","Migration overdue. ","")&amp;IF(AND(R102&lt;&gt;"No",Z102=""),"Assign a migration owner. ",""))</f>
        <v/>
      </c>
    </row>
    <row r="103" customFormat="false" ht="15" hidden="false" customHeight="false" outlineLevel="0" collapsed="false">
      <c r="A103" s="16"/>
      <c r="B103" s="16"/>
      <c r="C103" s="16"/>
      <c r="D103" s="16"/>
      <c r="E103" s="16"/>
      <c r="F103" s="16"/>
      <c r="G103" s="16"/>
      <c r="H103" s="16"/>
      <c r="I103" s="16"/>
      <c r="J103" s="16"/>
      <c r="K103" s="16"/>
      <c r="L103" s="16"/>
      <c r="M103" s="17"/>
      <c r="N103" s="16"/>
      <c r="O103" s="16"/>
      <c r="P103" s="16"/>
      <c r="Q103" s="18" t="str">
        <f aca="false">IF(A103="","",IF(J103="","Unknown",IFERROR(INDEX('Algorithm Reference'!$C$6:$C$41,MATCH(J103,'Algorithm Reference'!$B$6:$B$41,0)),"Not in reference")))</f>
        <v/>
      </c>
      <c r="R103" s="18" t="str">
        <f aca="false">IF(A103="","",IF(J103="","Unknown - investigate",IFERROR(INDEX('Algorithm Reference'!$E$6:$E$41,MATCH(J103,'Algorithm Reference'!$B$6:$B$41,0)),"Unknown - investigate")))</f>
        <v/>
      </c>
      <c r="S103" s="18" t="str">
        <f aca="false">IF(OR(O103="",P103=""),"",O103+P103)</f>
        <v/>
      </c>
      <c r="T103" s="18" t="str">
        <f aca="false">IF(A103="","",IF(R103="No","N/A - not quantum-vulnerable",IF(OR(O103="",P103=""),"Enter X and Y",IF(Assumptions!$C$6="","Set Z on Assumptions",IF(O103+P103&gt;Assumptions!$C$6,"AT RISK (X+Y &gt; Z)","Within Z (X+Y &lt;= Z)")))))</f>
        <v/>
      </c>
      <c r="U103" s="18" t="str">
        <f aca="false">IF(A103="","",IF(AND(R103&lt;&gt;"No",OR(I103="Key establishment / encryption in transit",I103="Key wrapping / key transport",I103="Mixed or unknown",I103=""),OR(N(O103)&gt;0,G103="Confidential",G103="Restricted")),IF(F103="Yes","Yes - internet-facing","Yes"),"No"))</f>
        <v/>
      </c>
      <c r="V103" s="18" t="str">
        <f aca="false">IF(A103="","",IF(R103="No","Keep - not quantum-vulnerable (review key size)",IF(I103="Digital signature / authentication","ML-DSA-65 (FIPS 204); SLH-DSA (FIPS 205) if hash-based is preferred",IF(OR(I103="Key establishment / encryption in transit",I103="Key wrapping / key transport"),"ML-KEM-768 (FIPS 203); hybrid X25519MLKEM768 for TLS 1.3",IF(I103="Mixed or unknown","Both: ML-KEM (FIPS 203) for keys, ML-DSA (FIPS 204) for signatures","Pick the crypto function first")))))</f>
        <v/>
      </c>
      <c r="W103" s="16"/>
      <c r="X103" s="18" t="str">
        <f aca="false">IF(A103="","",IF(R103="No",0,IF(LEFT(T103,7)="AT RISK",Assumptions!$C$13,0)+IF(LEFT(U103,3)="Yes",Assumptions!$C$14,0)+IF(F103="Yes",Assumptions!$C$15,0)+IF(G103="Restricted",Assumptions!$C$16,IF(G103="Confidential",Assumptions!$C$17,IF(G103="Internal",Assumptions!$C$18,0)))+IF(OR(N103="Roadmap - verbal only",N103="No roadmap",N103="Not asked yet",N103=""),Assumptions!$C$19,0)+IF(E103="Production",Assumptions!$C$20,0)+IF(AND(ISNUMBER(P103),N(P103)&gt;=Assumptions!$C$22),Assumptions!$C$21,0)))</f>
        <v/>
      </c>
      <c r="Y103" s="18" t="str">
        <f aca="false">IF(X103="","",IF(R103="No","None",IF(X103&gt;=Assumptions!$C$23,"High",IF(X103&gt;=Assumptions!$C$24,"Medium","Low"))))</f>
        <v/>
      </c>
      <c r="Z103" s="16"/>
      <c r="AA103" s="17"/>
      <c r="AB103" s="16"/>
      <c r="AC103" s="18" t="str">
        <f aca="true">IF(OR(AA103="",AB103="Hybrid deployed",AB103="PQC deployed",AB103="Not required (not vulnerable)",AB103="Risk accepted"),"",IF(AA103&lt;TODAY(),"OVERDUE",""))</f>
        <v/>
      </c>
      <c r="AD103" s="18" t="str">
        <f aca="true">IF(A103="","",IF(B103="","Name the system. ","")&amp;IF(LEFT(R103,7)="Unknown","Algorithm unknown - scan or ask the vendor. ","")&amp;IF(AND(R103&lt;&gt;"No",Assumptions!$C$6=""),"Set Z on Assumptions. ","")&amp;IF(AND(R103&lt;&gt;"No",OR(O103="",P103="")),"Enter X and Y. ","")&amp;IF(LEFT(T103,7)="AT RISK","Mosca: X+Y exceeds Z - migration should already be under way. ","")&amp;IF(AND(LEFT(U103,3)="Yes",OR(AB103="",AB103="Not started")),"Harvest-now-decrypt-later exposure and migration not started. ","")&amp;IF(AND(R103&lt;&gt;"No",OR(W103="",W103="To decide")),"Choose a target algorithm. ","")&amp;IF(AND(R103&lt;&gt;"No",W103="Keep - not quantum-vulnerable"),"Target 'Keep' conflicts with a quantum-vulnerable algorithm. ","")&amp;IF(LEFT(J103,5)="SHA-1","SHA-1 is deprecated - replace (NIST IR 8547). ","")&amp;IF(AND(R103&lt;&gt;"No",OR(N103="Roadmap - verbal only",N103="No roadmap",N103="Not asked yet")),"Get a written PQC roadmap from the vendor. ","")&amp;IF(AND(R103&lt;&gt;"No",N103=""),"Record the vendor PQC roadmap status. ","")&amp;IF(ISNUMBER(M103),IF(M103&lt;TODAY(),"Certificate or key expired. ",IF(M103-TODAY()&lt;=Assumptions!$C$25,"Expires soon - use the renewal to revisit the algorithm. ","")),"")&amp;IF(AC103="OVERDUE","Migration overdue. ","")&amp;IF(AND(R103&lt;&gt;"No",Z103=""),"Assign a migration owner. ",""))</f>
        <v/>
      </c>
    </row>
    <row r="104" customFormat="false" ht="15" hidden="false" customHeight="false" outlineLevel="0" collapsed="false">
      <c r="A104" s="16"/>
      <c r="B104" s="16"/>
      <c r="C104" s="16"/>
      <c r="D104" s="16"/>
      <c r="E104" s="16"/>
      <c r="F104" s="16"/>
      <c r="G104" s="16"/>
      <c r="H104" s="16"/>
      <c r="I104" s="16"/>
      <c r="J104" s="16"/>
      <c r="K104" s="16"/>
      <c r="L104" s="16"/>
      <c r="M104" s="17"/>
      <c r="N104" s="16"/>
      <c r="O104" s="16"/>
      <c r="P104" s="16"/>
      <c r="Q104" s="18" t="str">
        <f aca="false">IF(A104="","",IF(J104="","Unknown",IFERROR(INDEX('Algorithm Reference'!$C$6:$C$41,MATCH(J104,'Algorithm Reference'!$B$6:$B$41,0)),"Not in reference")))</f>
        <v/>
      </c>
      <c r="R104" s="18" t="str">
        <f aca="false">IF(A104="","",IF(J104="","Unknown - investigate",IFERROR(INDEX('Algorithm Reference'!$E$6:$E$41,MATCH(J104,'Algorithm Reference'!$B$6:$B$41,0)),"Unknown - investigate")))</f>
        <v/>
      </c>
      <c r="S104" s="18" t="str">
        <f aca="false">IF(OR(O104="",P104=""),"",O104+P104)</f>
        <v/>
      </c>
      <c r="T104" s="18" t="str">
        <f aca="false">IF(A104="","",IF(R104="No","N/A - not quantum-vulnerable",IF(OR(O104="",P104=""),"Enter X and Y",IF(Assumptions!$C$6="","Set Z on Assumptions",IF(O104+P104&gt;Assumptions!$C$6,"AT RISK (X+Y &gt; Z)","Within Z (X+Y &lt;= Z)")))))</f>
        <v/>
      </c>
      <c r="U104" s="18" t="str">
        <f aca="false">IF(A104="","",IF(AND(R104&lt;&gt;"No",OR(I104="Key establishment / encryption in transit",I104="Key wrapping / key transport",I104="Mixed or unknown",I104=""),OR(N(O104)&gt;0,G104="Confidential",G104="Restricted")),IF(F104="Yes","Yes - internet-facing","Yes"),"No"))</f>
        <v/>
      </c>
      <c r="V104" s="18" t="str">
        <f aca="false">IF(A104="","",IF(R104="No","Keep - not quantum-vulnerable (review key size)",IF(I104="Digital signature / authentication","ML-DSA-65 (FIPS 204); SLH-DSA (FIPS 205) if hash-based is preferred",IF(OR(I104="Key establishment / encryption in transit",I104="Key wrapping / key transport"),"ML-KEM-768 (FIPS 203); hybrid X25519MLKEM768 for TLS 1.3",IF(I104="Mixed or unknown","Both: ML-KEM (FIPS 203) for keys, ML-DSA (FIPS 204) for signatures","Pick the crypto function first")))))</f>
        <v/>
      </c>
      <c r="W104" s="16"/>
      <c r="X104" s="18" t="str">
        <f aca="false">IF(A104="","",IF(R104="No",0,IF(LEFT(T104,7)="AT RISK",Assumptions!$C$13,0)+IF(LEFT(U104,3)="Yes",Assumptions!$C$14,0)+IF(F104="Yes",Assumptions!$C$15,0)+IF(G104="Restricted",Assumptions!$C$16,IF(G104="Confidential",Assumptions!$C$17,IF(G104="Internal",Assumptions!$C$18,0)))+IF(OR(N104="Roadmap - verbal only",N104="No roadmap",N104="Not asked yet",N104=""),Assumptions!$C$19,0)+IF(E104="Production",Assumptions!$C$20,0)+IF(AND(ISNUMBER(P104),N(P104)&gt;=Assumptions!$C$22),Assumptions!$C$21,0)))</f>
        <v/>
      </c>
      <c r="Y104" s="18" t="str">
        <f aca="false">IF(X104="","",IF(R104="No","None",IF(X104&gt;=Assumptions!$C$23,"High",IF(X104&gt;=Assumptions!$C$24,"Medium","Low"))))</f>
        <v/>
      </c>
      <c r="Z104" s="16"/>
      <c r="AA104" s="17"/>
      <c r="AB104" s="16"/>
      <c r="AC104" s="18" t="str">
        <f aca="true">IF(OR(AA104="",AB104="Hybrid deployed",AB104="PQC deployed",AB104="Not required (not vulnerable)",AB104="Risk accepted"),"",IF(AA104&lt;TODAY(),"OVERDUE",""))</f>
        <v/>
      </c>
      <c r="AD104" s="18" t="str">
        <f aca="true">IF(A104="","",IF(B104="","Name the system. ","")&amp;IF(LEFT(R104,7)="Unknown","Algorithm unknown - scan or ask the vendor. ","")&amp;IF(AND(R104&lt;&gt;"No",Assumptions!$C$6=""),"Set Z on Assumptions. ","")&amp;IF(AND(R104&lt;&gt;"No",OR(O104="",P104="")),"Enter X and Y. ","")&amp;IF(LEFT(T104,7)="AT RISK","Mosca: X+Y exceeds Z - migration should already be under way. ","")&amp;IF(AND(LEFT(U104,3)="Yes",OR(AB104="",AB104="Not started")),"Harvest-now-decrypt-later exposure and migration not started. ","")&amp;IF(AND(R104&lt;&gt;"No",OR(W104="",W104="To decide")),"Choose a target algorithm. ","")&amp;IF(AND(R104&lt;&gt;"No",W104="Keep - not quantum-vulnerable"),"Target 'Keep' conflicts with a quantum-vulnerable algorithm. ","")&amp;IF(LEFT(J104,5)="SHA-1","SHA-1 is deprecated - replace (NIST IR 8547). ","")&amp;IF(AND(R104&lt;&gt;"No",OR(N104="Roadmap - verbal only",N104="No roadmap",N104="Not asked yet")),"Get a written PQC roadmap from the vendor. ","")&amp;IF(AND(R104&lt;&gt;"No",N104=""),"Record the vendor PQC roadmap status. ","")&amp;IF(ISNUMBER(M104),IF(M104&lt;TODAY(),"Certificate or key expired. ",IF(M104-TODAY()&lt;=Assumptions!$C$25,"Expires soon - use the renewal to revisit the algorithm. ","")),"")&amp;IF(AC104="OVERDUE","Migration overdue. ","")&amp;IF(AND(R104&lt;&gt;"No",Z104=""),"Assign a migration owner. ",""))</f>
        <v/>
      </c>
    </row>
    <row r="105" customFormat="false" ht="15" hidden="false" customHeight="false" outlineLevel="0" collapsed="false">
      <c r="A105" s="16"/>
      <c r="B105" s="16"/>
      <c r="C105" s="16"/>
      <c r="D105" s="16"/>
      <c r="E105" s="16"/>
      <c r="F105" s="16"/>
      <c r="G105" s="16"/>
      <c r="H105" s="16"/>
      <c r="I105" s="16"/>
      <c r="J105" s="16"/>
      <c r="K105" s="16"/>
      <c r="L105" s="16"/>
      <c r="M105" s="17"/>
      <c r="N105" s="16"/>
      <c r="O105" s="16"/>
      <c r="P105" s="16"/>
      <c r="Q105" s="18" t="str">
        <f aca="false">IF(A105="","",IF(J105="","Unknown",IFERROR(INDEX('Algorithm Reference'!$C$6:$C$41,MATCH(J105,'Algorithm Reference'!$B$6:$B$41,0)),"Not in reference")))</f>
        <v/>
      </c>
      <c r="R105" s="18" t="str">
        <f aca="false">IF(A105="","",IF(J105="","Unknown - investigate",IFERROR(INDEX('Algorithm Reference'!$E$6:$E$41,MATCH(J105,'Algorithm Reference'!$B$6:$B$41,0)),"Unknown - investigate")))</f>
        <v/>
      </c>
      <c r="S105" s="18" t="str">
        <f aca="false">IF(OR(O105="",P105=""),"",O105+P105)</f>
        <v/>
      </c>
      <c r="T105" s="18" t="str">
        <f aca="false">IF(A105="","",IF(R105="No","N/A - not quantum-vulnerable",IF(OR(O105="",P105=""),"Enter X and Y",IF(Assumptions!$C$6="","Set Z on Assumptions",IF(O105+P105&gt;Assumptions!$C$6,"AT RISK (X+Y &gt; Z)","Within Z (X+Y &lt;= Z)")))))</f>
        <v/>
      </c>
      <c r="U105" s="18" t="str">
        <f aca="false">IF(A105="","",IF(AND(R105&lt;&gt;"No",OR(I105="Key establishment / encryption in transit",I105="Key wrapping / key transport",I105="Mixed or unknown",I105=""),OR(N(O105)&gt;0,G105="Confidential",G105="Restricted")),IF(F105="Yes","Yes - internet-facing","Yes"),"No"))</f>
        <v/>
      </c>
      <c r="V105" s="18" t="str">
        <f aca="false">IF(A105="","",IF(R105="No","Keep - not quantum-vulnerable (review key size)",IF(I105="Digital signature / authentication","ML-DSA-65 (FIPS 204); SLH-DSA (FIPS 205) if hash-based is preferred",IF(OR(I105="Key establishment / encryption in transit",I105="Key wrapping / key transport"),"ML-KEM-768 (FIPS 203); hybrid X25519MLKEM768 for TLS 1.3",IF(I105="Mixed or unknown","Both: ML-KEM (FIPS 203) for keys, ML-DSA (FIPS 204) for signatures","Pick the crypto function first")))))</f>
        <v/>
      </c>
      <c r="W105" s="16"/>
      <c r="X105" s="18" t="str">
        <f aca="false">IF(A105="","",IF(R105="No",0,IF(LEFT(T105,7)="AT RISK",Assumptions!$C$13,0)+IF(LEFT(U105,3)="Yes",Assumptions!$C$14,0)+IF(F105="Yes",Assumptions!$C$15,0)+IF(G105="Restricted",Assumptions!$C$16,IF(G105="Confidential",Assumptions!$C$17,IF(G105="Internal",Assumptions!$C$18,0)))+IF(OR(N105="Roadmap - verbal only",N105="No roadmap",N105="Not asked yet",N105=""),Assumptions!$C$19,0)+IF(E105="Production",Assumptions!$C$20,0)+IF(AND(ISNUMBER(P105),N(P105)&gt;=Assumptions!$C$22),Assumptions!$C$21,0)))</f>
        <v/>
      </c>
      <c r="Y105" s="18" t="str">
        <f aca="false">IF(X105="","",IF(R105="No","None",IF(X105&gt;=Assumptions!$C$23,"High",IF(X105&gt;=Assumptions!$C$24,"Medium","Low"))))</f>
        <v/>
      </c>
      <c r="Z105" s="16"/>
      <c r="AA105" s="17"/>
      <c r="AB105" s="16"/>
      <c r="AC105" s="18" t="str">
        <f aca="true">IF(OR(AA105="",AB105="Hybrid deployed",AB105="PQC deployed",AB105="Not required (not vulnerable)",AB105="Risk accepted"),"",IF(AA105&lt;TODAY(),"OVERDUE",""))</f>
        <v/>
      </c>
      <c r="AD105" s="18" t="str">
        <f aca="true">IF(A105="","",IF(B105="","Name the system. ","")&amp;IF(LEFT(R105,7)="Unknown","Algorithm unknown - scan or ask the vendor. ","")&amp;IF(AND(R105&lt;&gt;"No",Assumptions!$C$6=""),"Set Z on Assumptions. ","")&amp;IF(AND(R105&lt;&gt;"No",OR(O105="",P105="")),"Enter X and Y. ","")&amp;IF(LEFT(T105,7)="AT RISK","Mosca: X+Y exceeds Z - migration should already be under way. ","")&amp;IF(AND(LEFT(U105,3)="Yes",OR(AB105="",AB105="Not started")),"Harvest-now-decrypt-later exposure and migration not started. ","")&amp;IF(AND(R105&lt;&gt;"No",OR(W105="",W105="To decide")),"Choose a target algorithm. ","")&amp;IF(AND(R105&lt;&gt;"No",W105="Keep - not quantum-vulnerable"),"Target 'Keep' conflicts with a quantum-vulnerable algorithm. ","")&amp;IF(LEFT(J105,5)="SHA-1","SHA-1 is deprecated - replace (NIST IR 8547). ","")&amp;IF(AND(R105&lt;&gt;"No",OR(N105="Roadmap - verbal only",N105="No roadmap",N105="Not asked yet")),"Get a written PQC roadmap from the vendor. ","")&amp;IF(AND(R105&lt;&gt;"No",N105=""),"Record the vendor PQC roadmap status. ","")&amp;IF(ISNUMBER(M105),IF(M105&lt;TODAY(),"Certificate or key expired. ",IF(M105-TODAY()&lt;=Assumptions!$C$25,"Expires soon - use the renewal to revisit the algorithm. ","")),"")&amp;IF(AC105="OVERDUE","Migration overdue. ","")&amp;IF(AND(R105&lt;&gt;"No",Z105=""),"Assign a migration owner. ",""))</f>
        <v/>
      </c>
    </row>
    <row r="106" customFormat="false" ht="15" hidden="false" customHeight="false" outlineLevel="0" collapsed="false">
      <c r="A106" s="16"/>
      <c r="B106" s="16"/>
      <c r="C106" s="16"/>
      <c r="D106" s="16"/>
      <c r="E106" s="16"/>
      <c r="F106" s="16"/>
      <c r="G106" s="16"/>
      <c r="H106" s="16"/>
      <c r="I106" s="16"/>
      <c r="J106" s="16"/>
      <c r="K106" s="16"/>
      <c r="L106" s="16"/>
      <c r="M106" s="17"/>
      <c r="N106" s="16"/>
      <c r="O106" s="16"/>
      <c r="P106" s="16"/>
      <c r="Q106" s="18" t="str">
        <f aca="false">IF(A106="","",IF(J106="","Unknown",IFERROR(INDEX('Algorithm Reference'!$C$6:$C$41,MATCH(J106,'Algorithm Reference'!$B$6:$B$41,0)),"Not in reference")))</f>
        <v/>
      </c>
      <c r="R106" s="18" t="str">
        <f aca="false">IF(A106="","",IF(J106="","Unknown - investigate",IFERROR(INDEX('Algorithm Reference'!$E$6:$E$41,MATCH(J106,'Algorithm Reference'!$B$6:$B$41,0)),"Unknown - investigate")))</f>
        <v/>
      </c>
      <c r="S106" s="18" t="str">
        <f aca="false">IF(OR(O106="",P106=""),"",O106+P106)</f>
        <v/>
      </c>
      <c r="T106" s="18" t="str">
        <f aca="false">IF(A106="","",IF(R106="No","N/A - not quantum-vulnerable",IF(OR(O106="",P106=""),"Enter X and Y",IF(Assumptions!$C$6="","Set Z on Assumptions",IF(O106+P106&gt;Assumptions!$C$6,"AT RISK (X+Y &gt; Z)","Within Z (X+Y &lt;= Z)")))))</f>
        <v/>
      </c>
      <c r="U106" s="18" t="str">
        <f aca="false">IF(A106="","",IF(AND(R106&lt;&gt;"No",OR(I106="Key establishment / encryption in transit",I106="Key wrapping / key transport",I106="Mixed or unknown",I106=""),OR(N(O106)&gt;0,G106="Confidential",G106="Restricted")),IF(F106="Yes","Yes - internet-facing","Yes"),"No"))</f>
        <v/>
      </c>
      <c r="V106" s="18" t="str">
        <f aca="false">IF(A106="","",IF(R106="No","Keep - not quantum-vulnerable (review key size)",IF(I106="Digital signature / authentication","ML-DSA-65 (FIPS 204); SLH-DSA (FIPS 205) if hash-based is preferred",IF(OR(I106="Key establishment / encryption in transit",I106="Key wrapping / key transport"),"ML-KEM-768 (FIPS 203); hybrid X25519MLKEM768 for TLS 1.3",IF(I106="Mixed or unknown","Both: ML-KEM (FIPS 203) for keys, ML-DSA (FIPS 204) for signatures","Pick the crypto function first")))))</f>
        <v/>
      </c>
      <c r="W106" s="16"/>
      <c r="X106" s="18" t="str">
        <f aca="false">IF(A106="","",IF(R106="No",0,IF(LEFT(T106,7)="AT RISK",Assumptions!$C$13,0)+IF(LEFT(U106,3)="Yes",Assumptions!$C$14,0)+IF(F106="Yes",Assumptions!$C$15,0)+IF(G106="Restricted",Assumptions!$C$16,IF(G106="Confidential",Assumptions!$C$17,IF(G106="Internal",Assumptions!$C$18,0)))+IF(OR(N106="Roadmap - verbal only",N106="No roadmap",N106="Not asked yet",N106=""),Assumptions!$C$19,0)+IF(E106="Production",Assumptions!$C$20,0)+IF(AND(ISNUMBER(P106),N(P106)&gt;=Assumptions!$C$22),Assumptions!$C$21,0)))</f>
        <v/>
      </c>
      <c r="Y106" s="18" t="str">
        <f aca="false">IF(X106="","",IF(R106="No","None",IF(X106&gt;=Assumptions!$C$23,"High",IF(X106&gt;=Assumptions!$C$24,"Medium","Low"))))</f>
        <v/>
      </c>
      <c r="Z106" s="16"/>
      <c r="AA106" s="17"/>
      <c r="AB106" s="16"/>
      <c r="AC106" s="18" t="str">
        <f aca="true">IF(OR(AA106="",AB106="Hybrid deployed",AB106="PQC deployed",AB106="Not required (not vulnerable)",AB106="Risk accepted"),"",IF(AA106&lt;TODAY(),"OVERDUE",""))</f>
        <v/>
      </c>
      <c r="AD106" s="18" t="str">
        <f aca="true">IF(A106="","",IF(B106="","Name the system. ","")&amp;IF(LEFT(R106,7)="Unknown","Algorithm unknown - scan or ask the vendor. ","")&amp;IF(AND(R106&lt;&gt;"No",Assumptions!$C$6=""),"Set Z on Assumptions. ","")&amp;IF(AND(R106&lt;&gt;"No",OR(O106="",P106="")),"Enter X and Y. ","")&amp;IF(LEFT(T106,7)="AT RISK","Mosca: X+Y exceeds Z - migration should already be under way. ","")&amp;IF(AND(LEFT(U106,3)="Yes",OR(AB106="",AB106="Not started")),"Harvest-now-decrypt-later exposure and migration not started. ","")&amp;IF(AND(R106&lt;&gt;"No",OR(W106="",W106="To decide")),"Choose a target algorithm. ","")&amp;IF(AND(R106&lt;&gt;"No",W106="Keep - not quantum-vulnerable"),"Target 'Keep' conflicts with a quantum-vulnerable algorithm. ","")&amp;IF(LEFT(J106,5)="SHA-1","SHA-1 is deprecated - replace (NIST IR 8547). ","")&amp;IF(AND(R106&lt;&gt;"No",OR(N106="Roadmap - verbal only",N106="No roadmap",N106="Not asked yet")),"Get a written PQC roadmap from the vendor. ","")&amp;IF(AND(R106&lt;&gt;"No",N106=""),"Record the vendor PQC roadmap status. ","")&amp;IF(ISNUMBER(M106),IF(M106&lt;TODAY(),"Certificate or key expired. ",IF(M106-TODAY()&lt;=Assumptions!$C$25,"Expires soon - use the renewal to revisit the algorithm. ","")),"")&amp;IF(AC106="OVERDUE","Migration overdue. ","")&amp;IF(AND(R106&lt;&gt;"No",Z106=""),"Assign a migration owner. ",""))</f>
        <v/>
      </c>
    </row>
    <row r="107" customFormat="false" ht="15" hidden="false" customHeight="false" outlineLevel="0" collapsed="false">
      <c r="A107" s="16"/>
      <c r="B107" s="16"/>
      <c r="C107" s="16"/>
      <c r="D107" s="16"/>
      <c r="E107" s="16"/>
      <c r="F107" s="16"/>
      <c r="G107" s="16"/>
      <c r="H107" s="16"/>
      <c r="I107" s="16"/>
      <c r="J107" s="16"/>
      <c r="K107" s="16"/>
      <c r="L107" s="16"/>
      <c r="M107" s="17"/>
      <c r="N107" s="16"/>
      <c r="O107" s="16"/>
      <c r="P107" s="16"/>
      <c r="Q107" s="18" t="str">
        <f aca="false">IF(A107="","",IF(J107="","Unknown",IFERROR(INDEX('Algorithm Reference'!$C$6:$C$41,MATCH(J107,'Algorithm Reference'!$B$6:$B$41,0)),"Not in reference")))</f>
        <v/>
      </c>
      <c r="R107" s="18" t="str">
        <f aca="false">IF(A107="","",IF(J107="","Unknown - investigate",IFERROR(INDEX('Algorithm Reference'!$E$6:$E$41,MATCH(J107,'Algorithm Reference'!$B$6:$B$41,0)),"Unknown - investigate")))</f>
        <v/>
      </c>
      <c r="S107" s="18" t="str">
        <f aca="false">IF(OR(O107="",P107=""),"",O107+P107)</f>
        <v/>
      </c>
      <c r="T107" s="18" t="str">
        <f aca="false">IF(A107="","",IF(R107="No","N/A - not quantum-vulnerable",IF(OR(O107="",P107=""),"Enter X and Y",IF(Assumptions!$C$6="","Set Z on Assumptions",IF(O107+P107&gt;Assumptions!$C$6,"AT RISK (X+Y &gt; Z)","Within Z (X+Y &lt;= Z)")))))</f>
        <v/>
      </c>
      <c r="U107" s="18" t="str">
        <f aca="false">IF(A107="","",IF(AND(R107&lt;&gt;"No",OR(I107="Key establishment / encryption in transit",I107="Key wrapping / key transport",I107="Mixed or unknown",I107=""),OR(N(O107)&gt;0,G107="Confidential",G107="Restricted")),IF(F107="Yes","Yes - internet-facing","Yes"),"No"))</f>
        <v/>
      </c>
      <c r="V107" s="18" t="str">
        <f aca="false">IF(A107="","",IF(R107="No","Keep - not quantum-vulnerable (review key size)",IF(I107="Digital signature / authentication","ML-DSA-65 (FIPS 204); SLH-DSA (FIPS 205) if hash-based is preferred",IF(OR(I107="Key establishment / encryption in transit",I107="Key wrapping / key transport"),"ML-KEM-768 (FIPS 203); hybrid X25519MLKEM768 for TLS 1.3",IF(I107="Mixed or unknown","Both: ML-KEM (FIPS 203) for keys, ML-DSA (FIPS 204) for signatures","Pick the crypto function first")))))</f>
        <v/>
      </c>
      <c r="W107" s="16"/>
      <c r="X107" s="18" t="str">
        <f aca="false">IF(A107="","",IF(R107="No",0,IF(LEFT(T107,7)="AT RISK",Assumptions!$C$13,0)+IF(LEFT(U107,3)="Yes",Assumptions!$C$14,0)+IF(F107="Yes",Assumptions!$C$15,0)+IF(G107="Restricted",Assumptions!$C$16,IF(G107="Confidential",Assumptions!$C$17,IF(G107="Internal",Assumptions!$C$18,0)))+IF(OR(N107="Roadmap - verbal only",N107="No roadmap",N107="Not asked yet",N107=""),Assumptions!$C$19,0)+IF(E107="Production",Assumptions!$C$20,0)+IF(AND(ISNUMBER(P107),N(P107)&gt;=Assumptions!$C$22),Assumptions!$C$21,0)))</f>
        <v/>
      </c>
      <c r="Y107" s="18" t="str">
        <f aca="false">IF(X107="","",IF(R107="No","None",IF(X107&gt;=Assumptions!$C$23,"High",IF(X107&gt;=Assumptions!$C$24,"Medium","Low"))))</f>
        <v/>
      </c>
      <c r="Z107" s="16"/>
      <c r="AA107" s="17"/>
      <c r="AB107" s="16"/>
      <c r="AC107" s="18" t="str">
        <f aca="true">IF(OR(AA107="",AB107="Hybrid deployed",AB107="PQC deployed",AB107="Not required (not vulnerable)",AB107="Risk accepted"),"",IF(AA107&lt;TODAY(),"OVERDUE",""))</f>
        <v/>
      </c>
      <c r="AD107" s="18" t="str">
        <f aca="true">IF(A107="","",IF(B107="","Name the system. ","")&amp;IF(LEFT(R107,7)="Unknown","Algorithm unknown - scan or ask the vendor. ","")&amp;IF(AND(R107&lt;&gt;"No",Assumptions!$C$6=""),"Set Z on Assumptions. ","")&amp;IF(AND(R107&lt;&gt;"No",OR(O107="",P107="")),"Enter X and Y. ","")&amp;IF(LEFT(T107,7)="AT RISK","Mosca: X+Y exceeds Z - migration should already be under way. ","")&amp;IF(AND(LEFT(U107,3)="Yes",OR(AB107="",AB107="Not started")),"Harvest-now-decrypt-later exposure and migration not started. ","")&amp;IF(AND(R107&lt;&gt;"No",OR(W107="",W107="To decide")),"Choose a target algorithm. ","")&amp;IF(AND(R107&lt;&gt;"No",W107="Keep - not quantum-vulnerable"),"Target 'Keep' conflicts with a quantum-vulnerable algorithm. ","")&amp;IF(LEFT(J107,5)="SHA-1","SHA-1 is deprecated - replace (NIST IR 8547). ","")&amp;IF(AND(R107&lt;&gt;"No",OR(N107="Roadmap - verbal only",N107="No roadmap",N107="Not asked yet")),"Get a written PQC roadmap from the vendor. ","")&amp;IF(AND(R107&lt;&gt;"No",N107=""),"Record the vendor PQC roadmap status. ","")&amp;IF(ISNUMBER(M107),IF(M107&lt;TODAY(),"Certificate or key expired. ",IF(M107-TODAY()&lt;=Assumptions!$C$25,"Expires soon - use the renewal to revisit the algorithm. ","")),"")&amp;IF(AC107="OVERDUE","Migration overdue. ","")&amp;IF(AND(R107&lt;&gt;"No",Z107=""),"Assign a migration owner. ",""))</f>
        <v/>
      </c>
    </row>
    <row r="108" customFormat="false" ht="15" hidden="false" customHeight="false" outlineLevel="0" collapsed="false">
      <c r="A108" s="16"/>
      <c r="B108" s="16"/>
      <c r="C108" s="16"/>
      <c r="D108" s="16"/>
      <c r="E108" s="16"/>
      <c r="F108" s="16"/>
      <c r="G108" s="16"/>
      <c r="H108" s="16"/>
      <c r="I108" s="16"/>
      <c r="J108" s="16"/>
      <c r="K108" s="16"/>
      <c r="L108" s="16"/>
      <c r="M108" s="17"/>
      <c r="N108" s="16"/>
      <c r="O108" s="16"/>
      <c r="P108" s="16"/>
      <c r="Q108" s="18" t="str">
        <f aca="false">IF(A108="","",IF(J108="","Unknown",IFERROR(INDEX('Algorithm Reference'!$C$6:$C$41,MATCH(J108,'Algorithm Reference'!$B$6:$B$41,0)),"Not in reference")))</f>
        <v/>
      </c>
      <c r="R108" s="18" t="str">
        <f aca="false">IF(A108="","",IF(J108="","Unknown - investigate",IFERROR(INDEX('Algorithm Reference'!$E$6:$E$41,MATCH(J108,'Algorithm Reference'!$B$6:$B$41,0)),"Unknown - investigate")))</f>
        <v/>
      </c>
      <c r="S108" s="18" t="str">
        <f aca="false">IF(OR(O108="",P108=""),"",O108+P108)</f>
        <v/>
      </c>
      <c r="T108" s="18" t="str">
        <f aca="false">IF(A108="","",IF(R108="No","N/A - not quantum-vulnerable",IF(OR(O108="",P108=""),"Enter X and Y",IF(Assumptions!$C$6="","Set Z on Assumptions",IF(O108+P108&gt;Assumptions!$C$6,"AT RISK (X+Y &gt; Z)","Within Z (X+Y &lt;= Z)")))))</f>
        <v/>
      </c>
      <c r="U108" s="18" t="str">
        <f aca="false">IF(A108="","",IF(AND(R108&lt;&gt;"No",OR(I108="Key establishment / encryption in transit",I108="Key wrapping / key transport",I108="Mixed or unknown",I108=""),OR(N(O108)&gt;0,G108="Confidential",G108="Restricted")),IF(F108="Yes","Yes - internet-facing","Yes"),"No"))</f>
        <v/>
      </c>
      <c r="V108" s="18" t="str">
        <f aca="false">IF(A108="","",IF(R108="No","Keep - not quantum-vulnerable (review key size)",IF(I108="Digital signature / authentication","ML-DSA-65 (FIPS 204); SLH-DSA (FIPS 205) if hash-based is preferred",IF(OR(I108="Key establishment / encryption in transit",I108="Key wrapping / key transport"),"ML-KEM-768 (FIPS 203); hybrid X25519MLKEM768 for TLS 1.3",IF(I108="Mixed or unknown","Both: ML-KEM (FIPS 203) for keys, ML-DSA (FIPS 204) for signatures","Pick the crypto function first")))))</f>
        <v/>
      </c>
      <c r="W108" s="16"/>
      <c r="X108" s="18" t="str">
        <f aca="false">IF(A108="","",IF(R108="No",0,IF(LEFT(T108,7)="AT RISK",Assumptions!$C$13,0)+IF(LEFT(U108,3)="Yes",Assumptions!$C$14,0)+IF(F108="Yes",Assumptions!$C$15,0)+IF(G108="Restricted",Assumptions!$C$16,IF(G108="Confidential",Assumptions!$C$17,IF(G108="Internal",Assumptions!$C$18,0)))+IF(OR(N108="Roadmap - verbal only",N108="No roadmap",N108="Not asked yet",N108=""),Assumptions!$C$19,0)+IF(E108="Production",Assumptions!$C$20,0)+IF(AND(ISNUMBER(P108),N(P108)&gt;=Assumptions!$C$22),Assumptions!$C$21,0)))</f>
        <v/>
      </c>
      <c r="Y108" s="18" t="str">
        <f aca="false">IF(X108="","",IF(R108="No","None",IF(X108&gt;=Assumptions!$C$23,"High",IF(X108&gt;=Assumptions!$C$24,"Medium","Low"))))</f>
        <v/>
      </c>
      <c r="Z108" s="16"/>
      <c r="AA108" s="17"/>
      <c r="AB108" s="16"/>
      <c r="AC108" s="18" t="str">
        <f aca="true">IF(OR(AA108="",AB108="Hybrid deployed",AB108="PQC deployed",AB108="Not required (not vulnerable)",AB108="Risk accepted"),"",IF(AA108&lt;TODAY(),"OVERDUE",""))</f>
        <v/>
      </c>
      <c r="AD108" s="18" t="str">
        <f aca="true">IF(A108="","",IF(B108="","Name the system. ","")&amp;IF(LEFT(R108,7)="Unknown","Algorithm unknown - scan or ask the vendor. ","")&amp;IF(AND(R108&lt;&gt;"No",Assumptions!$C$6=""),"Set Z on Assumptions. ","")&amp;IF(AND(R108&lt;&gt;"No",OR(O108="",P108="")),"Enter X and Y. ","")&amp;IF(LEFT(T108,7)="AT RISK","Mosca: X+Y exceeds Z - migration should already be under way. ","")&amp;IF(AND(LEFT(U108,3)="Yes",OR(AB108="",AB108="Not started")),"Harvest-now-decrypt-later exposure and migration not started. ","")&amp;IF(AND(R108&lt;&gt;"No",OR(W108="",W108="To decide")),"Choose a target algorithm. ","")&amp;IF(AND(R108&lt;&gt;"No",W108="Keep - not quantum-vulnerable"),"Target 'Keep' conflicts with a quantum-vulnerable algorithm. ","")&amp;IF(LEFT(J108,5)="SHA-1","SHA-1 is deprecated - replace (NIST IR 8547). ","")&amp;IF(AND(R108&lt;&gt;"No",OR(N108="Roadmap - verbal only",N108="No roadmap",N108="Not asked yet")),"Get a written PQC roadmap from the vendor. ","")&amp;IF(AND(R108&lt;&gt;"No",N108=""),"Record the vendor PQC roadmap status. ","")&amp;IF(ISNUMBER(M108),IF(M108&lt;TODAY(),"Certificate or key expired. ",IF(M108-TODAY()&lt;=Assumptions!$C$25,"Expires soon - use the renewal to revisit the algorithm. ","")),"")&amp;IF(AC108="OVERDUE","Migration overdue. ","")&amp;IF(AND(R108&lt;&gt;"No",Z108=""),"Assign a migration owner. ",""))</f>
        <v/>
      </c>
    </row>
    <row r="109" customFormat="false" ht="15" hidden="false" customHeight="false" outlineLevel="0" collapsed="false">
      <c r="A109" s="16"/>
      <c r="B109" s="16"/>
      <c r="C109" s="16"/>
      <c r="D109" s="16"/>
      <c r="E109" s="16"/>
      <c r="F109" s="16"/>
      <c r="G109" s="16"/>
      <c r="H109" s="16"/>
      <c r="I109" s="16"/>
      <c r="J109" s="16"/>
      <c r="K109" s="16"/>
      <c r="L109" s="16"/>
      <c r="M109" s="17"/>
      <c r="N109" s="16"/>
      <c r="O109" s="16"/>
      <c r="P109" s="16"/>
      <c r="Q109" s="18" t="str">
        <f aca="false">IF(A109="","",IF(J109="","Unknown",IFERROR(INDEX('Algorithm Reference'!$C$6:$C$41,MATCH(J109,'Algorithm Reference'!$B$6:$B$41,0)),"Not in reference")))</f>
        <v/>
      </c>
      <c r="R109" s="18" t="str">
        <f aca="false">IF(A109="","",IF(J109="","Unknown - investigate",IFERROR(INDEX('Algorithm Reference'!$E$6:$E$41,MATCH(J109,'Algorithm Reference'!$B$6:$B$41,0)),"Unknown - investigate")))</f>
        <v/>
      </c>
      <c r="S109" s="18" t="str">
        <f aca="false">IF(OR(O109="",P109=""),"",O109+P109)</f>
        <v/>
      </c>
      <c r="T109" s="18" t="str">
        <f aca="false">IF(A109="","",IF(R109="No","N/A - not quantum-vulnerable",IF(OR(O109="",P109=""),"Enter X and Y",IF(Assumptions!$C$6="","Set Z on Assumptions",IF(O109+P109&gt;Assumptions!$C$6,"AT RISK (X+Y &gt; Z)","Within Z (X+Y &lt;= Z)")))))</f>
        <v/>
      </c>
      <c r="U109" s="18" t="str">
        <f aca="false">IF(A109="","",IF(AND(R109&lt;&gt;"No",OR(I109="Key establishment / encryption in transit",I109="Key wrapping / key transport",I109="Mixed or unknown",I109=""),OR(N(O109)&gt;0,G109="Confidential",G109="Restricted")),IF(F109="Yes","Yes - internet-facing","Yes"),"No"))</f>
        <v/>
      </c>
      <c r="V109" s="18" t="str">
        <f aca="false">IF(A109="","",IF(R109="No","Keep - not quantum-vulnerable (review key size)",IF(I109="Digital signature / authentication","ML-DSA-65 (FIPS 204); SLH-DSA (FIPS 205) if hash-based is preferred",IF(OR(I109="Key establishment / encryption in transit",I109="Key wrapping / key transport"),"ML-KEM-768 (FIPS 203); hybrid X25519MLKEM768 for TLS 1.3",IF(I109="Mixed or unknown","Both: ML-KEM (FIPS 203) for keys, ML-DSA (FIPS 204) for signatures","Pick the crypto function first")))))</f>
        <v/>
      </c>
      <c r="W109" s="16"/>
      <c r="X109" s="18" t="str">
        <f aca="false">IF(A109="","",IF(R109="No",0,IF(LEFT(T109,7)="AT RISK",Assumptions!$C$13,0)+IF(LEFT(U109,3)="Yes",Assumptions!$C$14,0)+IF(F109="Yes",Assumptions!$C$15,0)+IF(G109="Restricted",Assumptions!$C$16,IF(G109="Confidential",Assumptions!$C$17,IF(G109="Internal",Assumptions!$C$18,0)))+IF(OR(N109="Roadmap - verbal only",N109="No roadmap",N109="Not asked yet",N109=""),Assumptions!$C$19,0)+IF(E109="Production",Assumptions!$C$20,0)+IF(AND(ISNUMBER(P109),N(P109)&gt;=Assumptions!$C$22),Assumptions!$C$21,0)))</f>
        <v/>
      </c>
      <c r="Y109" s="18" t="str">
        <f aca="false">IF(X109="","",IF(R109="No","None",IF(X109&gt;=Assumptions!$C$23,"High",IF(X109&gt;=Assumptions!$C$24,"Medium","Low"))))</f>
        <v/>
      </c>
      <c r="Z109" s="16"/>
      <c r="AA109" s="17"/>
      <c r="AB109" s="16"/>
      <c r="AC109" s="18" t="str">
        <f aca="true">IF(OR(AA109="",AB109="Hybrid deployed",AB109="PQC deployed",AB109="Not required (not vulnerable)",AB109="Risk accepted"),"",IF(AA109&lt;TODAY(),"OVERDUE",""))</f>
        <v/>
      </c>
      <c r="AD109" s="18" t="str">
        <f aca="true">IF(A109="","",IF(B109="","Name the system. ","")&amp;IF(LEFT(R109,7)="Unknown","Algorithm unknown - scan or ask the vendor. ","")&amp;IF(AND(R109&lt;&gt;"No",Assumptions!$C$6=""),"Set Z on Assumptions. ","")&amp;IF(AND(R109&lt;&gt;"No",OR(O109="",P109="")),"Enter X and Y. ","")&amp;IF(LEFT(T109,7)="AT RISK","Mosca: X+Y exceeds Z - migration should already be under way. ","")&amp;IF(AND(LEFT(U109,3)="Yes",OR(AB109="",AB109="Not started")),"Harvest-now-decrypt-later exposure and migration not started. ","")&amp;IF(AND(R109&lt;&gt;"No",OR(W109="",W109="To decide")),"Choose a target algorithm. ","")&amp;IF(AND(R109&lt;&gt;"No",W109="Keep - not quantum-vulnerable"),"Target 'Keep' conflicts with a quantum-vulnerable algorithm. ","")&amp;IF(LEFT(J109,5)="SHA-1","SHA-1 is deprecated - replace (NIST IR 8547). ","")&amp;IF(AND(R109&lt;&gt;"No",OR(N109="Roadmap - verbal only",N109="No roadmap",N109="Not asked yet")),"Get a written PQC roadmap from the vendor. ","")&amp;IF(AND(R109&lt;&gt;"No",N109=""),"Record the vendor PQC roadmap status. ","")&amp;IF(ISNUMBER(M109),IF(M109&lt;TODAY(),"Certificate or key expired. ",IF(M109-TODAY()&lt;=Assumptions!$C$25,"Expires soon - use the renewal to revisit the algorithm. ","")),"")&amp;IF(AC109="OVERDUE","Migration overdue. ","")&amp;IF(AND(R109&lt;&gt;"No",Z109=""),"Assign a migration owner. ",""))</f>
        <v/>
      </c>
    </row>
    <row r="110" customFormat="false" ht="15" hidden="false" customHeight="false" outlineLevel="0" collapsed="false">
      <c r="A110" s="16"/>
      <c r="B110" s="16"/>
      <c r="C110" s="16"/>
      <c r="D110" s="16"/>
      <c r="E110" s="16"/>
      <c r="F110" s="16"/>
      <c r="G110" s="16"/>
      <c r="H110" s="16"/>
      <c r="I110" s="16"/>
      <c r="J110" s="16"/>
      <c r="K110" s="16"/>
      <c r="L110" s="16"/>
      <c r="M110" s="17"/>
      <c r="N110" s="16"/>
      <c r="O110" s="16"/>
      <c r="P110" s="16"/>
      <c r="Q110" s="18" t="str">
        <f aca="false">IF(A110="","",IF(J110="","Unknown",IFERROR(INDEX('Algorithm Reference'!$C$6:$C$41,MATCH(J110,'Algorithm Reference'!$B$6:$B$41,0)),"Not in reference")))</f>
        <v/>
      </c>
      <c r="R110" s="18" t="str">
        <f aca="false">IF(A110="","",IF(J110="","Unknown - investigate",IFERROR(INDEX('Algorithm Reference'!$E$6:$E$41,MATCH(J110,'Algorithm Reference'!$B$6:$B$41,0)),"Unknown - investigate")))</f>
        <v/>
      </c>
      <c r="S110" s="18" t="str">
        <f aca="false">IF(OR(O110="",P110=""),"",O110+P110)</f>
        <v/>
      </c>
      <c r="T110" s="18" t="str">
        <f aca="false">IF(A110="","",IF(R110="No","N/A - not quantum-vulnerable",IF(OR(O110="",P110=""),"Enter X and Y",IF(Assumptions!$C$6="","Set Z on Assumptions",IF(O110+P110&gt;Assumptions!$C$6,"AT RISK (X+Y &gt; Z)","Within Z (X+Y &lt;= Z)")))))</f>
        <v/>
      </c>
      <c r="U110" s="18" t="str">
        <f aca="false">IF(A110="","",IF(AND(R110&lt;&gt;"No",OR(I110="Key establishment / encryption in transit",I110="Key wrapping / key transport",I110="Mixed or unknown",I110=""),OR(N(O110)&gt;0,G110="Confidential",G110="Restricted")),IF(F110="Yes","Yes - internet-facing","Yes"),"No"))</f>
        <v/>
      </c>
      <c r="V110" s="18" t="str">
        <f aca="false">IF(A110="","",IF(R110="No","Keep - not quantum-vulnerable (review key size)",IF(I110="Digital signature / authentication","ML-DSA-65 (FIPS 204); SLH-DSA (FIPS 205) if hash-based is preferred",IF(OR(I110="Key establishment / encryption in transit",I110="Key wrapping / key transport"),"ML-KEM-768 (FIPS 203); hybrid X25519MLKEM768 for TLS 1.3",IF(I110="Mixed or unknown","Both: ML-KEM (FIPS 203) for keys, ML-DSA (FIPS 204) for signatures","Pick the crypto function first")))))</f>
        <v/>
      </c>
      <c r="W110" s="16"/>
      <c r="X110" s="18" t="str">
        <f aca="false">IF(A110="","",IF(R110="No",0,IF(LEFT(T110,7)="AT RISK",Assumptions!$C$13,0)+IF(LEFT(U110,3)="Yes",Assumptions!$C$14,0)+IF(F110="Yes",Assumptions!$C$15,0)+IF(G110="Restricted",Assumptions!$C$16,IF(G110="Confidential",Assumptions!$C$17,IF(G110="Internal",Assumptions!$C$18,0)))+IF(OR(N110="Roadmap - verbal only",N110="No roadmap",N110="Not asked yet",N110=""),Assumptions!$C$19,0)+IF(E110="Production",Assumptions!$C$20,0)+IF(AND(ISNUMBER(P110),N(P110)&gt;=Assumptions!$C$22),Assumptions!$C$21,0)))</f>
        <v/>
      </c>
      <c r="Y110" s="18" t="str">
        <f aca="false">IF(X110="","",IF(R110="No","None",IF(X110&gt;=Assumptions!$C$23,"High",IF(X110&gt;=Assumptions!$C$24,"Medium","Low"))))</f>
        <v/>
      </c>
      <c r="Z110" s="16"/>
      <c r="AA110" s="17"/>
      <c r="AB110" s="16"/>
      <c r="AC110" s="18" t="str">
        <f aca="true">IF(OR(AA110="",AB110="Hybrid deployed",AB110="PQC deployed",AB110="Not required (not vulnerable)",AB110="Risk accepted"),"",IF(AA110&lt;TODAY(),"OVERDUE",""))</f>
        <v/>
      </c>
      <c r="AD110" s="18" t="str">
        <f aca="true">IF(A110="","",IF(B110="","Name the system. ","")&amp;IF(LEFT(R110,7)="Unknown","Algorithm unknown - scan or ask the vendor. ","")&amp;IF(AND(R110&lt;&gt;"No",Assumptions!$C$6=""),"Set Z on Assumptions. ","")&amp;IF(AND(R110&lt;&gt;"No",OR(O110="",P110="")),"Enter X and Y. ","")&amp;IF(LEFT(T110,7)="AT RISK","Mosca: X+Y exceeds Z - migration should already be under way. ","")&amp;IF(AND(LEFT(U110,3)="Yes",OR(AB110="",AB110="Not started")),"Harvest-now-decrypt-later exposure and migration not started. ","")&amp;IF(AND(R110&lt;&gt;"No",OR(W110="",W110="To decide")),"Choose a target algorithm. ","")&amp;IF(AND(R110&lt;&gt;"No",W110="Keep - not quantum-vulnerable"),"Target 'Keep' conflicts with a quantum-vulnerable algorithm. ","")&amp;IF(LEFT(J110,5)="SHA-1","SHA-1 is deprecated - replace (NIST IR 8547). ","")&amp;IF(AND(R110&lt;&gt;"No",OR(N110="Roadmap - verbal only",N110="No roadmap",N110="Not asked yet")),"Get a written PQC roadmap from the vendor. ","")&amp;IF(AND(R110&lt;&gt;"No",N110=""),"Record the vendor PQC roadmap status. ","")&amp;IF(ISNUMBER(M110),IF(M110&lt;TODAY(),"Certificate or key expired. ",IF(M110-TODAY()&lt;=Assumptions!$C$25,"Expires soon - use the renewal to revisit the algorithm. ","")),"")&amp;IF(AC110="OVERDUE","Migration overdue. ","")&amp;IF(AND(R110&lt;&gt;"No",Z110=""),"Assign a migration owner. ",""))</f>
        <v/>
      </c>
    </row>
    <row r="111" customFormat="false" ht="15" hidden="false" customHeight="false" outlineLevel="0" collapsed="false">
      <c r="A111" s="16"/>
      <c r="B111" s="16"/>
      <c r="C111" s="16"/>
      <c r="D111" s="16"/>
      <c r="E111" s="16"/>
      <c r="F111" s="16"/>
      <c r="G111" s="16"/>
      <c r="H111" s="16"/>
      <c r="I111" s="16"/>
      <c r="J111" s="16"/>
      <c r="K111" s="16"/>
      <c r="L111" s="16"/>
      <c r="M111" s="17"/>
      <c r="N111" s="16"/>
      <c r="O111" s="16"/>
      <c r="P111" s="16"/>
      <c r="Q111" s="18" t="str">
        <f aca="false">IF(A111="","",IF(J111="","Unknown",IFERROR(INDEX('Algorithm Reference'!$C$6:$C$41,MATCH(J111,'Algorithm Reference'!$B$6:$B$41,0)),"Not in reference")))</f>
        <v/>
      </c>
      <c r="R111" s="18" t="str">
        <f aca="false">IF(A111="","",IF(J111="","Unknown - investigate",IFERROR(INDEX('Algorithm Reference'!$E$6:$E$41,MATCH(J111,'Algorithm Reference'!$B$6:$B$41,0)),"Unknown - investigate")))</f>
        <v/>
      </c>
      <c r="S111" s="18" t="str">
        <f aca="false">IF(OR(O111="",P111=""),"",O111+P111)</f>
        <v/>
      </c>
      <c r="T111" s="18" t="str">
        <f aca="false">IF(A111="","",IF(R111="No","N/A - not quantum-vulnerable",IF(OR(O111="",P111=""),"Enter X and Y",IF(Assumptions!$C$6="","Set Z on Assumptions",IF(O111+P111&gt;Assumptions!$C$6,"AT RISK (X+Y &gt; Z)","Within Z (X+Y &lt;= Z)")))))</f>
        <v/>
      </c>
      <c r="U111" s="18" t="str">
        <f aca="false">IF(A111="","",IF(AND(R111&lt;&gt;"No",OR(I111="Key establishment / encryption in transit",I111="Key wrapping / key transport",I111="Mixed or unknown",I111=""),OR(N(O111)&gt;0,G111="Confidential",G111="Restricted")),IF(F111="Yes","Yes - internet-facing","Yes"),"No"))</f>
        <v/>
      </c>
      <c r="V111" s="18" t="str">
        <f aca="false">IF(A111="","",IF(R111="No","Keep - not quantum-vulnerable (review key size)",IF(I111="Digital signature / authentication","ML-DSA-65 (FIPS 204); SLH-DSA (FIPS 205) if hash-based is preferred",IF(OR(I111="Key establishment / encryption in transit",I111="Key wrapping / key transport"),"ML-KEM-768 (FIPS 203); hybrid X25519MLKEM768 for TLS 1.3",IF(I111="Mixed or unknown","Both: ML-KEM (FIPS 203) for keys, ML-DSA (FIPS 204) for signatures","Pick the crypto function first")))))</f>
        <v/>
      </c>
      <c r="W111" s="16"/>
      <c r="X111" s="18" t="str">
        <f aca="false">IF(A111="","",IF(R111="No",0,IF(LEFT(T111,7)="AT RISK",Assumptions!$C$13,0)+IF(LEFT(U111,3)="Yes",Assumptions!$C$14,0)+IF(F111="Yes",Assumptions!$C$15,0)+IF(G111="Restricted",Assumptions!$C$16,IF(G111="Confidential",Assumptions!$C$17,IF(G111="Internal",Assumptions!$C$18,0)))+IF(OR(N111="Roadmap - verbal only",N111="No roadmap",N111="Not asked yet",N111=""),Assumptions!$C$19,0)+IF(E111="Production",Assumptions!$C$20,0)+IF(AND(ISNUMBER(P111),N(P111)&gt;=Assumptions!$C$22),Assumptions!$C$21,0)))</f>
        <v/>
      </c>
      <c r="Y111" s="18" t="str">
        <f aca="false">IF(X111="","",IF(R111="No","None",IF(X111&gt;=Assumptions!$C$23,"High",IF(X111&gt;=Assumptions!$C$24,"Medium","Low"))))</f>
        <v/>
      </c>
      <c r="Z111" s="16"/>
      <c r="AA111" s="17"/>
      <c r="AB111" s="16"/>
      <c r="AC111" s="18" t="str">
        <f aca="true">IF(OR(AA111="",AB111="Hybrid deployed",AB111="PQC deployed",AB111="Not required (not vulnerable)",AB111="Risk accepted"),"",IF(AA111&lt;TODAY(),"OVERDUE",""))</f>
        <v/>
      </c>
      <c r="AD111" s="18" t="str">
        <f aca="true">IF(A111="","",IF(B111="","Name the system. ","")&amp;IF(LEFT(R111,7)="Unknown","Algorithm unknown - scan or ask the vendor. ","")&amp;IF(AND(R111&lt;&gt;"No",Assumptions!$C$6=""),"Set Z on Assumptions. ","")&amp;IF(AND(R111&lt;&gt;"No",OR(O111="",P111="")),"Enter X and Y. ","")&amp;IF(LEFT(T111,7)="AT RISK","Mosca: X+Y exceeds Z - migration should already be under way. ","")&amp;IF(AND(LEFT(U111,3)="Yes",OR(AB111="",AB111="Not started")),"Harvest-now-decrypt-later exposure and migration not started. ","")&amp;IF(AND(R111&lt;&gt;"No",OR(W111="",W111="To decide")),"Choose a target algorithm. ","")&amp;IF(AND(R111&lt;&gt;"No",W111="Keep - not quantum-vulnerable"),"Target 'Keep' conflicts with a quantum-vulnerable algorithm. ","")&amp;IF(LEFT(J111,5)="SHA-1","SHA-1 is deprecated - replace (NIST IR 8547). ","")&amp;IF(AND(R111&lt;&gt;"No",OR(N111="Roadmap - verbal only",N111="No roadmap",N111="Not asked yet")),"Get a written PQC roadmap from the vendor. ","")&amp;IF(AND(R111&lt;&gt;"No",N111=""),"Record the vendor PQC roadmap status. ","")&amp;IF(ISNUMBER(M111),IF(M111&lt;TODAY(),"Certificate or key expired. ",IF(M111-TODAY()&lt;=Assumptions!$C$25,"Expires soon - use the renewal to revisit the algorithm. ","")),"")&amp;IF(AC111="OVERDUE","Migration overdue. ","")&amp;IF(AND(R111&lt;&gt;"No",Z111=""),"Assign a migration owner. ",""))</f>
        <v/>
      </c>
    </row>
    <row r="112" customFormat="false" ht="15" hidden="false" customHeight="false" outlineLevel="0" collapsed="false">
      <c r="A112" s="16"/>
      <c r="B112" s="16"/>
      <c r="C112" s="16"/>
      <c r="D112" s="16"/>
      <c r="E112" s="16"/>
      <c r="F112" s="16"/>
      <c r="G112" s="16"/>
      <c r="H112" s="16"/>
      <c r="I112" s="16"/>
      <c r="J112" s="16"/>
      <c r="K112" s="16"/>
      <c r="L112" s="16"/>
      <c r="M112" s="17"/>
      <c r="N112" s="16"/>
      <c r="O112" s="16"/>
      <c r="P112" s="16"/>
      <c r="Q112" s="18" t="str">
        <f aca="false">IF(A112="","",IF(J112="","Unknown",IFERROR(INDEX('Algorithm Reference'!$C$6:$C$41,MATCH(J112,'Algorithm Reference'!$B$6:$B$41,0)),"Not in reference")))</f>
        <v/>
      </c>
      <c r="R112" s="18" t="str">
        <f aca="false">IF(A112="","",IF(J112="","Unknown - investigate",IFERROR(INDEX('Algorithm Reference'!$E$6:$E$41,MATCH(J112,'Algorithm Reference'!$B$6:$B$41,0)),"Unknown - investigate")))</f>
        <v/>
      </c>
      <c r="S112" s="18" t="str">
        <f aca="false">IF(OR(O112="",P112=""),"",O112+P112)</f>
        <v/>
      </c>
      <c r="T112" s="18" t="str">
        <f aca="false">IF(A112="","",IF(R112="No","N/A - not quantum-vulnerable",IF(OR(O112="",P112=""),"Enter X and Y",IF(Assumptions!$C$6="","Set Z on Assumptions",IF(O112+P112&gt;Assumptions!$C$6,"AT RISK (X+Y &gt; Z)","Within Z (X+Y &lt;= Z)")))))</f>
        <v/>
      </c>
      <c r="U112" s="18" t="str">
        <f aca="false">IF(A112="","",IF(AND(R112&lt;&gt;"No",OR(I112="Key establishment / encryption in transit",I112="Key wrapping / key transport",I112="Mixed or unknown",I112=""),OR(N(O112)&gt;0,G112="Confidential",G112="Restricted")),IF(F112="Yes","Yes - internet-facing","Yes"),"No"))</f>
        <v/>
      </c>
      <c r="V112" s="18" t="str">
        <f aca="false">IF(A112="","",IF(R112="No","Keep - not quantum-vulnerable (review key size)",IF(I112="Digital signature / authentication","ML-DSA-65 (FIPS 204); SLH-DSA (FIPS 205) if hash-based is preferred",IF(OR(I112="Key establishment / encryption in transit",I112="Key wrapping / key transport"),"ML-KEM-768 (FIPS 203); hybrid X25519MLKEM768 for TLS 1.3",IF(I112="Mixed or unknown","Both: ML-KEM (FIPS 203) for keys, ML-DSA (FIPS 204) for signatures","Pick the crypto function first")))))</f>
        <v/>
      </c>
      <c r="W112" s="16"/>
      <c r="X112" s="18" t="str">
        <f aca="false">IF(A112="","",IF(R112="No",0,IF(LEFT(T112,7)="AT RISK",Assumptions!$C$13,0)+IF(LEFT(U112,3)="Yes",Assumptions!$C$14,0)+IF(F112="Yes",Assumptions!$C$15,0)+IF(G112="Restricted",Assumptions!$C$16,IF(G112="Confidential",Assumptions!$C$17,IF(G112="Internal",Assumptions!$C$18,0)))+IF(OR(N112="Roadmap - verbal only",N112="No roadmap",N112="Not asked yet",N112=""),Assumptions!$C$19,0)+IF(E112="Production",Assumptions!$C$20,0)+IF(AND(ISNUMBER(P112),N(P112)&gt;=Assumptions!$C$22),Assumptions!$C$21,0)))</f>
        <v/>
      </c>
      <c r="Y112" s="18" t="str">
        <f aca="false">IF(X112="","",IF(R112="No","None",IF(X112&gt;=Assumptions!$C$23,"High",IF(X112&gt;=Assumptions!$C$24,"Medium","Low"))))</f>
        <v/>
      </c>
      <c r="Z112" s="16"/>
      <c r="AA112" s="17"/>
      <c r="AB112" s="16"/>
      <c r="AC112" s="18" t="str">
        <f aca="true">IF(OR(AA112="",AB112="Hybrid deployed",AB112="PQC deployed",AB112="Not required (not vulnerable)",AB112="Risk accepted"),"",IF(AA112&lt;TODAY(),"OVERDUE",""))</f>
        <v/>
      </c>
      <c r="AD112" s="18" t="str">
        <f aca="true">IF(A112="","",IF(B112="","Name the system. ","")&amp;IF(LEFT(R112,7)="Unknown","Algorithm unknown - scan or ask the vendor. ","")&amp;IF(AND(R112&lt;&gt;"No",Assumptions!$C$6=""),"Set Z on Assumptions. ","")&amp;IF(AND(R112&lt;&gt;"No",OR(O112="",P112="")),"Enter X and Y. ","")&amp;IF(LEFT(T112,7)="AT RISK","Mosca: X+Y exceeds Z - migration should already be under way. ","")&amp;IF(AND(LEFT(U112,3)="Yes",OR(AB112="",AB112="Not started")),"Harvest-now-decrypt-later exposure and migration not started. ","")&amp;IF(AND(R112&lt;&gt;"No",OR(W112="",W112="To decide")),"Choose a target algorithm. ","")&amp;IF(AND(R112&lt;&gt;"No",W112="Keep - not quantum-vulnerable"),"Target 'Keep' conflicts with a quantum-vulnerable algorithm. ","")&amp;IF(LEFT(J112,5)="SHA-1","SHA-1 is deprecated - replace (NIST IR 8547). ","")&amp;IF(AND(R112&lt;&gt;"No",OR(N112="Roadmap - verbal only",N112="No roadmap",N112="Not asked yet")),"Get a written PQC roadmap from the vendor. ","")&amp;IF(AND(R112&lt;&gt;"No",N112=""),"Record the vendor PQC roadmap status. ","")&amp;IF(ISNUMBER(M112),IF(M112&lt;TODAY(),"Certificate or key expired. ",IF(M112-TODAY()&lt;=Assumptions!$C$25,"Expires soon - use the renewal to revisit the algorithm. ","")),"")&amp;IF(AC112="OVERDUE","Migration overdue. ","")&amp;IF(AND(R112&lt;&gt;"No",Z112=""),"Assign a migration owner. ",""))</f>
        <v/>
      </c>
    </row>
    <row r="113" customFormat="false" ht="15" hidden="false" customHeight="false" outlineLevel="0" collapsed="false">
      <c r="A113" s="16"/>
      <c r="B113" s="16"/>
      <c r="C113" s="16"/>
      <c r="D113" s="16"/>
      <c r="E113" s="16"/>
      <c r="F113" s="16"/>
      <c r="G113" s="16"/>
      <c r="H113" s="16"/>
      <c r="I113" s="16"/>
      <c r="J113" s="16"/>
      <c r="K113" s="16"/>
      <c r="L113" s="16"/>
      <c r="M113" s="17"/>
      <c r="N113" s="16"/>
      <c r="O113" s="16"/>
      <c r="P113" s="16"/>
      <c r="Q113" s="18" t="str">
        <f aca="false">IF(A113="","",IF(J113="","Unknown",IFERROR(INDEX('Algorithm Reference'!$C$6:$C$41,MATCH(J113,'Algorithm Reference'!$B$6:$B$41,0)),"Not in reference")))</f>
        <v/>
      </c>
      <c r="R113" s="18" t="str">
        <f aca="false">IF(A113="","",IF(J113="","Unknown - investigate",IFERROR(INDEX('Algorithm Reference'!$E$6:$E$41,MATCH(J113,'Algorithm Reference'!$B$6:$B$41,0)),"Unknown - investigate")))</f>
        <v/>
      </c>
      <c r="S113" s="18" t="str">
        <f aca="false">IF(OR(O113="",P113=""),"",O113+P113)</f>
        <v/>
      </c>
      <c r="T113" s="18" t="str">
        <f aca="false">IF(A113="","",IF(R113="No","N/A - not quantum-vulnerable",IF(OR(O113="",P113=""),"Enter X and Y",IF(Assumptions!$C$6="","Set Z on Assumptions",IF(O113+P113&gt;Assumptions!$C$6,"AT RISK (X+Y &gt; Z)","Within Z (X+Y &lt;= Z)")))))</f>
        <v/>
      </c>
      <c r="U113" s="18" t="str">
        <f aca="false">IF(A113="","",IF(AND(R113&lt;&gt;"No",OR(I113="Key establishment / encryption in transit",I113="Key wrapping / key transport",I113="Mixed or unknown",I113=""),OR(N(O113)&gt;0,G113="Confidential",G113="Restricted")),IF(F113="Yes","Yes - internet-facing","Yes"),"No"))</f>
        <v/>
      </c>
      <c r="V113" s="18" t="str">
        <f aca="false">IF(A113="","",IF(R113="No","Keep - not quantum-vulnerable (review key size)",IF(I113="Digital signature / authentication","ML-DSA-65 (FIPS 204); SLH-DSA (FIPS 205) if hash-based is preferred",IF(OR(I113="Key establishment / encryption in transit",I113="Key wrapping / key transport"),"ML-KEM-768 (FIPS 203); hybrid X25519MLKEM768 for TLS 1.3",IF(I113="Mixed or unknown","Both: ML-KEM (FIPS 203) for keys, ML-DSA (FIPS 204) for signatures","Pick the crypto function first")))))</f>
        <v/>
      </c>
      <c r="W113" s="16"/>
      <c r="X113" s="18" t="str">
        <f aca="false">IF(A113="","",IF(R113="No",0,IF(LEFT(T113,7)="AT RISK",Assumptions!$C$13,0)+IF(LEFT(U113,3)="Yes",Assumptions!$C$14,0)+IF(F113="Yes",Assumptions!$C$15,0)+IF(G113="Restricted",Assumptions!$C$16,IF(G113="Confidential",Assumptions!$C$17,IF(G113="Internal",Assumptions!$C$18,0)))+IF(OR(N113="Roadmap - verbal only",N113="No roadmap",N113="Not asked yet",N113=""),Assumptions!$C$19,0)+IF(E113="Production",Assumptions!$C$20,0)+IF(AND(ISNUMBER(P113),N(P113)&gt;=Assumptions!$C$22),Assumptions!$C$21,0)))</f>
        <v/>
      </c>
      <c r="Y113" s="18" t="str">
        <f aca="false">IF(X113="","",IF(R113="No","None",IF(X113&gt;=Assumptions!$C$23,"High",IF(X113&gt;=Assumptions!$C$24,"Medium","Low"))))</f>
        <v/>
      </c>
      <c r="Z113" s="16"/>
      <c r="AA113" s="17"/>
      <c r="AB113" s="16"/>
      <c r="AC113" s="18" t="str">
        <f aca="true">IF(OR(AA113="",AB113="Hybrid deployed",AB113="PQC deployed",AB113="Not required (not vulnerable)",AB113="Risk accepted"),"",IF(AA113&lt;TODAY(),"OVERDUE",""))</f>
        <v/>
      </c>
      <c r="AD113" s="18" t="str">
        <f aca="true">IF(A113="","",IF(B113="","Name the system. ","")&amp;IF(LEFT(R113,7)="Unknown","Algorithm unknown - scan or ask the vendor. ","")&amp;IF(AND(R113&lt;&gt;"No",Assumptions!$C$6=""),"Set Z on Assumptions. ","")&amp;IF(AND(R113&lt;&gt;"No",OR(O113="",P113="")),"Enter X and Y. ","")&amp;IF(LEFT(T113,7)="AT RISK","Mosca: X+Y exceeds Z - migration should already be under way. ","")&amp;IF(AND(LEFT(U113,3)="Yes",OR(AB113="",AB113="Not started")),"Harvest-now-decrypt-later exposure and migration not started. ","")&amp;IF(AND(R113&lt;&gt;"No",OR(W113="",W113="To decide")),"Choose a target algorithm. ","")&amp;IF(AND(R113&lt;&gt;"No",W113="Keep - not quantum-vulnerable"),"Target 'Keep' conflicts with a quantum-vulnerable algorithm. ","")&amp;IF(LEFT(J113,5)="SHA-1","SHA-1 is deprecated - replace (NIST IR 8547). ","")&amp;IF(AND(R113&lt;&gt;"No",OR(N113="Roadmap - verbal only",N113="No roadmap",N113="Not asked yet")),"Get a written PQC roadmap from the vendor. ","")&amp;IF(AND(R113&lt;&gt;"No",N113=""),"Record the vendor PQC roadmap status. ","")&amp;IF(ISNUMBER(M113),IF(M113&lt;TODAY(),"Certificate or key expired. ",IF(M113-TODAY()&lt;=Assumptions!$C$25,"Expires soon - use the renewal to revisit the algorithm. ","")),"")&amp;IF(AC113="OVERDUE","Migration overdue. ","")&amp;IF(AND(R113&lt;&gt;"No",Z113=""),"Assign a migration owner. ",""))</f>
        <v/>
      </c>
    </row>
    <row r="114" customFormat="false" ht="15" hidden="false" customHeight="false" outlineLevel="0" collapsed="false">
      <c r="A114" s="16"/>
      <c r="B114" s="16"/>
      <c r="C114" s="16"/>
      <c r="D114" s="16"/>
      <c r="E114" s="16"/>
      <c r="F114" s="16"/>
      <c r="G114" s="16"/>
      <c r="H114" s="16"/>
      <c r="I114" s="16"/>
      <c r="J114" s="16"/>
      <c r="K114" s="16"/>
      <c r="L114" s="16"/>
      <c r="M114" s="17"/>
      <c r="N114" s="16"/>
      <c r="O114" s="16"/>
      <c r="P114" s="16"/>
      <c r="Q114" s="18" t="str">
        <f aca="false">IF(A114="","",IF(J114="","Unknown",IFERROR(INDEX('Algorithm Reference'!$C$6:$C$41,MATCH(J114,'Algorithm Reference'!$B$6:$B$41,0)),"Not in reference")))</f>
        <v/>
      </c>
      <c r="R114" s="18" t="str">
        <f aca="false">IF(A114="","",IF(J114="","Unknown - investigate",IFERROR(INDEX('Algorithm Reference'!$E$6:$E$41,MATCH(J114,'Algorithm Reference'!$B$6:$B$41,0)),"Unknown - investigate")))</f>
        <v/>
      </c>
      <c r="S114" s="18" t="str">
        <f aca="false">IF(OR(O114="",P114=""),"",O114+P114)</f>
        <v/>
      </c>
      <c r="T114" s="18" t="str">
        <f aca="false">IF(A114="","",IF(R114="No","N/A - not quantum-vulnerable",IF(OR(O114="",P114=""),"Enter X and Y",IF(Assumptions!$C$6="","Set Z on Assumptions",IF(O114+P114&gt;Assumptions!$C$6,"AT RISK (X+Y &gt; Z)","Within Z (X+Y &lt;= Z)")))))</f>
        <v/>
      </c>
      <c r="U114" s="18" t="str">
        <f aca="false">IF(A114="","",IF(AND(R114&lt;&gt;"No",OR(I114="Key establishment / encryption in transit",I114="Key wrapping / key transport",I114="Mixed or unknown",I114=""),OR(N(O114)&gt;0,G114="Confidential",G114="Restricted")),IF(F114="Yes","Yes - internet-facing","Yes"),"No"))</f>
        <v/>
      </c>
      <c r="V114" s="18" t="str">
        <f aca="false">IF(A114="","",IF(R114="No","Keep - not quantum-vulnerable (review key size)",IF(I114="Digital signature / authentication","ML-DSA-65 (FIPS 204); SLH-DSA (FIPS 205) if hash-based is preferred",IF(OR(I114="Key establishment / encryption in transit",I114="Key wrapping / key transport"),"ML-KEM-768 (FIPS 203); hybrid X25519MLKEM768 for TLS 1.3",IF(I114="Mixed or unknown","Both: ML-KEM (FIPS 203) for keys, ML-DSA (FIPS 204) for signatures","Pick the crypto function first")))))</f>
        <v/>
      </c>
      <c r="W114" s="16"/>
      <c r="X114" s="18" t="str">
        <f aca="false">IF(A114="","",IF(R114="No",0,IF(LEFT(T114,7)="AT RISK",Assumptions!$C$13,0)+IF(LEFT(U114,3)="Yes",Assumptions!$C$14,0)+IF(F114="Yes",Assumptions!$C$15,0)+IF(G114="Restricted",Assumptions!$C$16,IF(G114="Confidential",Assumptions!$C$17,IF(G114="Internal",Assumptions!$C$18,0)))+IF(OR(N114="Roadmap - verbal only",N114="No roadmap",N114="Not asked yet",N114=""),Assumptions!$C$19,0)+IF(E114="Production",Assumptions!$C$20,0)+IF(AND(ISNUMBER(P114),N(P114)&gt;=Assumptions!$C$22),Assumptions!$C$21,0)))</f>
        <v/>
      </c>
      <c r="Y114" s="18" t="str">
        <f aca="false">IF(X114="","",IF(R114="No","None",IF(X114&gt;=Assumptions!$C$23,"High",IF(X114&gt;=Assumptions!$C$24,"Medium","Low"))))</f>
        <v/>
      </c>
      <c r="Z114" s="16"/>
      <c r="AA114" s="17"/>
      <c r="AB114" s="16"/>
      <c r="AC114" s="18" t="str">
        <f aca="true">IF(OR(AA114="",AB114="Hybrid deployed",AB114="PQC deployed",AB114="Not required (not vulnerable)",AB114="Risk accepted"),"",IF(AA114&lt;TODAY(),"OVERDUE",""))</f>
        <v/>
      </c>
      <c r="AD114" s="18" t="str">
        <f aca="true">IF(A114="","",IF(B114="","Name the system. ","")&amp;IF(LEFT(R114,7)="Unknown","Algorithm unknown - scan or ask the vendor. ","")&amp;IF(AND(R114&lt;&gt;"No",Assumptions!$C$6=""),"Set Z on Assumptions. ","")&amp;IF(AND(R114&lt;&gt;"No",OR(O114="",P114="")),"Enter X and Y. ","")&amp;IF(LEFT(T114,7)="AT RISK","Mosca: X+Y exceeds Z - migration should already be under way. ","")&amp;IF(AND(LEFT(U114,3)="Yes",OR(AB114="",AB114="Not started")),"Harvest-now-decrypt-later exposure and migration not started. ","")&amp;IF(AND(R114&lt;&gt;"No",OR(W114="",W114="To decide")),"Choose a target algorithm. ","")&amp;IF(AND(R114&lt;&gt;"No",W114="Keep - not quantum-vulnerable"),"Target 'Keep' conflicts with a quantum-vulnerable algorithm. ","")&amp;IF(LEFT(J114,5)="SHA-1","SHA-1 is deprecated - replace (NIST IR 8547). ","")&amp;IF(AND(R114&lt;&gt;"No",OR(N114="Roadmap - verbal only",N114="No roadmap",N114="Not asked yet")),"Get a written PQC roadmap from the vendor. ","")&amp;IF(AND(R114&lt;&gt;"No",N114=""),"Record the vendor PQC roadmap status. ","")&amp;IF(ISNUMBER(M114),IF(M114&lt;TODAY(),"Certificate or key expired. ",IF(M114-TODAY()&lt;=Assumptions!$C$25,"Expires soon - use the renewal to revisit the algorithm. ","")),"")&amp;IF(AC114="OVERDUE","Migration overdue. ","")&amp;IF(AND(R114&lt;&gt;"No",Z114=""),"Assign a migration owner. ",""))</f>
        <v/>
      </c>
    </row>
    <row r="115" customFormat="false" ht="15" hidden="false" customHeight="false" outlineLevel="0" collapsed="false">
      <c r="A115" s="16"/>
      <c r="B115" s="16"/>
      <c r="C115" s="16"/>
      <c r="D115" s="16"/>
      <c r="E115" s="16"/>
      <c r="F115" s="16"/>
      <c r="G115" s="16"/>
      <c r="H115" s="16"/>
      <c r="I115" s="16"/>
      <c r="J115" s="16"/>
      <c r="K115" s="16"/>
      <c r="L115" s="16"/>
      <c r="M115" s="17"/>
      <c r="N115" s="16"/>
      <c r="O115" s="16"/>
      <c r="P115" s="16"/>
      <c r="Q115" s="18" t="str">
        <f aca="false">IF(A115="","",IF(J115="","Unknown",IFERROR(INDEX('Algorithm Reference'!$C$6:$C$41,MATCH(J115,'Algorithm Reference'!$B$6:$B$41,0)),"Not in reference")))</f>
        <v/>
      </c>
      <c r="R115" s="18" t="str">
        <f aca="false">IF(A115="","",IF(J115="","Unknown - investigate",IFERROR(INDEX('Algorithm Reference'!$E$6:$E$41,MATCH(J115,'Algorithm Reference'!$B$6:$B$41,0)),"Unknown - investigate")))</f>
        <v/>
      </c>
      <c r="S115" s="18" t="str">
        <f aca="false">IF(OR(O115="",P115=""),"",O115+P115)</f>
        <v/>
      </c>
      <c r="T115" s="18" t="str">
        <f aca="false">IF(A115="","",IF(R115="No","N/A - not quantum-vulnerable",IF(OR(O115="",P115=""),"Enter X and Y",IF(Assumptions!$C$6="","Set Z on Assumptions",IF(O115+P115&gt;Assumptions!$C$6,"AT RISK (X+Y &gt; Z)","Within Z (X+Y &lt;= Z)")))))</f>
        <v/>
      </c>
      <c r="U115" s="18" t="str">
        <f aca="false">IF(A115="","",IF(AND(R115&lt;&gt;"No",OR(I115="Key establishment / encryption in transit",I115="Key wrapping / key transport",I115="Mixed or unknown",I115=""),OR(N(O115)&gt;0,G115="Confidential",G115="Restricted")),IF(F115="Yes","Yes - internet-facing","Yes"),"No"))</f>
        <v/>
      </c>
      <c r="V115" s="18" t="str">
        <f aca="false">IF(A115="","",IF(R115="No","Keep - not quantum-vulnerable (review key size)",IF(I115="Digital signature / authentication","ML-DSA-65 (FIPS 204); SLH-DSA (FIPS 205) if hash-based is preferred",IF(OR(I115="Key establishment / encryption in transit",I115="Key wrapping / key transport"),"ML-KEM-768 (FIPS 203); hybrid X25519MLKEM768 for TLS 1.3",IF(I115="Mixed or unknown","Both: ML-KEM (FIPS 203) for keys, ML-DSA (FIPS 204) for signatures","Pick the crypto function first")))))</f>
        <v/>
      </c>
      <c r="W115" s="16"/>
      <c r="X115" s="18" t="str">
        <f aca="false">IF(A115="","",IF(R115="No",0,IF(LEFT(T115,7)="AT RISK",Assumptions!$C$13,0)+IF(LEFT(U115,3)="Yes",Assumptions!$C$14,0)+IF(F115="Yes",Assumptions!$C$15,0)+IF(G115="Restricted",Assumptions!$C$16,IF(G115="Confidential",Assumptions!$C$17,IF(G115="Internal",Assumptions!$C$18,0)))+IF(OR(N115="Roadmap - verbal only",N115="No roadmap",N115="Not asked yet",N115=""),Assumptions!$C$19,0)+IF(E115="Production",Assumptions!$C$20,0)+IF(AND(ISNUMBER(P115),N(P115)&gt;=Assumptions!$C$22),Assumptions!$C$21,0)))</f>
        <v/>
      </c>
      <c r="Y115" s="18" t="str">
        <f aca="false">IF(X115="","",IF(R115="No","None",IF(X115&gt;=Assumptions!$C$23,"High",IF(X115&gt;=Assumptions!$C$24,"Medium","Low"))))</f>
        <v/>
      </c>
      <c r="Z115" s="16"/>
      <c r="AA115" s="17"/>
      <c r="AB115" s="16"/>
      <c r="AC115" s="18" t="str">
        <f aca="true">IF(OR(AA115="",AB115="Hybrid deployed",AB115="PQC deployed",AB115="Not required (not vulnerable)",AB115="Risk accepted"),"",IF(AA115&lt;TODAY(),"OVERDUE",""))</f>
        <v/>
      </c>
      <c r="AD115" s="18" t="str">
        <f aca="true">IF(A115="","",IF(B115="","Name the system. ","")&amp;IF(LEFT(R115,7)="Unknown","Algorithm unknown - scan or ask the vendor. ","")&amp;IF(AND(R115&lt;&gt;"No",Assumptions!$C$6=""),"Set Z on Assumptions. ","")&amp;IF(AND(R115&lt;&gt;"No",OR(O115="",P115="")),"Enter X and Y. ","")&amp;IF(LEFT(T115,7)="AT RISK","Mosca: X+Y exceeds Z - migration should already be under way. ","")&amp;IF(AND(LEFT(U115,3)="Yes",OR(AB115="",AB115="Not started")),"Harvest-now-decrypt-later exposure and migration not started. ","")&amp;IF(AND(R115&lt;&gt;"No",OR(W115="",W115="To decide")),"Choose a target algorithm. ","")&amp;IF(AND(R115&lt;&gt;"No",W115="Keep - not quantum-vulnerable"),"Target 'Keep' conflicts with a quantum-vulnerable algorithm. ","")&amp;IF(LEFT(J115,5)="SHA-1","SHA-1 is deprecated - replace (NIST IR 8547). ","")&amp;IF(AND(R115&lt;&gt;"No",OR(N115="Roadmap - verbal only",N115="No roadmap",N115="Not asked yet")),"Get a written PQC roadmap from the vendor. ","")&amp;IF(AND(R115&lt;&gt;"No",N115=""),"Record the vendor PQC roadmap status. ","")&amp;IF(ISNUMBER(M115),IF(M115&lt;TODAY(),"Certificate or key expired. ",IF(M115-TODAY()&lt;=Assumptions!$C$25,"Expires soon - use the renewal to revisit the algorithm. ","")),"")&amp;IF(AC115="OVERDUE","Migration overdue. ","")&amp;IF(AND(R115&lt;&gt;"No",Z115=""),"Assign a migration owner. ",""))</f>
        <v/>
      </c>
    </row>
    <row r="116" customFormat="false" ht="15" hidden="false" customHeight="false" outlineLevel="0" collapsed="false">
      <c r="A116" s="16"/>
      <c r="B116" s="16"/>
      <c r="C116" s="16"/>
      <c r="D116" s="16"/>
      <c r="E116" s="16"/>
      <c r="F116" s="16"/>
      <c r="G116" s="16"/>
      <c r="H116" s="16"/>
      <c r="I116" s="16"/>
      <c r="J116" s="16"/>
      <c r="K116" s="16"/>
      <c r="L116" s="16"/>
      <c r="M116" s="17"/>
      <c r="N116" s="16"/>
      <c r="O116" s="16"/>
      <c r="P116" s="16"/>
      <c r="Q116" s="18" t="str">
        <f aca="false">IF(A116="","",IF(J116="","Unknown",IFERROR(INDEX('Algorithm Reference'!$C$6:$C$41,MATCH(J116,'Algorithm Reference'!$B$6:$B$41,0)),"Not in reference")))</f>
        <v/>
      </c>
      <c r="R116" s="18" t="str">
        <f aca="false">IF(A116="","",IF(J116="","Unknown - investigate",IFERROR(INDEX('Algorithm Reference'!$E$6:$E$41,MATCH(J116,'Algorithm Reference'!$B$6:$B$41,0)),"Unknown - investigate")))</f>
        <v/>
      </c>
      <c r="S116" s="18" t="str">
        <f aca="false">IF(OR(O116="",P116=""),"",O116+P116)</f>
        <v/>
      </c>
      <c r="T116" s="18" t="str">
        <f aca="false">IF(A116="","",IF(R116="No","N/A - not quantum-vulnerable",IF(OR(O116="",P116=""),"Enter X and Y",IF(Assumptions!$C$6="","Set Z on Assumptions",IF(O116+P116&gt;Assumptions!$C$6,"AT RISK (X+Y &gt; Z)","Within Z (X+Y &lt;= Z)")))))</f>
        <v/>
      </c>
      <c r="U116" s="18" t="str">
        <f aca="false">IF(A116="","",IF(AND(R116&lt;&gt;"No",OR(I116="Key establishment / encryption in transit",I116="Key wrapping / key transport",I116="Mixed or unknown",I116=""),OR(N(O116)&gt;0,G116="Confidential",G116="Restricted")),IF(F116="Yes","Yes - internet-facing","Yes"),"No"))</f>
        <v/>
      </c>
      <c r="V116" s="18" t="str">
        <f aca="false">IF(A116="","",IF(R116="No","Keep - not quantum-vulnerable (review key size)",IF(I116="Digital signature / authentication","ML-DSA-65 (FIPS 204); SLH-DSA (FIPS 205) if hash-based is preferred",IF(OR(I116="Key establishment / encryption in transit",I116="Key wrapping / key transport"),"ML-KEM-768 (FIPS 203); hybrid X25519MLKEM768 for TLS 1.3",IF(I116="Mixed or unknown","Both: ML-KEM (FIPS 203) for keys, ML-DSA (FIPS 204) for signatures","Pick the crypto function first")))))</f>
        <v/>
      </c>
      <c r="W116" s="16"/>
      <c r="X116" s="18" t="str">
        <f aca="false">IF(A116="","",IF(R116="No",0,IF(LEFT(T116,7)="AT RISK",Assumptions!$C$13,0)+IF(LEFT(U116,3)="Yes",Assumptions!$C$14,0)+IF(F116="Yes",Assumptions!$C$15,0)+IF(G116="Restricted",Assumptions!$C$16,IF(G116="Confidential",Assumptions!$C$17,IF(G116="Internal",Assumptions!$C$18,0)))+IF(OR(N116="Roadmap - verbal only",N116="No roadmap",N116="Not asked yet",N116=""),Assumptions!$C$19,0)+IF(E116="Production",Assumptions!$C$20,0)+IF(AND(ISNUMBER(P116),N(P116)&gt;=Assumptions!$C$22),Assumptions!$C$21,0)))</f>
        <v/>
      </c>
      <c r="Y116" s="18" t="str">
        <f aca="false">IF(X116="","",IF(R116="No","None",IF(X116&gt;=Assumptions!$C$23,"High",IF(X116&gt;=Assumptions!$C$24,"Medium","Low"))))</f>
        <v/>
      </c>
      <c r="Z116" s="16"/>
      <c r="AA116" s="17"/>
      <c r="AB116" s="16"/>
      <c r="AC116" s="18" t="str">
        <f aca="true">IF(OR(AA116="",AB116="Hybrid deployed",AB116="PQC deployed",AB116="Not required (not vulnerable)",AB116="Risk accepted"),"",IF(AA116&lt;TODAY(),"OVERDUE",""))</f>
        <v/>
      </c>
      <c r="AD116" s="18" t="str">
        <f aca="true">IF(A116="","",IF(B116="","Name the system. ","")&amp;IF(LEFT(R116,7)="Unknown","Algorithm unknown - scan or ask the vendor. ","")&amp;IF(AND(R116&lt;&gt;"No",Assumptions!$C$6=""),"Set Z on Assumptions. ","")&amp;IF(AND(R116&lt;&gt;"No",OR(O116="",P116="")),"Enter X and Y. ","")&amp;IF(LEFT(T116,7)="AT RISK","Mosca: X+Y exceeds Z - migration should already be under way. ","")&amp;IF(AND(LEFT(U116,3)="Yes",OR(AB116="",AB116="Not started")),"Harvest-now-decrypt-later exposure and migration not started. ","")&amp;IF(AND(R116&lt;&gt;"No",OR(W116="",W116="To decide")),"Choose a target algorithm. ","")&amp;IF(AND(R116&lt;&gt;"No",W116="Keep - not quantum-vulnerable"),"Target 'Keep' conflicts with a quantum-vulnerable algorithm. ","")&amp;IF(LEFT(J116,5)="SHA-1","SHA-1 is deprecated - replace (NIST IR 8547). ","")&amp;IF(AND(R116&lt;&gt;"No",OR(N116="Roadmap - verbal only",N116="No roadmap",N116="Not asked yet")),"Get a written PQC roadmap from the vendor. ","")&amp;IF(AND(R116&lt;&gt;"No",N116=""),"Record the vendor PQC roadmap status. ","")&amp;IF(ISNUMBER(M116),IF(M116&lt;TODAY(),"Certificate or key expired. ",IF(M116-TODAY()&lt;=Assumptions!$C$25,"Expires soon - use the renewal to revisit the algorithm. ","")),"")&amp;IF(AC116="OVERDUE","Migration overdue. ","")&amp;IF(AND(R116&lt;&gt;"No",Z116=""),"Assign a migration owner. ",""))</f>
        <v/>
      </c>
    </row>
    <row r="117" customFormat="false" ht="15" hidden="false" customHeight="false" outlineLevel="0" collapsed="false">
      <c r="A117" s="16"/>
      <c r="B117" s="16"/>
      <c r="C117" s="16"/>
      <c r="D117" s="16"/>
      <c r="E117" s="16"/>
      <c r="F117" s="16"/>
      <c r="G117" s="16"/>
      <c r="H117" s="16"/>
      <c r="I117" s="16"/>
      <c r="J117" s="16"/>
      <c r="K117" s="16"/>
      <c r="L117" s="16"/>
      <c r="M117" s="17"/>
      <c r="N117" s="16"/>
      <c r="O117" s="16"/>
      <c r="P117" s="16"/>
      <c r="Q117" s="18" t="str">
        <f aca="false">IF(A117="","",IF(J117="","Unknown",IFERROR(INDEX('Algorithm Reference'!$C$6:$C$41,MATCH(J117,'Algorithm Reference'!$B$6:$B$41,0)),"Not in reference")))</f>
        <v/>
      </c>
      <c r="R117" s="18" t="str">
        <f aca="false">IF(A117="","",IF(J117="","Unknown - investigate",IFERROR(INDEX('Algorithm Reference'!$E$6:$E$41,MATCH(J117,'Algorithm Reference'!$B$6:$B$41,0)),"Unknown - investigate")))</f>
        <v/>
      </c>
      <c r="S117" s="18" t="str">
        <f aca="false">IF(OR(O117="",P117=""),"",O117+P117)</f>
        <v/>
      </c>
      <c r="T117" s="18" t="str">
        <f aca="false">IF(A117="","",IF(R117="No","N/A - not quantum-vulnerable",IF(OR(O117="",P117=""),"Enter X and Y",IF(Assumptions!$C$6="","Set Z on Assumptions",IF(O117+P117&gt;Assumptions!$C$6,"AT RISK (X+Y &gt; Z)","Within Z (X+Y &lt;= Z)")))))</f>
        <v/>
      </c>
      <c r="U117" s="18" t="str">
        <f aca="false">IF(A117="","",IF(AND(R117&lt;&gt;"No",OR(I117="Key establishment / encryption in transit",I117="Key wrapping / key transport",I117="Mixed or unknown",I117=""),OR(N(O117)&gt;0,G117="Confidential",G117="Restricted")),IF(F117="Yes","Yes - internet-facing","Yes"),"No"))</f>
        <v/>
      </c>
      <c r="V117" s="18" t="str">
        <f aca="false">IF(A117="","",IF(R117="No","Keep - not quantum-vulnerable (review key size)",IF(I117="Digital signature / authentication","ML-DSA-65 (FIPS 204); SLH-DSA (FIPS 205) if hash-based is preferred",IF(OR(I117="Key establishment / encryption in transit",I117="Key wrapping / key transport"),"ML-KEM-768 (FIPS 203); hybrid X25519MLKEM768 for TLS 1.3",IF(I117="Mixed or unknown","Both: ML-KEM (FIPS 203) for keys, ML-DSA (FIPS 204) for signatures","Pick the crypto function first")))))</f>
        <v/>
      </c>
      <c r="W117" s="16"/>
      <c r="X117" s="18" t="str">
        <f aca="false">IF(A117="","",IF(R117="No",0,IF(LEFT(T117,7)="AT RISK",Assumptions!$C$13,0)+IF(LEFT(U117,3)="Yes",Assumptions!$C$14,0)+IF(F117="Yes",Assumptions!$C$15,0)+IF(G117="Restricted",Assumptions!$C$16,IF(G117="Confidential",Assumptions!$C$17,IF(G117="Internal",Assumptions!$C$18,0)))+IF(OR(N117="Roadmap - verbal only",N117="No roadmap",N117="Not asked yet",N117=""),Assumptions!$C$19,0)+IF(E117="Production",Assumptions!$C$20,0)+IF(AND(ISNUMBER(P117),N(P117)&gt;=Assumptions!$C$22),Assumptions!$C$21,0)))</f>
        <v/>
      </c>
      <c r="Y117" s="18" t="str">
        <f aca="false">IF(X117="","",IF(R117="No","None",IF(X117&gt;=Assumptions!$C$23,"High",IF(X117&gt;=Assumptions!$C$24,"Medium","Low"))))</f>
        <v/>
      </c>
      <c r="Z117" s="16"/>
      <c r="AA117" s="17"/>
      <c r="AB117" s="16"/>
      <c r="AC117" s="18" t="str">
        <f aca="true">IF(OR(AA117="",AB117="Hybrid deployed",AB117="PQC deployed",AB117="Not required (not vulnerable)",AB117="Risk accepted"),"",IF(AA117&lt;TODAY(),"OVERDUE",""))</f>
        <v/>
      </c>
      <c r="AD117" s="18" t="str">
        <f aca="true">IF(A117="","",IF(B117="","Name the system. ","")&amp;IF(LEFT(R117,7)="Unknown","Algorithm unknown - scan or ask the vendor. ","")&amp;IF(AND(R117&lt;&gt;"No",Assumptions!$C$6=""),"Set Z on Assumptions. ","")&amp;IF(AND(R117&lt;&gt;"No",OR(O117="",P117="")),"Enter X and Y. ","")&amp;IF(LEFT(T117,7)="AT RISK","Mosca: X+Y exceeds Z - migration should already be under way. ","")&amp;IF(AND(LEFT(U117,3)="Yes",OR(AB117="",AB117="Not started")),"Harvest-now-decrypt-later exposure and migration not started. ","")&amp;IF(AND(R117&lt;&gt;"No",OR(W117="",W117="To decide")),"Choose a target algorithm. ","")&amp;IF(AND(R117&lt;&gt;"No",W117="Keep - not quantum-vulnerable"),"Target 'Keep' conflicts with a quantum-vulnerable algorithm. ","")&amp;IF(LEFT(J117,5)="SHA-1","SHA-1 is deprecated - replace (NIST IR 8547). ","")&amp;IF(AND(R117&lt;&gt;"No",OR(N117="Roadmap - verbal only",N117="No roadmap",N117="Not asked yet")),"Get a written PQC roadmap from the vendor. ","")&amp;IF(AND(R117&lt;&gt;"No",N117=""),"Record the vendor PQC roadmap status. ","")&amp;IF(ISNUMBER(M117),IF(M117&lt;TODAY(),"Certificate or key expired. ",IF(M117-TODAY()&lt;=Assumptions!$C$25,"Expires soon - use the renewal to revisit the algorithm. ","")),"")&amp;IF(AC117="OVERDUE","Migration overdue. ","")&amp;IF(AND(R117&lt;&gt;"No",Z117=""),"Assign a migration owner. ",""))</f>
        <v/>
      </c>
    </row>
    <row r="118" customFormat="false" ht="15" hidden="false" customHeight="false" outlineLevel="0" collapsed="false">
      <c r="A118" s="16"/>
      <c r="B118" s="16"/>
      <c r="C118" s="16"/>
      <c r="D118" s="16"/>
      <c r="E118" s="16"/>
      <c r="F118" s="16"/>
      <c r="G118" s="16"/>
      <c r="H118" s="16"/>
      <c r="I118" s="16"/>
      <c r="J118" s="16"/>
      <c r="K118" s="16"/>
      <c r="L118" s="16"/>
      <c r="M118" s="17"/>
      <c r="N118" s="16"/>
      <c r="O118" s="16"/>
      <c r="P118" s="16"/>
      <c r="Q118" s="18" t="str">
        <f aca="false">IF(A118="","",IF(J118="","Unknown",IFERROR(INDEX('Algorithm Reference'!$C$6:$C$41,MATCH(J118,'Algorithm Reference'!$B$6:$B$41,0)),"Not in reference")))</f>
        <v/>
      </c>
      <c r="R118" s="18" t="str">
        <f aca="false">IF(A118="","",IF(J118="","Unknown - investigate",IFERROR(INDEX('Algorithm Reference'!$E$6:$E$41,MATCH(J118,'Algorithm Reference'!$B$6:$B$41,0)),"Unknown - investigate")))</f>
        <v/>
      </c>
      <c r="S118" s="18" t="str">
        <f aca="false">IF(OR(O118="",P118=""),"",O118+P118)</f>
        <v/>
      </c>
      <c r="T118" s="18" t="str">
        <f aca="false">IF(A118="","",IF(R118="No","N/A - not quantum-vulnerable",IF(OR(O118="",P118=""),"Enter X and Y",IF(Assumptions!$C$6="","Set Z on Assumptions",IF(O118+P118&gt;Assumptions!$C$6,"AT RISK (X+Y &gt; Z)","Within Z (X+Y &lt;= Z)")))))</f>
        <v/>
      </c>
      <c r="U118" s="18" t="str">
        <f aca="false">IF(A118="","",IF(AND(R118&lt;&gt;"No",OR(I118="Key establishment / encryption in transit",I118="Key wrapping / key transport",I118="Mixed or unknown",I118=""),OR(N(O118)&gt;0,G118="Confidential",G118="Restricted")),IF(F118="Yes","Yes - internet-facing","Yes"),"No"))</f>
        <v/>
      </c>
      <c r="V118" s="18" t="str">
        <f aca="false">IF(A118="","",IF(R118="No","Keep - not quantum-vulnerable (review key size)",IF(I118="Digital signature / authentication","ML-DSA-65 (FIPS 204); SLH-DSA (FIPS 205) if hash-based is preferred",IF(OR(I118="Key establishment / encryption in transit",I118="Key wrapping / key transport"),"ML-KEM-768 (FIPS 203); hybrid X25519MLKEM768 for TLS 1.3",IF(I118="Mixed or unknown","Both: ML-KEM (FIPS 203) for keys, ML-DSA (FIPS 204) for signatures","Pick the crypto function first")))))</f>
        <v/>
      </c>
      <c r="W118" s="16"/>
      <c r="X118" s="18" t="str">
        <f aca="false">IF(A118="","",IF(R118="No",0,IF(LEFT(T118,7)="AT RISK",Assumptions!$C$13,0)+IF(LEFT(U118,3)="Yes",Assumptions!$C$14,0)+IF(F118="Yes",Assumptions!$C$15,0)+IF(G118="Restricted",Assumptions!$C$16,IF(G118="Confidential",Assumptions!$C$17,IF(G118="Internal",Assumptions!$C$18,0)))+IF(OR(N118="Roadmap - verbal only",N118="No roadmap",N118="Not asked yet",N118=""),Assumptions!$C$19,0)+IF(E118="Production",Assumptions!$C$20,0)+IF(AND(ISNUMBER(P118),N(P118)&gt;=Assumptions!$C$22),Assumptions!$C$21,0)))</f>
        <v/>
      </c>
      <c r="Y118" s="18" t="str">
        <f aca="false">IF(X118="","",IF(R118="No","None",IF(X118&gt;=Assumptions!$C$23,"High",IF(X118&gt;=Assumptions!$C$24,"Medium","Low"))))</f>
        <v/>
      </c>
      <c r="Z118" s="16"/>
      <c r="AA118" s="17"/>
      <c r="AB118" s="16"/>
      <c r="AC118" s="18" t="str">
        <f aca="true">IF(OR(AA118="",AB118="Hybrid deployed",AB118="PQC deployed",AB118="Not required (not vulnerable)",AB118="Risk accepted"),"",IF(AA118&lt;TODAY(),"OVERDUE",""))</f>
        <v/>
      </c>
      <c r="AD118" s="18" t="str">
        <f aca="true">IF(A118="","",IF(B118="","Name the system. ","")&amp;IF(LEFT(R118,7)="Unknown","Algorithm unknown - scan or ask the vendor. ","")&amp;IF(AND(R118&lt;&gt;"No",Assumptions!$C$6=""),"Set Z on Assumptions. ","")&amp;IF(AND(R118&lt;&gt;"No",OR(O118="",P118="")),"Enter X and Y. ","")&amp;IF(LEFT(T118,7)="AT RISK","Mosca: X+Y exceeds Z - migration should already be under way. ","")&amp;IF(AND(LEFT(U118,3)="Yes",OR(AB118="",AB118="Not started")),"Harvest-now-decrypt-later exposure and migration not started. ","")&amp;IF(AND(R118&lt;&gt;"No",OR(W118="",W118="To decide")),"Choose a target algorithm. ","")&amp;IF(AND(R118&lt;&gt;"No",W118="Keep - not quantum-vulnerable"),"Target 'Keep' conflicts with a quantum-vulnerable algorithm. ","")&amp;IF(LEFT(J118,5)="SHA-1","SHA-1 is deprecated - replace (NIST IR 8547). ","")&amp;IF(AND(R118&lt;&gt;"No",OR(N118="Roadmap - verbal only",N118="No roadmap",N118="Not asked yet")),"Get a written PQC roadmap from the vendor. ","")&amp;IF(AND(R118&lt;&gt;"No",N118=""),"Record the vendor PQC roadmap status. ","")&amp;IF(ISNUMBER(M118),IF(M118&lt;TODAY(),"Certificate or key expired. ",IF(M118-TODAY()&lt;=Assumptions!$C$25,"Expires soon - use the renewal to revisit the algorithm. ","")),"")&amp;IF(AC118="OVERDUE","Migration overdue. ","")&amp;IF(AND(R118&lt;&gt;"No",Z118=""),"Assign a migration owner. ",""))</f>
        <v/>
      </c>
    </row>
    <row r="119" customFormat="false" ht="15" hidden="false" customHeight="false" outlineLevel="0" collapsed="false">
      <c r="A119" s="16"/>
      <c r="B119" s="16"/>
      <c r="C119" s="16"/>
      <c r="D119" s="16"/>
      <c r="E119" s="16"/>
      <c r="F119" s="16"/>
      <c r="G119" s="16"/>
      <c r="H119" s="16"/>
      <c r="I119" s="16"/>
      <c r="J119" s="16"/>
      <c r="K119" s="16"/>
      <c r="L119" s="16"/>
      <c r="M119" s="17"/>
      <c r="N119" s="16"/>
      <c r="O119" s="16"/>
      <c r="P119" s="16"/>
      <c r="Q119" s="18" t="str">
        <f aca="false">IF(A119="","",IF(J119="","Unknown",IFERROR(INDEX('Algorithm Reference'!$C$6:$C$41,MATCH(J119,'Algorithm Reference'!$B$6:$B$41,0)),"Not in reference")))</f>
        <v/>
      </c>
      <c r="R119" s="18" t="str">
        <f aca="false">IF(A119="","",IF(J119="","Unknown - investigate",IFERROR(INDEX('Algorithm Reference'!$E$6:$E$41,MATCH(J119,'Algorithm Reference'!$B$6:$B$41,0)),"Unknown - investigate")))</f>
        <v/>
      </c>
      <c r="S119" s="18" t="str">
        <f aca="false">IF(OR(O119="",P119=""),"",O119+P119)</f>
        <v/>
      </c>
      <c r="T119" s="18" t="str">
        <f aca="false">IF(A119="","",IF(R119="No","N/A - not quantum-vulnerable",IF(OR(O119="",P119=""),"Enter X and Y",IF(Assumptions!$C$6="","Set Z on Assumptions",IF(O119+P119&gt;Assumptions!$C$6,"AT RISK (X+Y &gt; Z)","Within Z (X+Y &lt;= Z)")))))</f>
        <v/>
      </c>
      <c r="U119" s="18" t="str">
        <f aca="false">IF(A119="","",IF(AND(R119&lt;&gt;"No",OR(I119="Key establishment / encryption in transit",I119="Key wrapping / key transport",I119="Mixed or unknown",I119=""),OR(N(O119)&gt;0,G119="Confidential",G119="Restricted")),IF(F119="Yes","Yes - internet-facing","Yes"),"No"))</f>
        <v/>
      </c>
      <c r="V119" s="18" t="str">
        <f aca="false">IF(A119="","",IF(R119="No","Keep - not quantum-vulnerable (review key size)",IF(I119="Digital signature / authentication","ML-DSA-65 (FIPS 204); SLH-DSA (FIPS 205) if hash-based is preferred",IF(OR(I119="Key establishment / encryption in transit",I119="Key wrapping / key transport"),"ML-KEM-768 (FIPS 203); hybrid X25519MLKEM768 for TLS 1.3",IF(I119="Mixed or unknown","Both: ML-KEM (FIPS 203) for keys, ML-DSA (FIPS 204) for signatures","Pick the crypto function first")))))</f>
        <v/>
      </c>
      <c r="W119" s="16"/>
      <c r="X119" s="18" t="str">
        <f aca="false">IF(A119="","",IF(R119="No",0,IF(LEFT(T119,7)="AT RISK",Assumptions!$C$13,0)+IF(LEFT(U119,3)="Yes",Assumptions!$C$14,0)+IF(F119="Yes",Assumptions!$C$15,0)+IF(G119="Restricted",Assumptions!$C$16,IF(G119="Confidential",Assumptions!$C$17,IF(G119="Internal",Assumptions!$C$18,0)))+IF(OR(N119="Roadmap - verbal only",N119="No roadmap",N119="Not asked yet",N119=""),Assumptions!$C$19,0)+IF(E119="Production",Assumptions!$C$20,0)+IF(AND(ISNUMBER(P119),N(P119)&gt;=Assumptions!$C$22),Assumptions!$C$21,0)))</f>
        <v/>
      </c>
      <c r="Y119" s="18" t="str">
        <f aca="false">IF(X119="","",IF(R119="No","None",IF(X119&gt;=Assumptions!$C$23,"High",IF(X119&gt;=Assumptions!$C$24,"Medium","Low"))))</f>
        <v/>
      </c>
      <c r="Z119" s="16"/>
      <c r="AA119" s="17"/>
      <c r="AB119" s="16"/>
      <c r="AC119" s="18" t="str">
        <f aca="true">IF(OR(AA119="",AB119="Hybrid deployed",AB119="PQC deployed",AB119="Not required (not vulnerable)",AB119="Risk accepted"),"",IF(AA119&lt;TODAY(),"OVERDUE",""))</f>
        <v/>
      </c>
      <c r="AD119" s="18" t="str">
        <f aca="true">IF(A119="","",IF(B119="","Name the system. ","")&amp;IF(LEFT(R119,7)="Unknown","Algorithm unknown - scan or ask the vendor. ","")&amp;IF(AND(R119&lt;&gt;"No",Assumptions!$C$6=""),"Set Z on Assumptions. ","")&amp;IF(AND(R119&lt;&gt;"No",OR(O119="",P119="")),"Enter X and Y. ","")&amp;IF(LEFT(T119,7)="AT RISK","Mosca: X+Y exceeds Z - migration should already be under way. ","")&amp;IF(AND(LEFT(U119,3)="Yes",OR(AB119="",AB119="Not started")),"Harvest-now-decrypt-later exposure and migration not started. ","")&amp;IF(AND(R119&lt;&gt;"No",OR(W119="",W119="To decide")),"Choose a target algorithm. ","")&amp;IF(AND(R119&lt;&gt;"No",W119="Keep - not quantum-vulnerable"),"Target 'Keep' conflicts with a quantum-vulnerable algorithm. ","")&amp;IF(LEFT(J119,5)="SHA-1","SHA-1 is deprecated - replace (NIST IR 8547). ","")&amp;IF(AND(R119&lt;&gt;"No",OR(N119="Roadmap - verbal only",N119="No roadmap",N119="Not asked yet")),"Get a written PQC roadmap from the vendor. ","")&amp;IF(AND(R119&lt;&gt;"No",N119=""),"Record the vendor PQC roadmap status. ","")&amp;IF(ISNUMBER(M119),IF(M119&lt;TODAY(),"Certificate or key expired. ",IF(M119-TODAY()&lt;=Assumptions!$C$25,"Expires soon - use the renewal to revisit the algorithm. ","")),"")&amp;IF(AC119="OVERDUE","Migration overdue. ","")&amp;IF(AND(R119&lt;&gt;"No",Z119=""),"Assign a migration owner. ",""))</f>
        <v/>
      </c>
    </row>
    <row r="120" customFormat="false" ht="15" hidden="false" customHeight="false" outlineLevel="0" collapsed="false">
      <c r="A120" s="16"/>
      <c r="B120" s="16"/>
      <c r="C120" s="16"/>
      <c r="D120" s="16"/>
      <c r="E120" s="16"/>
      <c r="F120" s="16"/>
      <c r="G120" s="16"/>
      <c r="H120" s="16"/>
      <c r="I120" s="16"/>
      <c r="J120" s="16"/>
      <c r="K120" s="16"/>
      <c r="L120" s="16"/>
      <c r="M120" s="17"/>
      <c r="N120" s="16"/>
      <c r="O120" s="16"/>
      <c r="P120" s="16"/>
      <c r="Q120" s="18" t="str">
        <f aca="false">IF(A120="","",IF(J120="","Unknown",IFERROR(INDEX('Algorithm Reference'!$C$6:$C$41,MATCH(J120,'Algorithm Reference'!$B$6:$B$41,0)),"Not in reference")))</f>
        <v/>
      </c>
      <c r="R120" s="18" t="str">
        <f aca="false">IF(A120="","",IF(J120="","Unknown - investigate",IFERROR(INDEX('Algorithm Reference'!$E$6:$E$41,MATCH(J120,'Algorithm Reference'!$B$6:$B$41,0)),"Unknown - investigate")))</f>
        <v/>
      </c>
      <c r="S120" s="18" t="str">
        <f aca="false">IF(OR(O120="",P120=""),"",O120+P120)</f>
        <v/>
      </c>
      <c r="T120" s="18" t="str">
        <f aca="false">IF(A120="","",IF(R120="No","N/A - not quantum-vulnerable",IF(OR(O120="",P120=""),"Enter X and Y",IF(Assumptions!$C$6="","Set Z on Assumptions",IF(O120+P120&gt;Assumptions!$C$6,"AT RISK (X+Y &gt; Z)","Within Z (X+Y &lt;= Z)")))))</f>
        <v/>
      </c>
      <c r="U120" s="18" t="str">
        <f aca="false">IF(A120="","",IF(AND(R120&lt;&gt;"No",OR(I120="Key establishment / encryption in transit",I120="Key wrapping / key transport",I120="Mixed or unknown",I120=""),OR(N(O120)&gt;0,G120="Confidential",G120="Restricted")),IF(F120="Yes","Yes - internet-facing","Yes"),"No"))</f>
        <v/>
      </c>
      <c r="V120" s="18" t="str">
        <f aca="false">IF(A120="","",IF(R120="No","Keep - not quantum-vulnerable (review key size)",IF(I120="Digital signature / authentication","ML-DSA-65 (FIPS 204); SLH-DSA (FIPS 205) if hash-based is preferred",IF(OR(I120="Key establishment / encryption in transit",I120="Key wrapping / key transport"),"ML-KEM-768 (FIPS 203); hybrid X25519MLKEM768 for TLS 1.3",IF(I120="Mixed or unknown","Both: ML-KEM (FIPS 203) for keys, ML-DSA (FIPS 204) for signatures","Pick the crypto function first")))))</f>
        <v/>
      </c>
      <c r="W120" s="16"/>
      <c r="X120" s="18" t="str">
        <f aca="false">IF(A120="","",IF(R120="No",0,IF(LEFT(T120,7)="AT RISK",Assumptions!$C$13,0)+IF(LEFT(U120,3)="Yes",Assumptions!$C$14,0)+IF(F120="Yes",Assumptions!$C$15,0)+IF(G120="Restricted",Assumptions!$C$16,IF(G120="Confidential",Assumptions!$C$17,IF(G120="Internal",Assumptions!$C$18,0)))+IF(OR(N120="Roadmap - verbal only",N120="No roadmap",N120="Not asked yet",N120=""),Assumptions!$C$19,0)+IF(E120="Production",Assumptions!$C$20,0)+IF(AND(ISNUMBER(P120),N(P120)&gt;=Assumptions!$C$22),Assumptions!$C$21,0)))</f>
        <v/>
      </c>
      <c r="Y120" s="18" t="str">
        <f aca="false">IF(X120="","",IF(R120="No","None",IF(X120&gt;=Assumptions!$C$23,"High",IF(X120&gt;=Assumptions!$C$24,"Medium","Low"))))</f>
        <v/>
      </c>
      <c r="Z120" s="16"/>
      <c r="AA120" s="17"/>
      <c r="AB120" s="16"/>
      <c r="AC120" s="18" t="str">
        <f aca="true">IF(OR(AA120="",AB120="Hybrid deployed",AB120="PQC deployed",AB120="Not required (not vulnerable)",AB120="Risk accepted"),"",IF(AA120&lt;TODAY(),"OVERDUE",""))</f>
        <v/>
      </c>
      <c r="AD120" s="18" t="str">
        <f aca="true">IF(A120="","",IF(B120="","Name the system. ","")&amp;IF(LEFT(R120,7)="Unknown","Algorithm unknown - scan or ask the vendor. ","")&amp;IF(AND(R120&lt;&gt;"No",Assumptions!$C$6=""),"Set Z on Assumptions. ","")&amp;IF(AND(R120&lt;&gt;"No",OR(O120="",P120="")),"Enter X and Y. ","")&amp;IF(LEFT(T120,7)="AT RISK","Mosca: X+Y exceeds Z - migration should already be under way. ","")&amp;IF(AND(LEFT(U120,3)="Yes",OR(AB120="",AB120="Not started")),"Harvest-now-decrypt-later exposure and migration not started. ","")&amp;IF(AND(R120&lt;&gt;"No",OR(W120="",W120="To decide")),"Choose a target algorithm. ","")&amp;IF(AND(R120&lt;&gt;"No",W120="Keep - not quantum-vulnerable"),"Target 'Keep' conflicts with a quantum-vulnerable algorithm. ","")&amp;IF(LEFT(J120,5)="SHA-1","SHA-1 is deprecated - replace (NIST IR 8547). ","")&amp;IF(AND(R120&lt;&gt;"No",OR(N120="Roadmap - verbal only",N120="No roadmap",N120="Not asked yet")),"Get a written PQC roadmap from the vendor. ","")&amp;IF(AND(R120&lt;&gt;"No",N120=""),"Record the vendor PQC roadmap status. ","")&amp;IF(ISNUMBER(M120),IF(M120&lt;TODAY(),"Certificate or key expired. ",IF(M120-TODAY()&lt;=Assumptions!$C$25,"Expires soon - use the renewal to revisit the algorithm. ","")),"")&amp;IF(AC120="OVERDUE","Migration overdue. ","")&amp;IF(AND(R120&lt;&gt;"No",Z120=""),"Assign a migration owner. ",""))</f>
        <v/>
      </c>
    </row>
    <row r="121" customFormat="false" ht="15" hidden="false" customHeight="false" outlineLevel="0" collapsed="false">
      <c r="A121" s="16"/>
      <c r="B121" s="16"/>
      <c r="C121" s="16"/>
      <c r="D121" s="16"/>
      <c r="E121" s="16"/>
      <c r="F121" s="16"/>
      <c r="G121" s="16"/>
      <c r="H121" s="16"/>
      <c r="I121" s="16"/>
      <c r="J121" s="16"/>
      <c r="K121" s="16"/>
      <c r="L121" s="16"/>
      <c r="M121" s="17"/>
      <c r="N121" s="16"/>
      <c r="O121" s="16"/>
      <c r="P121" s="16"/>
      <c r="Q121" s="18" t="str">
        <f aca="false">IF(A121="","",IF(J121="","Unknown",IFERROR(INDEX('Algorithm Reference'!$C$6:$C$41,MATCH(J121,'Algorithm Reference'!$B$6:$B$41,0)),"Not in reference")))</f>
        <v/>
      </c>
      <c r="R121" s="18" t="str">
        <f aca="false">IF(A121="","",IF(J121="","Unknown - investigate",IFERROR(INDEX('Algorithm Reference'!$E$6:$E$41,MATCH(J121,'Algorithm Reference'!$B$6:$B$41,0)),"Unknown - investigate")))</f>
        <v/>
      </c>
      <c r="S121" s="18" t="str">
        <f aca="false">IF(OR(O121="",P121=""),"",O121+P121)</f>
        <v/>
      </c>
      <c r="T121" s="18" t="str">
        <f aca="false">IF(A121="","",IF(R121="No","N/A - not quantum-vulnerable",IF(OR(O121="",P121=""),"Enter X and Y",IF(Assumptions!$C$6="","Set Z on Assumptions",IF(O121+P121&gt;Assumptions!$C$6,"AT RISK (X+Y &gt; Z)","Within Z (X+Y &lt;= Z)")))))</f>
        <v/>
      </c>
      <c r="U121" s="18" t="str">
        <f aca="false">IF(A121="","",IF(AND(R121&lt;&gt;"No",OR(I121="Key establishment / encryption in transit",I121="Key wrapping / key transport",I121="Mixed or unknown",I121=""),OR(N(O121)&gt;0,G121="Confidential",G121="Restricted")),IF(F121="Yes","Yes - internet-facing","Yes"),"No"))</f>
        <v/>
      </c>
      <c r="V121" s="18" t="str">
        <f aca="false">IF(A121="","",IF(R121="No","Keep - not quantum-vulnerable (review key size)",IF(I121="Digital signature / authentication","ML-DSA-65 (FIPS 204); SLH-DSA (FIPS 205) if hash-based is preferred",IF(OR(I121="Key establishment / encryption in transit",I121="Key wrapping / key transport"),"ML-KEM-768 (FIPS 203); hybrid X25519MLKEM768 for TLS 1.3",IF(I121="Mixed or unknown","Both: ML-KEM (FIPS 203) for keys, ML-DSA (FIPS 204) for signatures","Pick the crypto function first")))))</f>
        <v/>
      </c>
      <c r="W121" s="16"/>
      <c r="X121" s="18" t="str">
        <f aca="false">IF(A121="","",IF(R121="No",0,IF(LEFT(T121,7)="AT RISK",Assumptions!$C$13,0)+IF(LEFT(U121,3)="Yes",Assumptions!$C$14,0)+IF(F121="Yes",Assumptions!$C$15,0)+IF(G121="Restricted",Assumptions!$C$16,IF(G121="Confidential",Assumptions!$C$17,IF(G121="Internal",Assumptions!$C$18,0)))+IF(OR(N121="Roadmap - verbal only",N121="No roadmap",N121="Not asked yet",N121=""),Assumptions!$C$19,0)+IF(E121="Production",Assumptions!$C$20,0)+IF(AND(ISNUMBER(P121),N(P121)&gt;=Assumptions!$C$22),Assumptions!$C$21,0)))</f>
        <v/>
      </c>
      <c r="Y121" s="18" t="str">
        <f aca="false">IF(X121="","",IF(R121="No","None",IF(X121&gt;=Assumptions!$C$23,"High",IF(X121&gt;=Assumptions!$C$24,"Medium","Low"))))</f>
        <v/>
      </c>
      <c r="Z121" s="16"/>
      <c r="AA121" s="17"/>
      <c r="AB121" s="16"/>
      <c r="AC121" s="18" t="str">
        <f aca="true">IF(OR(AA121="",AB121="Hybrid deployed",AB121="PQC deployed",AB121="Not required (not vulnerable)",AB121="Risk accepted"),"",IF(AA121&lt;TODAY(),"OVERDUE",""))</f>
        <v/>
      </c>
      <c r="AD121" s="18" t="str">
        <f aca="true">IF(A121="","",IF(B121="","Name the system. ","")&amp;IF(LEFT(R121,7)="Unknown","Algorithm unknown - scan or ask the vendor. ","")&amp;IF(AND(R121&lt;&gt;"No",Assumptions!$C$6=""),"Set Z on Assumptions. ","")&amp;IF(AND(R121&lt;&gt;"No",OR(O121="",P121="")),"Enter X and Y. ","")&amp;IF(LEFT(T121,7)="AT RISK","Mosca: X+Y exceeds Z - migration should already be under way. ","")&amp;IF(AND(LEFT(U121,3)="Yes",OR(AB121="",AB121="Not started")),"Harvest-now-decrypt-later exposure and migration not started. ","")&amp;IF(AND(R121&lt;&gt;"No",OR(W121="",W121="To decide")),"Choose a target algorithm. ","")&amp;IF(AND(R121&lt;&gt;"No",W121="Keep - not quantum-vulnerable"),"Target 'Keep' conflicts with a quantum-vulnerable algorithm. ","")&amp;IF(LEFT(J121,5)="SHA-1","SHA-1 is deprecated - replace (NIST IR 8547). ","")&amp;IF(AND(R121&lt;&gt;"No",OR(N121="Roadmap - verbal only",N121="No roadmap",N121="Not asked yet")),"Get a written PQC roadmap from the vendor. ","")&amp;IF(AND(R121&lt;&gt;"No",N121=""),"Record the vendor PQC roadmap status. ","")&amp;IF(ISNUMBER(M121),IF(M121&lt;TODAY(),"Certificate or key expired. ",IF(M121-TODAY()&lt;=Assumptions!$C$25,"Expires soon - use the renewal to revisit the algorithm. ","")),"")&amp;IF(AC121="OVERDUE","Migration overdue. ","")&amp;IF(AND(R121&lt;&gt;"No",Z121=""),"Assign a migration owner. ",""))</f>
        <v/>
      </c>
    </row>
    <row r="122" customFormat="false" ht="15" hidden="false" customHeight="false" outlineLevel="0" collapsed="false">
      <c r="A122" s="16"/>
      <c r="B122" s="16"/>
      <c r="C122" s="16"/>
      <c r="D122" s="16"/>
      <c r="E122" s="16"/>
      <c r="F122" s="16"/>
      <c r="G122" s="16"/>
      <c r="H122" s="16"/>
      <c r="I122" s="16"/>
      <c r="J122" s="16"/>
      <c r="K122" s="16"/>
      <c r="L122" s="16"/>
      <c r="M122" s="17"/>
      <c r="N122" s="16"/>
      <c r="O122" s="16"/>
      <c r="P122" s="16"/>
      <c r="Q122" s="18" t="str">
        <f aca="false">IF(A122="","",IF(J122="","Unknown",IFERROR(INDEX('Algorithm Reference'!$C$6:$C$41,MATCH(J122,'Algorithm Reference'!$B$6:$B$41,0)),"Not in reference")))</f>
        <v/>
      </c>
      <c r="R122" s="18" t="str">
        <f aca="false">IF(A122="","",IF(J122="","Unknown - investigate",IFERROR(INDEX('Algorithm Reference'!$E$6:$E$41,MATCH(J122,'Algorithm Reference'!$B$6:$B$41,0)),"Unknown - investigate")))</f>
        <v/>
      </c>
      <c r="S122" s="18" t="str">
        <f aca="false">IF(OR(O122="",P122=""),"",O122+P122)</f>
        <v/>
      </c>
      <c r="T122" s="18" t="str">
        <f aca="false">IF(A122="","",IF(R122="No","N/A - not quantum-vulnerable",IF(OR(O122="",P122=""),"Enter X and Y",IF(Assumptions!$C$6="","Set Z on Assumptions",IF(O122+P122&gt;Assumptions!$C$6,"AT RISK (X+Y &gt; Z)","Within Z (X+Y &lt;= Z)")))))</f>
        <v/>
      </c>
      <c r="U122" s="18" t="str">
        <f aca="false">IF(A122="","",IF(AND(R122&lt;&gt;"No",OR(I122="Key establishment / encryption in transit",I122="Key wrapping / key transport",I122="Mixed or unknown",I122=""),OR(N(O122)&gt;0,G122="Confidential",G122="Restricted")),IF(F122="Yes","Yes - internet-facing","Yes"),"No"))</f>
        <v/>
      </c>
      <c r="V122" s="18" t="str">
        <f aca="false">IF(A122="","",IF(R122="No","Keep - not quantum-vulnerable (review key size)",IF(I122="Digital signature / authentication","ML-DSA-65 (FIPS 204); SLH-DSA (FIPS 205) if hash-based is preferred",IF(OR(I122="Key establishment / encryption in transit",I122="Key wrapping / key transport"),"ML-KEM-768 (FIPS 203); hybrid X25519MLKEM768 for TLS 1.3",IF(I122="Mixed or unknown","Both: ML-KEM (FIPS 203) for keys, ML-DSA (FIPS 204) for signatures","Pick the crypto function first")))))</f>
        <v/>
      </c>
      <c r="W122" s="16"/>
      <c r="X122" s="18" t="str">
        <f aca="false">IF(A122="","",IF(R122="No",0,IF(LEFT(T122,7)="AT RISK",Assumptions!$C$13,0)+IF(LEFT(U122,3)="Yes",Assumptions!$C$14,0)+IF(F122="Yes",Assumptions!$C$15,0)+IF(G122="Restricted",Assumptions!$C$16,IF(G122="Confidential",Assumptions!$C$17,IF(G122="Internal",Assumptions!$C$18,0)))+IF(OR(N122="Roadmap - verbal only",N122="No roadmap",N122="Not asked yet",N122=""),Assumptions!$C$19,0)+IF(E122="Production",Assumptions!$C$20,0)+IF(AND(ISNUMBER(P122),N(P122)&gt;=Assumptions!$C$22),Assumptions!$C$21,0)))</f>
        <v/>
      </c>
      <c r="Y122" s="18" t="str">
        <f aca="false">IF(X122="","",IF(R122="No","None",IF(X122&gt;=Assumptions!$C$23,"High",IF(X122&gt;=Assumptions!$C$24,"Medium","Low"))))</f>
        <v/>
      </c>
      <c r="Z122" s="16"/>
      <c r="AA122" s="17"/>
      <c r="AB122" s="16"/>
      <c r="AC122" s="18" t="str">
        <f aca="true">IF(OR(AA122="",AB122="Hybrid deployed",AB122="PQC deployed",AB122="Not required (not vulnerable)",AB122="Risk accepted"),"",IF(AA122&lt;TODAY(),"OVERDUE",""))</f>
        <v/>
      </c>
      <c r="AD122" s="18" t="str">
        <f aca="true">IF(A122="","",IF(B122="","Name the system. ","")&amp;IF(LEFT(R122,7)="Unknown","Algorithm unknown - scan or ask the vendor. ","")&amp;IF(AND(R122&lt;&gt;"No",Assumptions!$C$6=""),"Set Z on Assumptions. ","")&amp;IF(AND(R122&lt;&gt;"No",OR(O122="",P122="")),"Enter X and Y. ","")&amp;IF(LEFT(T122,7)="AT RISK","Mosca: X+Y exceeds Z - migration should already be under way. ","")&amp;IF(AND(LEFT(U122,3)="Yes",OR(AB122="",AB122="Not started")),"Harvest-now-decrypt-later exposure and migration not started. ","")&amp;IF(AND(R122&lt;&gt;"No",OR(W122="",W122="To decide")),"Choose a target algorithm. ","")&amp;IF(AND(R122&lt;&gt;"No",W122="Keep - not quantum-vulnerable"),"Target 'Keep' conflicts with a quantum-vulnerable algorithm. ","")&amp;IF(LEFT(J122,5)="SHA-1","SHA-1 is deprecated - replace (NIST IR 8547). ","")&amp;IF(AND(R122&lt;&gt;"No",OR(N122="Roadmap - verbal only",N122="No roadmap",N122="Not asked yet")),"Get a written PQC roadmap from the vendor. ","")&amp;IF(AND(R122&lt;&gt;"No",N122=""),"Record the vendor PQC roadmap status. ","")&amp;IF(ISNUMBER(M122),IF(M122&lt;TODAY(),"Certificate or key expired. ",IF(M122-TODAY()&lt;=Assumptions!$C$25,"Expires soon - use the renewal to revisit the algorithm. ","")),"")&amp;IF(AC122="OVERDUE","Migration overdue. ","")&amp;IF(AND(R122&lt;&gt;"No",Z122=""),"Assign a migration owner. ",""))</f>
        <v/>
      </c>
    </row>
    <row r="123" customFormat="false" ht="15" hidden="false" customHeight="false" outlineLevel="0" collapsed="false">
      <c r="A123" s="16"/>
      <c r="B123" s="16"/>
      <c r="C123" s="16"/>
      <c r="D123" s="16"/>
      <c r="E123" s="16"/>
      <c r="F123" s="16"/>
      <c r="G123" s="16"/>
      <c r="H123" s="16"/>
      <c r="I123" s="16"/>
      <c r="J123" s="16"/>
      <c r="K123" s="16"/>
      <c r="L123" s="16"/>
      <c r="M123" s="17"/>
      <c r="N123" s="16"/>
      <c r="O123" s="16"/>
      <c r="P123" s="16"/>
      <c r="Q123" s="18" t="str">
        <f aca="false">IF(A123="","",IF(J123="","Unknown",IFERROR(INDEX('Algorithm Reference'!$C$6:$C$41,MATCH(J123,'Algorithm Reference'!$B$6:$B$41,0)),"Not in reference")))</f>
        <v/>
      </c>
      <c r="R123" s="18" t="str">
        <f aca="false">IF(A123="","",IF(J123="","Unknown - investigate",IFERROR(INDEX('Algorithm Reference'!$E$6:$E$41,MATCH(J123,'Algorithm Reference'!$B$6:$B$41,0)),"Unknown - investigate")))</f>
        <v/>
      </c>
      <c r="S123" s="18" t="str">
        <f aca="false">IF(OR(O123="",P123=""),"",O123+P123)</f>
        <v/>
      </c>
      <c r="T123" s="18" t="str">
        <f aca="false">IF(A123="","",IF(R123="No","N/A - not quantum-vulnerable",IF(OR(O123="",P123=""),"Enter X and Y",IF(Assumptions!$C$6="","Set Z on Assumptions",IF(O123+P123&gt;Assumptions!$C$6,"AT RISK (X+Y &gt; Z)","Within Z (X+Y &lt;= Z)")))))</f>
        <v/>
      </c>
      <c r="U123" s="18" t="str">
        <f aca="false">IF(A123="","",IF(AND(R123&lt;&gt;"No",OR(I123="Key establishment / encryption in transit",I123="Key wrapping / key transport",I123="Mixed or unknown",I123=""),OR(N(O123)&gt;0,G123="Confidential",G123="Restricted")),IF(F123="Yes","Yes - internet-facing","Yes"),"No"))</f>
        <v/>
      </c>
      <c r="V123" s="18" t="str">
        <f aca="false">IF(A123="","",IF(R123="No","Keep - not quantum-vulnerable (review key size)",IF(I123="Digital signature / authentication","ML-DSA-65 (FIPS 204); SLH-DSA (FIPS 205) if hash-based is preferred",IF(OR(I123="Key establishment / encryption in transit",I123="Key wrapping / key transport"),"ML-KEM-768 (FIPS 203); hybrid X25519MLKEM768 for TLS 1.3",IF(I123="Mixed or unknown","Both: ML-KEM (FIPS 203) for keys, ML-DSA (FIPS 204) for signatures","Pick the crypto function first")))))</f>
        <v/>
      </c>
      <c r="W123" s="16"/>
      <c r="X123" s="18" t="str">
        <f aca="false">IF(A123="","",IF(R123="No",0,IF(LEFT(T123,7)="AT RISK",Assumptions!$C$13,0)+IF(LEFT(U123,3)="Yes",Assumptions!$C$14,0)+IF(F123="Yes",Assumptions!$C$15,0)+IF(G123="Restricted",Assumptions!$C$16,IF(G123="Confidential",Assumptions!$C$17,IF(G123="Internal",Assumptions!$C$18,0)))+IF(OR(N123="Roadmap - verbal only",N123="No roadmap",N123="Not asked yet",N123=""),Assumptions!$C$19,0)+IF(E123="Production",Assumptions!$C$20,0)+IF(AND(ISNUMBER(P123),N(P123)&gt;=Assumptions!$C$22),Assumptions!$C$21,0)))</f>
        <v/>
      </c>
      <c r="Y123" s="18" t="str">
        <f aca="false">IF(X123="","",IF(R123="No","None",IF(X123&gt;=Assumptions!$C$23,"High",IF(X123&gt;=Assumptions!$C$24,"Medium","Low"))))</f>
        <v/>
      </c>
      <c r="Z123" s="16"/>
      <c r="AA123" s="17"/>
      <c r="AB123" s="16"/>
      <c r="AC123" s="18" t="str">
        <f aca="true">IF(OR(AA123="",AB123="Hybrid deployed",AB123="PQC deployed",AB123="Not required (not vulnerable)",AB123="Risk accepted"),"",IF(AA123&lt;TODAY(),"OVERDUE",""))</f>
        <v/>
      </c>
      <c r="AD123" s="18" t="str">
        <f aca="true">IF(A123="","",IF(B123="","Name the system. ","")&amp;IF(LEFT(R123,7)="Unknown","Algorithm unknown - scan or ask the vendor. ","")&amp;IF(AND(R123&lt;&gt;"No",Assumptions!$C$6=""),"Set Z on Assumptions. ","")&amp;IF(AND(R123&lt;&gt;"No",OR(O123="",P123="")),"Enter X and Y. ","")&amp;IF(LEFT(T123,7)="AT RISK","Mosca: X+Y exceeds Z - migration should already be under way. ","")&amp;IF(AND(LEFT(U123,3)="Yes",OR(AB123="",AB123="Not started")),"Harvest-now-decrypt-later exposure and migration not started. ","")&amp;IF(AND(R123&lt;&gt;"No",OR(W123="",W123="To decide")),"Choose a target algorithm. ","")&amp;IF(AND(R123&lt;&gt;"No",W123="Keep - not quantum-vulnerable"),"Target 'Keep' conflicts with a quantum-vulnerable algorithm. ","")&amp;IF(LEFT(J123,5)="SHA-1","SHA-1 is deprecated - replace (NIST IR 8547). ","")&amp;IF(AND(R123&lt;&gt;"No",OR(N123="Roadmap - verbal only",N123="No roadmap",N123="Not asked yet")),"Get a written PQC roadmap from the vendor. ","")&amp;IF(AND(R123&lt;&gt;"No",N123=""),"Record the vendor PQC roadmap status. ","")&amp;IF(ISNUMBER(M123),IF(M123&lt;TODAY(),"Certificate or key expired. ",IF(M123-TODAY()&lt;=Assumptions!$C$25,"Expires soon - use the renewal to revisit the algorithm. ","")),"")&amp;IF(AC123="OVERDUE","Migration overdue. ","")&amp;IF(AND(R123&lt;&gt;"No",Z123=""),"Assign a migration owner. ",""))</f>
        <v/>
      </c>
    </row>
    <row r="124" customFormat="false" ht="15" hidden="false" customHeight="false" outlineLevel="0" collapsed="false">
      <c r="A124" s="16"/>
      <c r="B124" s="16"/>
      <c r="C124" s="16"/>
      <c r="D124" s="16"/>
      <c r="E124" s="16"/>
      <c r="F124" s="16"/>
      <c r="G124" s="16"/>
      <c r="H124" s="16"/>
      <c r="I124" s="16"/>
      <c r="J124" s="16"/>
      <c r="K124" s="16"/>
      <c r="L124" s="16"/>
      <c r="M124" s="17"/>
      <c r="N124" s="16"/>
      <c r="O124" s="16"/>
      <c r="P124" s="16"/>
      <c r="Q124" s="18" t="str">
        <f aca="false">IF(A124="","",IF(J124="","Unknown",IFERROR(INDEX('Algorithm Reference'!$C$6:$C$41,MATCH(J124,'Algorithm Reference'!$B$6:$B$41,0)),"Not in reference")))</f>
        <v/>
      </c>
      <c r="R124" s="18" t="str">
        <f aca="false">IF(A124="","",IF(J124="","Unknown - investigate",IFERROR(INDEX('Algorithm Reference'!$E$6:$E$41,MATCH(J124,'Algorithm Reference'!$B$6:$B$41,0)),"Unknown - investigate")))</f>
        <v/>
      </c>
      <c r="S124" s="18" t="str">
        <f aca="false">IF(OR(O124="",P124=""),"",O124+P124)</f>
        <v/>
      </c>
      <c r="T124" s="18" t="str">
        <f aca="false">IF(A124="","",IF(R124="No","N/A - not quantum-vulnerable",IF(OR(O124="",P124=""),"Enter X and Y",IF(Assumptions!$C$6="","Set Z on Assumptions",IF(O124+P124&gt;Assumptions!$C$6,"AT RISK (X+Y &gt; Z)","Within Z (X+Y &lt;= Z)")))))</f>
        <v/>
      </c>
      <c r="U124" s="18" t="str">
        <f aca="false">IF(A124="","",IF(AND(R124&lt;&gt;"No",OR(I124="Key establishment / encryption in transit",I124="Key wrapping / key transport",I124="Mixed or unknown",I124=""),OR(N(O124)&gt;0,G124="Confidential",G124="Restricted")),IF(F124="Yes","Yes - internet-facing","Yes"),"No"))</f>
        <v/>
      </c>
      <c r="V124" s="18" t="str">
        <f aca="false">IF(A124="","",IF(R124="No","Keep - not quantum-vulnerable (review key size)",IF(I124="Digital signature / authentication","ML-DSA-65 (FIPS 204); SLH-DSA (FIPS 205) if hash-based is preferred",IF(OR(I124="Key establishment / encryption in transit",I124="Key wrapping / key transport"),"ML-KEM-768 (FIPS 203); hybrid X25519MLKEM768 for TLS 1.3",IF(I124="Mixed or unknown","Both: ML-KEM (FIPS 203) for keys, ML-DSA (FIPS 204) for signatures","Pick the crypto function first")))))</f>
        <v/>
      </c>
      <c r="W124" s="16"/>
      <c r="X124" s="18" t="str">
        <f aca="false">IF(A124="","",IF(R124="No",0,IF(LEFT(T124,7)="AT RISK",Assumptions!$C$13,0)+IF(LEFT(U124,3)="Yes",Assumptions!$C$14,0)+IF(F124="Yes",Assumptions!$C$15,0)+IF(G124="Restricted",Assumptions!$C$16,IF(G124="Confidential",Assumptions!$C$17,IF(G124="Internal",Assumptions!$C$18,0)))+IF(OR(N124="Roadmap - verbal only",N124="No roadmap",N124="Not asked yet",N124=""),Assumptions!$C$19,0)+IF(E124="Production",Assumptions!$C$20,0)+IF(AND(ISNUMBER(P124),N(P124)&gt;=Assumptions!$C$22),Assumptions!$C$21,0)))</f>
        <v/>
      </c>
      <c r="Y124" s="18" t="str">
        <f aca="false">IF(X124="","",IF(R124="No","None",IF(X124&gt;=Assumptions!$C$23,"High",IF(X124&gt;=Assumptions!$C$24,"Medium","Low"))))</f>
        <v/>
      </c>
      <c r="Z124" s="16"/>
      <c r="AA124" s="17"/>
      <c r="AB124" s="16"/>
      <c r="AC124" s="18" t="str">
        <f aca="true">IF(OR(AA124="",AB124="Hybrid deployed",AB124="PQC deployed",AB124="Not required (not vulnerable)",AB124="Risk accepted"),"",IF(AA124&lt;TODAY(),"OVERDUE",""))</f>
        <v/>
      </c>
      <c r="AD124" s="18" t="str">
        <f aca="true">IF(A124="","",IF(B124="","Name the system. ","")&amp;IF(LEFT(R124,7)="Unknown","Algorithm unknown - scan or ask the vendor. ","")&amp;IF(AND(R124&lt;&gt;"No",Assumptions!$C$6=""),"Set Z on Assumptions. ","")&amp;IF(AND(R124&lt;&gt;"No",OR(O124="",P124="")),"Enter X and Y. ","")&amp;IF(LEFT(T124,7)="AT RISK","Mosca: X+Y exceeds Z - migration should already be under way. ","")&amp;IF(AND(LEFT(U124,3)="Yes",OR(AB124="",AB124="Not started")),"Harvest-now-decrypt-later exposure and migration not started. ","")&amp;IF(AND(R124&lt;&gt;"No",OR(W124="",W124="To decide")),"Choose a target algorithm. ","")&amp;IF(AND(R124&lt;&gt;"No",W124="Keep - not quantum-vulnerable"),"Target 'Keep' conflicts with a quantum-vulnerable algorithm. ","")&amp;IF(LEFT(J124,5)="SHA-1","SHA-1 is deprecated - replace (NIST IR 8547). ","")&amp;IF(AND(R124&lt;&gt;"No",OR(N124="Roadmap - verbal only",N124="No roadmap",N124="Not asked yet")),"Get a written PQC roadmap from the vendor. ","")&amp;IF(AND(R124&lt;&gt;"No",N124=""),"Record the vendor PQC roadmap status. ","")&amp;IF(ISNUMBER(M124),IF(M124&lt;TODAY(),"Certificate or key expired. ",IF(M124-TODAY()&lt;=Assumptions!$C$25,"Expires soon - use the renewal to revisit the algorithm. ","")),"")&amp;IF(AC124="OVERDUE","Migration overdue. ","")&amp;IF(AND(R124&lt;&gt;"No",Z124=""),"Assign a migration owner. ",""))</f>
        <v/>
      </c>
    </row>
    <row r="125" customFormat="false" ht="15" hidden="false" customHeight="false" outlineLevel="0" collapsed="false">
      <c r="A125" s="16"/>
      <c r="B125" s="16"/>
      <c r="C125" s="16"/>
      <c r="D125" s="16"/>
      <c r="E125" s="16"/>
      <c r="F125" s="16"/>
      <c r="G125" s="16"/>
      <c r="H125" s="16"/>
      <c r="I125" s="16"/>
      <c r="J125" s="16"/>
      <c r="K125" s="16"/>
      <c r="L125" s="16"/>
      <c r="M125" s="17"/>
      <c r="N125" s="16"/>
      <c r="O125" s="16"/>
      <c r="P125" s="16"/>
      <c r="Q125" s="18" t="str">
        <f aca="false">IF(A125="","",IF(J125="","Unknown",IFERROR(INDEX('Algorithm Reference'!$C$6:$C$41,MATCH(J125,'Algorithm Reference'!$B$6:$B$41,0)),"Not in reference")))</f>
        <v/>
      </c>
      <c r="R125" s="18" t="str">
        <f aca="false">IF(A125="","",IF(J125="","Unknown - investigate",IFERROR(INDEX('Algorithm Reference'!$E$6:$E$41,MATCH(J125,'Algorithm Reference'!$B$6:$B$41,0)),"Unknown - investigate")))</f>
        <v/>
      </c>
      <c r="S125" s="18" t="str">
        <f aca="false">IF(OR(O125="",P125=""),"",O125+P125)</f>
        <v/>
      </c>
      <c r="T125" s="18" t="str">
        <f aca="false">IF(A125="","",IF(R125="No","N/A - not quantum-vulnerable",IF(OR(O125="",P125=""),"Enter X and Y",IF(Assumptions!$C$6="","Set Z on Assumptions",IF(O125+P125&gt;Assumptions!$C$6,"AT RISK (X+Y &gt; Z)","Within Z (X+Y &lt;= Z)")))))</f>
        <v/>
      </c>
      <c r="U125" s="18" t="str">
        <f aca="false">IF(A125="","",IF(AND(R125&lt;&gt;"No",OR(I125="Key establishment / encryption in transit",I125="Key wrapping / key transport",I125="Mixed or unknown",I125=""),OR(N(O125)&gt;0,G125="Confidential",G125="Restricted")),IF(F125="Yes","Yes - internet-facing","Yes"),"No"))</f>
        <v/>
      </c>
      <c r="V125" s="18" t="str">
        <f aca="false">IF(A125="","",IF(R125="No","Keep - not quantum-vulnerable (review key size)",IF(I125="Digital signature / authentication","ML-DSA-65 (FIPS 204); SLH-DSA (FIPS 205) if hash-based is preferred",IF(OR(I125="Key establishment / encryption in transit",I125="Key wrapping / key transport"),"ML-KEM-768 (FIPS 203); hybrid X25519MLKEM768 for TLS 1.3",IF(I125="Mixed or unknown","Both: ML-KEM (FIPS 203) for keys, ML-DSA (FIPS 204) for signatures","Pick the crypto function first")))))</f>
        <v/>
      </c>
      <c r="W125" s="16"/>
      <c r="X125" s="18" t="str">
        <f aca="false">IF(A125="","",IF(R125="No",0,IF(LEFT(T125,7)="AT RISK",Assumptions!$C$13,0)+IF(LEFT(U125,3)="Yes",Assumptions!$C$14,0)+IF(F125="Yes",Assumptions!$C$15,0)+IF(G125="Restricted",Assumptions!$C$16,IF(G125="Confidential",Assumptions!$C$17,IF(G125="Internal",Assumptions!$C$18,0)))+IF(OR(N125="Roadmap - verbal only",N125="No roadmap",N125="Not asked yet",N125=""),Assumptions!$C$19,0)+IF(E125="Production",Assumptions!$C$20,0)+IF(AND(ISNUMBER(P125),N(P125)&gt;=Assumptions!$C$22),Assumptions!$C$21,0)))</f>
        <v/>
      </c>
      <c r="Y125" s="18" t="str">
        <f aca="false">IF(X125="","",IF(R125="No","None",IF(X125&gt;=Assumptions!$C$23,"High",IF(X125&gt;=Assumptions!$C$24,"Medium","Low"))))</f>
        <v/>
      </c>
      <c r="Z125" s="16"/>
      <c r="AA125" s="17"/>
      <c r="AB125" s="16"/>
      <c r="AC125" s="18" t="str">
        <f aca="true">IF(OR(AA125="",AB125="Hybrid deployed",AB125="PQC deployed",AB125="Not required (not vulnerable)",AB125="Risk accepted"),"",IF(AA125&lt;TODAY(),"OVERDUE",""))</f>
        <v/>
      </c>
      <c r="AD125" s="18" t="str">
        <f aca="true">IF(A125="","",IF(B125="","Name the system. ","")&amp;IF(LEFT(R125,7)="Unknown","Algorithm unknown - scan or ask the vendor. ","")&amp;IF(AND(R125&lt;&gt;"No",Assumptions!$C$6=""),"Set Z on Assumptions. ","")&amp;IF(AND(R125&lt;&gt;"No",OR(O125="",P125="")),"Enter X and Y. ","")&amp;IF(LEFT(T125,7)="AT RISK","Mosca: X+Y exceeds Z - migration should already be under way. ","")&amp;IF(AND(LEFT(U125,3)="Yes",OR(AB125="",AB125="Not started")),"Harvest-now-decrypt-later exposure and migration not started. ","")&amp;IF(AND(R125&lt;&gt;"No",OR(W125="",W125="To decide")),"Choose a target algorithm. ","")&amp;IF(AND(R125&lt;&gt;"No",W125="Keep - not quantum-vulnerable"),"Target 'Keep' conflicts with a quantum-vulnerable algorithm. ","")&amp;IF(LEFT(J125,5)="SHA-1","SHA-1 is deprecated - replace (NIST IR 8547). ","")&amp;IF(AND(R125&lt;&gt;"No",OR(N125="Roadmap - verbal only",N125="No roadmap",N125="Not asked yet")),"Get a written PQC roadmap from the vendor. ","")&amp;IF(AND(R125&lt;&gt;"No",N125=""),"Record the vendor PQC roadmap status. ","")&amp;IF(ISNUMBER(M125),IF(M125&lt;TODAY(),"Certificate or key expired. ",IF(M125-TODAY()&lt;=Assumptions!$C$25,"Expires soon - use the renewal to revisit the algorithm. ","")),"")&amp;IF(AC125="OVERDUE","Migration overdue. ","")&amp;IF(AND(R125&lt;&gt;"No",Z125=""),"Assign a migration owner. ",""))</f>
        <v/>
      </c>
    </row>
    <row r="126" customFormat="false" ht="15" hidden="false" customHeight="false" outlineLevel="0" collapsed="false">
      <c r="A126" s="16"/>
      <c r="B126" s="16"/>
      <c r="C126" s="16"/>
      <c r="D126" s="16"/>
      <c r="E126" s="16"/>
      <c r="F126" s="16"/>
      <c r="G126" s="16"/>
      <c r="H126" s="16"/>
      <c r="I126" s="16"/>
      <c r="J126" s="16"/>
      <c r="K126" s="16"/>
      <c r="L126" s="16"/>
      <c r="M126" s="17"/>
      <c r="N126" s="16"/>
      <c r="O126" s="16"/>
      <c r="P126" s="16"/>
      <c r="Q126" s="18" t="str">
        <f aca="false">IF(A126="","",IF(J126="","Unknown",IFERROR(INDEX('Algorithm Reference'!$C$6:$C$41,MATCH(J126,'Algorithm Reference'!$B$6:$B$41,0)),"Not in reference")))</f>
        <v/>
      </c>
      <c r="R126" s="18" t="str">
        <f aca="false">IF(A126="","",IF(J126="","Unknown - investigate",IFERROR(INDEX('Algorithm Reference'!$E$6:$E$41,MATCH(J126,'Algorithm Reference'!$B$6:$B$41,0)),"Unknown - investigate")))</f>
        <v/>
      </c>
      <c r="S126" s="18" t="str">
        <f aca="false">IF(OR(O126="",P126=""),"",O126+P126)</f>
        <v/>
      </c>
      <c r="T126" s="18" t="str">
        <f aca="false">IF(A126="","",IF(R126="No","N/A - not quantum-vulnerable",IF(OR(O126="",P126=""),"Enter X and Y",IF(Assumptions!$C$6="","Set Z on Assumptions",IF(O126+P126&gt;Assumptions!$C$6,"AT RISK (X+Y &gt; Z)","Within Z (X+Y &lt;= Z)")))))</f>
        <v/>
      </c>
      <c r="U126" s="18" t="str">
        <f aca="false">IF(A126="","",IF(AND(R126&lt;&gt;"No",OR(I126="Key establishment / encryption in transit",I126="Key wrapping / key transport",I126="Mixed or unknown",I126=""),OR(N(O126)&gt;0,G126="Confidential",G126="Restricted")),IF(F126="Yes","Yes - internet-facing","Yes"),"No"))</f>
        <v/>
      </c>
      <c r="V126" s="18" t="str">
        <f aca="false">IF(A126="","",IF(R126="No","Keep - not quantum-vulnerable (review key size)",IF(I126="Digital signature / authentication","ML-DSA-65 (FIPS 204); SLH-DSA (FIPS 205) if hash-based is preferred",IF(OR(I126="Key establishment / encryption in transit",I126="Key wrapping / key transport"),"ML-KEM-768 (FIPS 203); hybrid X25519MLKEM768 for TLS 1.3",IF(I126="Mixed or unknown","Both: ML-KEM (FIPS 203) for keys, ML-DSA (FIPS 204) for signatures","Pick the crypto function first")))))</f>
        <v/>
      </c>
      <c r="W126" s="16"/>
      <c r="X126" s="18" t="str">
        <f aca="false">IF(A126="","",IF(R126="No",0,IF(LEFT(T126,7)="AT RISK",Assumptions!$C$13,0)+IF(LEFT(U126,3)="Yes",Assumptions!$C$14,0)+IF(F126="Yes",Assumptions!$C$15,0)+IF(G126="Restricted",Assumptions!$C$16,IF(G126="Confidential",Assumptions!$C$17,IF(G126="Internal",Assumptions!$C$18,0)))+IF(OR(N126="Roadmap - verbal only",N126="No roadmap",N126="Not asked yet",N126=""),Assumptions!$C$19,0)+IF(E126="Production",Assumptions!$C$20,0)+IF(AND(ISNUMBER(P126),N(P126)&gt;=Assumptions!$C$22),Assumptions!$C$21,0)))</f>
        <v/>
      </c>
      <c r="Y126" s="18" t="str">
        <f aca="false">IF(X126="","",IF(R126="No","None",IF(X126&gt;=Assumptions!$C$23,"High",IF(X126&gt;=Assumptions!$C$24,"Medium","Low"))))</f>
        <v/>
      </c>
      <c r="Z126" s="16"/>
      <c r="AA126" s="17"/>
      <c r="AB126" s="16"/>
      <c r="AC126" s="18" t="str">
        <f aca="true">IF(OR(AA126="",AB126="Hybrid deployed",AB126="PQC deployed",AB126="Not required (not vulnerable)",AB126="Risk accepted"),"",IF(AA126&lt;TODAY(),"OVERDUE",""))</f>
        <v/>
      </c>
      <c r="AD126" s="18" t="str">
        <f aca="true">IF(A126="","",IF(B126="","Name the system. ","")&amp;IF(LEFT(R126,7)="Unknown","Algorithm unknown - scan or ask the vendor. ","")&amp;IF(AND(R126&lt;&gt;"No",Assumptions!$C$6=""),"Set Z on Assumptions. ","")&amp;IF(AND(R126&lt;&gt;"No",OR(O126="",P126="")),"Enter X and Y. ","")&amp;IF(LEFT(T126,7)="AT RISK","Mosca: X+Y exceeds Z - migration should already be under way. ","")&amp;IF(AND(LEFT(U126,3)="Yes",OR(AB126="",AB126="Not started")),"Harvest-now-decrypt-later exposure and migration not started. ","")&amp;IF(AND(R126&lt;&gt;"No",OR(W126="",W126="To decide")),"Choose a target algorithm. ","")&amp;IF(AND(R126&lt;&gt;"No",W126="Keep - not quantum-vulnerable"),"Target 'Keep' conflicts with a quantum-vulnerable algorithm. ","")&amp;IF(LEFT(J126,5)="SHA-1","SHA-1 is deprecated - replace (NIST IR 8547). ","")&amp;IF(AND(R126&lt;&gt;"No",OR(N126="Roadmap - verbal only",N126="No roadmap",N126="Not asked yet")),"Get a written PQC roadmap from the vendor. ","")&amp;IF(AND(R126&lt;&gt;"No",N126=""),"Record the vendor PQC roadmap status. ","")&amp;IF(ISNUMBER(M126),IF(M126&lt;TODAY(),"Certificate or key expired. ",IF(M126-TODAY()&lt;=Assumptions!$C$25,"Expires soon - use the renewal to revisit the algorithm. ","")),"")&amp;IF(AC126="OVERDUE","Migration overdue. ","")&amp;IF(AND(R126&lt;&gt;"No",Z126=""),"Assign a migration owner. ",""))</f>
        <v/>
      </c>
    </row>
    <row r="127" customFormat="false" ht="15" hidden="false" customHeight="false" outlineLevel="0" collapsed="false">
      <c r="A127" s="16"/>
      <c r="B127" s="16"/>
      <c r="C127" s="16"/>
      <c r="D127" s="16"/>
      <c r="E127" s="16"/>
      <c r="F127" s="16"/>
      <c r="G127" s="16"/>
      <c r="H127" s="16"/>
      <c r="I127" s="16"/>
      <c r="J127" s="16"/>
      <c r="K127" s="16"/>
      <c r="L127" s="16"/>
      <c r="M127" s="17"/>
      <c r="N127" s="16"/>
      <c r="O127" s="16"/>
      <c r="P127" s="16"/>
      <c r="Q127" s="18" t="str">
        <f aca="false">IF(A127="","",IF(J127="","Unknown",IFERROR(INDEX('Algorithm Reference'!$C$6:$C$41,MATCH(J127,'Algorithm Reference'!$B$6:$B$41,0)),"Not in reference")))</f>
        <v/>
      </c>
      <c r="R127" s="18" t="str">
        <f aca="false">IF(A127="","",IF(J127="","Unknown - investigate",IFERROR(INDEX('Algorithm Reference'!$E$6:$E$41,MATCH(J127,'Algorithm Reference'!$B$6:$B$41,0)),"Unknown - investigate")))</f>
        <v/>
      </c>
      <c r="S127" s="18" t="str">
        <f aca="false">IF(OR(O127="",P127=""),"",O127+P127)</f>
        <v/>
      </c>
      <c r="T127" s="18" t="str">
        <f aca="false">IF(A127="","",IF(R127="No","N/A - not quantum-vulnerable",IF(OR(O127="",P127=""),"Enter X and Y",IF(Assumptions!$C$6="","Set Z on Assumptions",IF(O127+P127&gt;Assumptions!$C$6,"AT RISK (X+Y &gt; Z)","Within Z (X+Y &lt;= Z)")))))</f>
        <v/>
      </c>
      <c r="U127" s="18" t="str">
        <f aca="false">IF(A127="","",IF(AND(R127&lt;&gt;"No",OR(I127="Key establishment / encryption in transit",I127="Key wrapping / key transport",I127="Mixed or unknown",I127=""),OR(N(O127)&gt;0,G127="Confidential",G127="Restricted")),IF(F127="Yes","Yes - internet-facing","Yes"),"No"))</f>
        <v/>
      </c>
      <c r="V127" s="18" t="str">
        <f aca="false">IF(A127="","",IF(R127="No","Keep - not quantum-vulnerable (review key size)",IF(I127="Digital signature / authentication","ML-DSA-65 (FIPS 204); SLH-DSA (FIPS 205) if hash-based is preferred",IF(OR(I127="Key establishment / encryption in transit",I127="Key wrapping / key transport"),"ML-KEM-768 (FIPS 203); hybrid X25519MLKEM768 for TLS 1.3",IF(I127="Mixed or unknown","Both: ML-KEM (FIPS 203) for keys, ML-DSA (FIPS 204) for signatures","Pick the crypto function first")))))</f>
        <v/>
      </c>
      <c r="W127" s="16"/>
      <c r="X127" s="18" t="str">
        <f aca="false">IF(A127="","",IF(R127="No",0,IF(LEFT(T127,7)="AT RISK",Assumptions!$C$13,0)+IF(LEFT(U127,3)="Yes",Assumptions!$C$14,0)+IF(F127="Yes",Assumptions!$C$15,0)+IF(G127="Restricted",Assumptions!$C$16,IF(G127="Confidential",Assumptions!$C$17,IF(G127="Internal",Assumptions!$C$18,0)))+IF(OR(N127="Roadmap - verbal only",N127="No roadmap",N127="Not asked yet",N127=""),Assumptions!$C$19,0)+IF(E127="Production",Assumptions!$C$20,0)+IF(AND(ISNUMBER(P127),N(P127)&gt;=Assumptions!$C$22),Assumptions!$C$21,0)))</f>
        <v/>
      </c>
      <c r="Y127" s="18" t="str">
        <f aca="false">IF(X127="","",IF(R127="No","None",IF(X127&gt;=Assumptions!$C$23,"High",IF(X127&gt;=Assumptions!$C$24,"Medium","Low"))))</f>
        <v/>
      </c>
      <c r="Z127" s="16"/>
      <c r="AA127" s="17"/>
      <c r="AB127" s="16"/>
      <c r="AC127" s="18" t="str">
        <f aca="true">IF(OR(AA127="",AB127="Hybrid deployed",AB127="PQC deployed",AB127="Not required (not vulnerable)",AB127="Risk accepted"),"",IF(AA127&lt;TODAY(),"OVERDUE",""))</f>
        <v/>
      </c>
      <c r="AD127" s="18" t="str">
        <f aca="true">IF(A127="","",IF(B127="","Name the system. ","")&amp;IF(LEFT(R127,7)="Unknown","Algorithm unknown - scan or ask the vendor. ","")&amp;IF(AND(R127&lt;&gt;"No",Assumptions!$C$6=""),"Set Z on Assumptions. ","")&amp;IF(AND(R127&lt;&gt;"No",OR(O127="",P127="")),"Enter X and Y. ","")&amp;IF(LEFT(T127,7)="AT RISK","Mosca: X+Y exceeds Z - migration should already be under way. ","")&amp;IF(AND(LEFT(U127,3)="Yes",OR(AB127="",AB127="Not started")),"Harvest-now-decrypt-later exposure and migration not started. ","")&amp;IF(AND(R127&lt;&gt;"No",OR(W127="",W127="To decide")),"Choose a target algorithm. ","")&amp;IF(AND(R127&lt;&gt;"No",W127="Keep - not quantum-vulnerable"),"Target 'Keep' conflicts with a quantum-vulnerable algorithm. ","")&amp;IF(LEFT(J127,5)="SHA-1","SHA-1 is deprecated - replace (NIST IR 8547). ","")&amp;IF(AND(R127&lt;&gt;"No",OR(N127="Roadmap - verbal only",N127="No roadmap",N127="Not asked yet")),"Get a written PQC roadmap from the vendor. ","")&amp;IF(AND(R127&lt;&gt;"No",N127=""),"Record the vendor PQC roadmap status. ","")&amp;IF(ISNUMBER(M127),IF(M127&lt;TODAY(),"Certificate or key expired. ",IF(M127-TODAY()&lt;=Assumptions!$C$25,"Expires soon - use the renewal to revisit the algorithm. ","")),"")&amp;IF(AC127="OVERDUE","Migration overdue. ","")&amp;IF(AND(R127&lt;&gt;"No",Z127=""),"Assign a migration owner. ",""))</f>
        <v/>
      </c>
    </row>
    <row r="128" customFormat="false" ht="15" hidden="false" customHeight="false" outlineLevel="0" collapsed="false">
      <c r="A128" s="16"/>
      <c r="B128" s="16"/>
      <c r="C128" s="16"/>
      <c r="D128" s="16"/>
      <c r="E128" s="16"/>
      <c r="F128" s="16"/>
      <c r="G128" s="16"/>
      <c r="H128" s="16"/>
      <c r="I128" s="16"/>
      <c r="J128" s="16"/>
      <c r="K128" s="16"/>
      <c r="L128" s="16"/>
      <c r="M128" s="17"/>
      <c r="N128" s="16"/>
      <c r="O128" s="16"/>
      <c r="P128" s="16"/>
      <c r="Q128" s="18" t="str">
        <f aca="false">IF(A128="","",IF(J128="","Unknown",IFERROR(INDEX('Algorithm Reference'!$C$6:$C$41,MATCH(J128,'Algorithm Reference'!$B$6:$B$41,0)),"Not in reference")))</f>
        <v/>
      </c>
      <c r="R128" s="18" t="str">
        <f aca="false">IF(A128="","",IF(J128="","Unknown - investigate",IFERROR(INDEX('Algorithm Reference'!$E$6:$E$41,MATCH(J128,'Algorithm Reference'!$B$6:$B$41,0)),"Unknown - investigate")))</f>
        <v/>
      </c>
      <c r="S128" s="18" t="str">
        <f aca="false">IF(OR(O128="",P128=""),"",O128+P128)</f>
        <v/>
      </c>
      <c r="T128" s="18" t="str">
        <f aca="false">IF(A128="","",IF(R128="No","N/A - not quantum-vulnerable",IF(OR(O128="",P128=""),"Enter X and Y",IF(Assumptions!$C$6="","Set Z on Assumptions",IF(O128+P128&gt;Assumptions!$C$6,"AT RISK (X+Y &gt; Z)","Within Z (X+Y &lt;= Z)")))))</f>
        <v/>
      </c>
      <c r="U128" s="18" t="str">
        <f aca="false">IF(A128="","",IF(AND(R128&lt;&gt;"No",OR(I128="Key establishment / encryption in transit",I128="Key wrapping / key transport",I128="Mixed or unknown",I128=""),OR(N(O128)&gt;0,G128="Confidential",G128="Restricted")),IF(F128="Yes","Yes - internet-facing","Yes"),"No"))</f>
        <v/>
      </c>
      <c r="V128" s="18" t="str">
        <f aca="false">IF(A128="","",IF(R128="No","Keep - not quantum-vulnerable (review key size)",IF(I128="Digital signature / authentication","ML-DSA-65 (FIPS 204); SLH-DSA (FIPS 205) if hash-based is preferred",IF(OR(I128="Key establishment / encryption in transit",I128="Key wrapping / key transport"),"ML-KEM-768 (FIPS 203); hybrid X25519MLKEM768 for TLS 1.3",IF(I128="Mixed or unknown","Both: ML-KEM (FIPS 203) for keys, ML-DSA (FIPS 204) for signatures","Pick the crypto function first")))))</f>
        <v/>
      </c>
      <c r="W128" s="16"/>
      <c r="X128" s="18" t="str">
        <f aca="false">IF(A128="","",IF(R128="No",0,IF(LEFT(T128,7)="AT RISK",Assumptions!$C$13,0)+IF(LEFT(U128,3)="Yes",Assumptions!$C$14,0)+IF(F128="Yes",Assumptions!$C$15,0)+IF(G128="Restricted",Assumptions!$C$16,IF(G128="Confidential",Assumptions!$C$17,IF(G128="Internal",Assumptions!$C$18,0)))+IF(OR(N128="Roadmap - verbal only",N128="No roadmap",N128="Not asked yet",N128=""),Assumptions!$C$19,0)+IF(E128="Production",Assumptions!$C$20,0)+IF(AND(ISNUMBER(P128),N(P128)&gt;=Assumptions!$C$22),Assumptions!$C$21,0)))</f>
        <v/>
      </c>
      <c r="Y128" s="18" t="str">
        <f aca="false">IF(X128="","",IF(R128="No","None",IF(X128&gt;=Assumptions!$C$23,"High",IF(X128&gt;=Assumptions!$C$24,"Medium","Low"))))</f>
        <v/>
      </c>
      <c r="Z128" s="16"/>
      <c r="AA128" s="17"/>
      <c r="AB128" s="16"/>
      <c r="AC128" s="18" t="str">
        <f aca="true">IF(OR(AA128="",AB128="Hybrid deployed",AB128="PQC deployed",AB128="Not required (not vulnerable)",AB128="Risk accepted"),"",IF(AA128&lt;TODAY(),"OVERDUE",""))</f>
        <v/>
      </c>
      <c r="AD128" s="18" t="str">
        <f aca="true">IF(A128="","",IF(B128="","Name the system. ","")&amp;IF(LEFT(R128,7)="Unknown","Algorithm unknown - scan or ask the vendor. ","")&amp;IF(AND(R128&lt;&gt;"No",Assumptions!$C$6=""),"Set Z on Assumptions. ","")&amp;IF(AND(R128&lt;&gt;"No",OR(O128="",P128="")),"Enter X and Y. ","")&amp;IF(LEFT(T128,7)="AT RISK","Mosca: X+Y exceeds Z - migration should already be under way. ","")&amp;IF(AND(LEFT(U128,3)="Yes",OR(AB128="",AB128="Not started")),"Harvest-now-decrypt-later exposure and migration not started. ","")&amp;IF(AND(R128&lt;&gt;"No",OR(W128="",W128="To decide")),"Choose a target algorithm. ","")&amp;IF(AND(R128&lt;&gt;"No",W128="Keep - not quantum-vulnerable"),"Target 'Keep' conflicts with a quantum-vulnerable algorithm. ","")&amp;IF(LEFT(J128,5)="SHA-1","SHA-1 is deprecated - replace (NIST IR 8547). ","")&amp;IF(AND(R128&lt;&gt;"No",OR(N128="Roadmap - verbal only",N128="No roadmap",N128="Not asked yet")),"Get a written PQC roadmap from the vendor. ","")&amp;IF(AND(R128&lt;&gt;"No",N128=""),"Record the vendor PQC roadmap status. ","")&amp;IF(ISNUMBER(M128),IF(M128&lt;TODAY(),"Certificate or key expired. ",IF(M128-TODAY()&lt;=Assumptions!$C$25,"Expires soon - use the renewal to revisit the algorithm. ","")),"")&amp;IF(AC128="OVERDUE","Migration overdue. ","")&amp;IF(AND(R128&lt;&gt;"No",Z128=""),"Assign a migration owner. ",""))</f>
        <v/>
      </c>
    </row>
    <row r="129" customFormat="false" ht="15" hidden="false" customHeight="false" outlineLevel="0" collapsed="false">
      <c r="A129" s="16"/>
      <c r="B129" s="16"/>
      <c r="C129" s="16"/>
      <c r="D129" s="16"/>
      <c r="E129" s="16"/>
      <c r="F129" s="16"/>
      <c r="G129" s="16"/>
      <c r="H129" s="16"/>
      <c r="I129" s="16"/>
      <c r="J129" s="16"/>
      <c r="K129" s="16"/>
      <c r="L129" s="16"/>
      <c r="M129" s="17"/>
      <c r="N129" s="16"/>
      <c r="O129" s="16"/>
      <c r="P129" s="16"/>
      <c r="Q129" s="18" t="str">
        <f aca="false">IF(A129="","",IF(J129="","Unknown",IFERROR(INDEX('Algorithm Reference'!$C$6:$C$41,MATCH(J129,'Algorithm Reference'!$B$6:$B$41,0)),"Not in reference")))</f>
        <v/>
      </c>
      <c r="R129" s="18" t="str">
        <f aca="false">IF(A129="","",IF(J129="","Unknown - investigate",IFERROR(INDEX('Algorithm Reference'!$E$6:$E$41,MATCH(J129,'Algorithm Reference'!$B$6:$B$41,0)),"Unknown - investigate")))</f>
        <v/>
      </c>
      <c r="S129" s="18" t="str">
        <f aca="false">IF(OR(O129="",P129=""),"",O129+P129)</f>
        <v/>
      </c>
      <c r="T129" s="18" t="str">
        <f aca="false">IF(A129="","",IF(R129="No","N/A - not quantum-vulnerable",IF(OR(O129="",P129=""),"Enter X and Y",IF(Assumptions!$C$6="","Set Z on Assumptions",IF(O129+P129&gt;Assumptions!$C$6,"AT RISK (X+Y &gt; Z)","Within Z (X+Y &lt;= Z)")))))</f>
        <v/>
      </c>
      <c r="U129" s="18" t="str">
        <f aca="false">IF(A129="","",IF(AND(R129&lt;&gt;"No",OR(I129="Key establishment / encryption in transit",I129="Key wrapping / key transport",I129="Mixed or unknown",I129=""),OR(N(O129)&gt;0,G129="Confidential",G129="Restricted")),IF(F129="Yes","Yes - internet-facing","Yes"),"No"))</f>
        <v/>
      </c>
      <c r="V129" s="18" t="str">
        <f aca="false">IF(A129="","",IF(R129="No","Keep - not quantum-vulnerable (review key size)",IF(I129="Digital signature / authentication","ML-DSA-65 (FIPS 204); SLH-DSA (FIPS 205) if hash-based is preferred",IF(OR(I129="Key establishment / encryption in transit",I129="Key wrapping / key transport"),"ML-KEM-768 (FIPS 203); hybrid X25519MLKEM768 for TLS 1.3",IF(I129="Mixed or unknown","Both: ML-KEM (FIPS 203) for keys, ML-DSA (FIPS 204) for signatures","Pick the crypto function first")))))</f>
        <v/>
      </c>
      <c r="W129" s="16"/>
      <c r="X129" s="18" t="str">
        <f aca="false">IF(A129="","",IF(R129="No",0,IF(LEFT(T129,7)="AT RISK",Assumptions!$C$13,0)+IF(LEFT(U129,3)="Yes",Assumptions!$C$14,0)+IF(F129="Yes",Assumptions!$C$15,0)+IF(G129="Restricted",Assumptions!$C$16,IF(G129="Confidential",Assumptions!$C$17,IF(G129="Internal",Assumptions!$C$18,0)))+IF(OR(N129="Roadmap - verbal only",N129="No roadmap",N129="Not asked yet",N129=""),Assumptions!$C$19,0)+IF(E129="Production",Assumptions!$C$20,0)+IF(AND(ISNUMBER(P129),N(P129)&gt;=Assumptions!$C$22),Assumptions!$C$21,0)))</f>
        <v/>
      </c>
      <c r="Y129" s="18" t="str">
        <f aca="false">IF(X129="","",IF(R129="No","None",IF(X129&gt;=Assumptions!$C$23,"High",IF(X129&gt;=Assumptions!$C$24,"Medium","Low"))))</f>
        <v/>
      </c>
      <c r="Z129" s="16"/>
      <c r="AA129" s="17"/>
      <c r="AB129" s="16"/>
      <c r="AC129" s="18" t="str">
        <f aca="true">IF(OR(AA129="",AB129="Hybrid deployed",AB129="PQC deployed",AB129="Not required (not vulnerable)",AB129="Risk accepted"),"",IF(AA129&lt;TODAY(),"OVERDUE",""))</f>
        <v/>
      </c>
      <c r="AD129" s="18" t="str">
        <f aca="true">IF(A129="","",IF(B129="","Name the system. ","")&amp;IF(LEFT(R129,7)="Unknown","Algorithm unknown - scan or ask the vendor. ","")&amp;IF(AND(R129&lt;&gt;"No",Assumptions!$C$6=""),"Set Z on Assumptions. ","")&amp;IF(AND(R129&lt;&gt;"No",OR(O129="",P129="")),"Enter X and Y. ","")&amp;IF(LEFT(T129,7)="AT RISK","Mosca: X+Y exceeds Z - migration should already be under way. ","")&amp;IF(AND(LEFT(U129,3)="Yes",OR(AB129="",AB129="Not started")),"Harvest-now-decrypt-later exposure and migration not started. ","")&amp;IF(AND(R129&lt;&gt;"No",OR(W129="",W129="To decide")),"Choose a target algorithm. ","")&amp;IF(AND(R129&lt;&gt;"No",W129="Keep - not quantum-vulnerable"),"Target 'Keep' conflicts with a quantum-vulnerable algorithm. ","")&amp;IF(LEFT(J129,5)="SHA-1","SHA-1 is deprecated - replace (NIST IR 8547). ","")&amp;IF(AND(R129&lt;&gt;"No",OR(N129="Roadmap - verbal only",N129="No roadmap",N129="Not asked yet")),"Get a written PQC roadmap from the vendor. ","")&amp;IF(AND(R129&lt;&gt;"No",N129=""),"Record the vendor PQC roadmap status. ","")&amp;IF(ISNUMBER(M129),IF(M129&lt;TODAY(),"Certificate or key expired. ",IF(M129-TODAY()&lt;=Assumptions!$C$25,"Expires soon - use the renewal to revisit the algorithm. ","")),"")&amp;IF(AC129="OVERDUE","Migration overdue. ","")&amp;IF(AND(R129&lt;&gt;"No",Z129=""),"Assign a migration owner. ",""))</f>
        <v/>
      </c>
    </row>
    <row r="130" customFormat="false" ht="15" hidden="false" customHeight="false" outlineLevel="0" collapsed="false">
      <c r="A130" s="16"/>
      <c r="B130" s="16"/>
      <c r="C130" s="16"/>
      <c r="D130" s="16"/>
      <c r="E130" s="16"/>
      <c r="F130" s="16"/>
      <c r="G130" s="16"/>
      <c r="H130" s="16"/>
      <c r="I130" s="16"/>
      <c r="J130" s="16"/>
      <c r="K130" s="16"/>
      <c r="L130" s="16"/>
      <c r="M130" s="17"/>
      <c r="N130" s="16"/>
      <c r="O130" s="16"/>
      <c r="P130" s="16"/>
      <c r="Q130" s="18" t="str">
        <f aca="false">IF(A130="","",IF(J130="","Unknown",IFERROR(INDEX('Algorithm Reference'!$C$6:$C$41,MATCH(J130,'Algorithm Reference'!$B$6:$B$41,0)),"Not in reference")))</f>
        <v/>
      </c>
      <c r="R130" s="18" t="str">
        <f aca="false">IF(A130="","",IF(J130="","Unknown - investigate",IFERROR(INDEX('Algorithm Reference'!$E$6:$E$41,MATCH(J130,'Algorithm Reference'!$B$6:$B$41,0)),"Unknown - investigate")))</f>
        <v/>
      </c>
      <c r="S130" s="18" t="str">
        <f aca="false">IF(OR(O130="",P130=""),"",O130+P130)</f>
        <v/>
      </c>
      <c r="T130" s="18" t="str">
        <f aca="false">IF(A130="","",IF(R130="No","N/A - not quantum-vulnerable",IF(OR(O130="",P130=""),"Enter X and Y",IF(Assumptions!$C$6="","Set Z on Assumptions",IF(O130+P130&gt;Assumptions!$C$6,"AT RISK (X+Y &gt; Z)","Within Z (X+Y &lt;= Z)")))))</f>
        <v/>
      </c>
      <c r="U130" s="18" t="str">
        <f aca="false">IF(A130="","",IF(AND(R130&lt;&gt;"No",OR(I130="Key establishment / encryption in transit",I130="Key wrapping / key transport",I130="Mixed or unknown",I130=""),OR(N(O130)&gt;0,G130="Confidential",G130="Restricted")),IF(F130="Yes","Yes - internet-facing","Yes"),"No"))</f>
        <v/>
      </c>
      <c r="V130" s="18" t="str">
        <f aca="false">IF(A130="","",IF(R130="No","Keep - not quantum-vulnerable (review key size)",IF(I130="Digital signature / authentication","ML-DSA-65 (FIPS 204); SLH-DSA (FIPS 205) if hash-based is preferred",IF(OR(I130="Key establishment / encryption in transit",I130="Key wrapping / key transport"),"ML-KEM-768 (FIPS 203); hybrid X25519MLKEM768 for TLS 1.3",IF(I130="Mixed or unknown","Both: ML-KEM (FIPS 203) for keys, ML-DSA (FIPS 204) for signatures","Pick the crypto function first")))))</f>
        <v/>
      </c>
      <c r="W130" s="16"/>
      <c r="X130" s="18" t="str">
        <f aca="false">IF(A130="","",IF(R130="No",0,IF(LEFT(T130,7)="AT RISK",Assumptions!$C$13,0)+IF(LEFT(U130,3)="Yes",Assumptions!$C$14,0)+IF(F130="Yes",Assumptions!$C$15,0)+IF(G130="Restricted",Assumptions!$C$16,IF(G130="Confidential",Assumptions!$C$17,IF(G130="Internal",Assumptions!$C$18,0)))+IF(OR(N130="Roadmap - verbal only",N130="No roadmap",N130="Not asked yet",N130=""),Assumptions!$C$19,0)+IF(E130="Production",Assumptions!$C$20,0)+IF(AND(ISNUMBER(P130),N(P130)&gt;=Assumptions!$C$22),Assumptions!$C$21,0)))</f>
        <v/>
      </c>
      <c r="Y130" s="18" t="str">
        <f aca="false">IF(X130="","",IF(R130="No","None",IF(X130&gt;=Assumptions!$C$23,"High",IF(X130&gt;=Assumptions!$C$24,"Medium","Low"))))</f>
        <v/>
      </c>
      <c r="Z130" s="16"/>
      <c r="AA130" s="17"/>
      <c r="AB130" s="16"/>
      <c r="AC130" s="18" t="str">
        <f aca="true">IF(OR(AA130="",AB130="Hybrid deployed",AB130="PQC deployed",AB130="Not required (not vulnerable)",AB130="Risk accepted"),"",IF(AA130&lt;TODAY(),"OVERDUE",""))</f>
        <v/>
      </c>
      <c r="AD130" s="18" t="str">
        <f aca="true">IF(A130="","",IF(B130="","Name the system. ","")&amp;IF(LEFT(R130,7)="Unknown","Algorithm unknown - scan or ask the vendor. ","")&amp;IF(AND(R130&lt;&gt;"No",Assumptions!$C$6=""),"Set Z on Assumptions. ","")&amp;IF(AND(R130&lt;&gt;"No",OR(O130="",P130="")),"Enter X and Y. ","")&amp;IF(LEFT(T130,7)="AT RISK","Mosca: X+Y exceeds Z - migration should already be under way. ","")&amp;IF(AND(LEFT(U130,3)="Yes",OR(AB130="",AB130="Not started")),"Harvest-now-decrypt-later exposure and migration not started. ","")&amp;IF(AND(R130&lt;&gt;"No",OR(W130="",W130="To decide")),"Choose a target algorithm. ","")&amp;IF(AND(R130&lt;&gt;"No",W130="Keep - not quantum-vulnerable"),"Target 'Keep' conflicts with a quantum-vulnerable algorithm. ","")&amp;IF(LEFT(J130,5)="SHA-1","SHA-1 is deprecated - replace (NIST IR 8547). ","")&amp;IF(AND(R130&lt;&gt;"No",OR(N130="Roadmap - verbal only",N130="No roadmap",N130="Not asked yet")),"Get a written PQC roadmap from the vendor. ","")&amp;IF(AND(R130&lt;&gt;"No",N130=""),"Record the vendor PQC roadmap status. ","")&amp;IF(ISNUMBER(M130),IF(M130&lt;TODAY(),"Certificate or key expired. ",IF(M130-TODAY()&lt;=Assumptions!$C$25,"Expires soon - use the renewal to revisit the algorithm. ","")),"")&amp;IF(AC130="OVERDUE","Migration overdue. ","")&amp;IF(AND(R130&lt;&gt;"No",Z130=""),"Assign a migration owner. ",""))</f>
        <v/>
      </c>
    </row>
    <row r="131" customFormat="false" ht="15" hidden="false" customHeight="false" outlineLevel="0" collapsed="false">
      <c r="A131" s="16"/>
      <c r="B131" s="16"/>
      <c r="C131" s="16"/>
      <c r="D131" s="16"/>
      <c r="E131" s="16"/>
      <c r="F131" s="16"/>
      <c r="G131" s="16"/>
      <c r="H131" s="16"/>
      <c r="I131" s="16"/>
      <c r="J131" s="16"/>
      <c r="K131" s="16"/>
      <c r="L131" s="16"/>
      <c r="M131" s="17"/>
      <c r="N131" s="16"/>
      <c r="O131" s="16"/>
      <c r="P131" s="16"/>
      <c r="Q131" s="18" t="str">
        <f aca="false">IF(A131="","",IF(J131="","Unknown",IFERROR(INDEX('Algorithm Reference'!$C$6:$C$41,MATCH(J131,'Algorithm Reference'!$B$6:$B$41,0)),"Not in reference")))</f>
        <v/>
      </c>
      <c r="R131" s="18" t="str">
        <f aca="false">IF(A131="","",IF(J131="","Unknown - investigate",IFERROR(INDEX('Algorithm Reference'!$E$6:$E$41,MATCH(J131,'Algorithm Reference'!$B$6:$B$41,0)),"Unknown - investigate")))</f>
        <v/>
      </c>
      <c r="S131" s="18" t="str">
        <f aca="false">IF(OR(O131="",P131=""),"",O131+P131)</f>
        <v/>
      </c>
      <c r="T131" s="18" t="str">
        <f aca="false">IF(A131="","",IF(R131="No","N/A - not quantum-vulnerable",IF(OR(O131="",P131=""),"Enter X and Y",IF(Assumptions!$C$6="","Set Z on Assumptions",IF(O131+P131&gt;Assumptions!$C$6,"AT RISK (X+Y &gt; Z)","Within Z (X+Y &lt;= Z)")))))</f>
        <v/>
      </c>
      <c r="U131" s="18" t="str">
        <f aca="false">IF(A131="","",IF(AND(R131&lt;&gt;"No",OR(I131="Key establishment / encryption in transit",I131="Key wrapping / key transport",I131="Mixed or unknown",I131=""),OR(N(O131)&gt;0,G131="Confidential",G131="Restricted")),IF(F131="Yes","Yes - internet-facing","Yes"),"No"))</f>
        <v/>
      </c>
      <c r="V131" s="18" t="str">
        <f aca="false">IF(A131="","",IF(R131="No","Keep - not quantum-vulnerable (review key size)",IF(I131="Digital signature / authentication","ML-DSA-65 (FIPS 204); SLH-DSA (FIPS 205) if hash-based is preferred",IF(OR(I131="Key establishment / encryption in transit",I131="Key wrapping / key transport"),"ML-KEM-768 (FIPS 203); hybrid X25519MLKEM768 for TLS 1.3",IF(I131="Mixed or unknown","Both: ML-KEM (FIPS 203) for keys, ML-DSA (FIPS 204) for signatures","Pick the crypto function first")))))</f>
        <v/>
      </c>
      <c r="W131" s="16"/>
      <c r="X131" s="18" t="str">
        <f aca="false">IF(A131="","",IF(R131="No",0,IF(LEFT(T131,7)="AT RISK",Assumptions!$C$13,0)+IF(LEFT(U131,3)="Yes",Assumptions!$C$14,0)+IF(F131="Yes",Assumptions!$C$15,0)+IF(G131="Restricted",Assumptions!$C$16,IF(G131="Confidential",Assumptions!$C$17,IF(G131="Internal",Assumptions!$C$18,0)))+IF(OR(N131="Roadmap - verbal only",N131="No roadmap",N131="Not asked yet",N131=""),Assumptions!$C$19,0)+IF(E131="Production",Assumptions!$C$20,0)+IF(AND(ISNUMBER(P131),N(P131)&gt;=Assumptions!$C$22),Assumptions!$C$21,0)))</f>
        <v/>
      </c>
      <c r="Y131" s="18" t="str">
        <f aca="false">IF(X131="","",IF(R131="No","None",IF(X131&gt;=Assumptions!$C$23,"High",IF(X131&gt;=Assumptions!$C$24,"Medium","Low"))))</f>
        <v/>
      </c>
      <c r="Z131" s="16"/>
      <c r="AA131" s="17"/>
      <c r="AB131" s="16"/>
      <c r="AC131" s="18" t="str">
        <f aca="true">IF(OR(AA131="",AB131="Hybrid deployed",AB131="PQC deployed",AB131="Not required (not vulnerable)",AB131="Risk accepted"),"",IF(AA131&lt;TODAY(),"OVERDUE",""))</f>
        <v/>
      </c>
      <c r="AD131" s="18" t="str">
        <f aca="true">IF(A131="","",IF(B131="","Name the system. ","")&amp;IF(LEFT(R131,7)="Unknown","Algorithm unknown - scan or ask the vendor. ","")&amp;IF(AND(R131&lt;&gt;"No",Assumptions!$C$6=""),"Set Z on Assumptions. ","")&amp;IF(AND(R131&lt;&gt;"No",OR(O131="",P131="")),"Enter X and Y. ","")&amp;IF(LEFT(T131,7)="AT RISK","Mosca: X+Y exceeds Z - migration should already be under way. ","")&amp;IF(AND(LEFT(U131,3)="Yes",OR(AB131="",AB131="Not started")),"Harvest-now-decrypt-later exposure and migration not started. ","")&amp;IF(AND(R131&lt;&gt;"No",OR(W131="",W131="To decide")),"Choose a target algorithm. ","")&amp;IF(AND(R131&lt;&gt;"No",W131="Keep - not quantum-vulnerable"),"Target 'Keep' conflicts with a quantum-vulnerable algorithm. ","")&amp;IF(LEFT(J131,5)="SHA-1","SHA-1 is deprecated - replace (NIST IR 8547). ","")&amp;IF(AND(R131&lt;&gt;"No",OR(N131="Roadmap - verbal only",N131="No roadmap",N131="Not asked yet")),"Get a written PQC roadmap from the vendor. ","")&amp;IF(AND(R131&lt;&gt;"No",N131=""),"Record the vendor PQC roadmap status. ","")&amp;IF(ISNUMBER(M131),IF(M131&lt;TODAY(),"Certificate or key expired. ",IF(M131-TODAY()&lt;=Assumptions!$C$25,"Expires soon - use the renewal to revisit the algorithm. ","")),"")&amp;IF(AC131="OVERDUE","Migration overdue. ","")&amp;IF(AND(R131&lt;&gt;"No",Z131=""),"Assign a migration owner. ",""))</f>
        <v/>
      </c>
    </row>
    <row r="132" customFormat="false" ht="15" hidden="false" customHeight="false" outlineLevel="0" collapsed="false">
      <c r="A132" s="16"/>
      <c r="B132" s="16"/>
      <c r="C132" s="16"/>
      <c r="D132" s="16"/>
      <c r="E132" s="16"/>
      <c r="F132" s="16"/>
      <c r="G132" s="16"/>
      <c r="H132" s="16"/>
      <c r="I132" s="16"/>
      <c r="J132" s="16"/>
      <c r="K132" s="16"/>
      <c r="L132" s="16"/>
      <c r="M132" s="17"/>
      <c r="N132" s="16"/>
      <c r="O132" s="16"/>
      <c r="P132" s="16"/>
      <c r="Q132" s="18" t="str">
        <f aca="false">IF(A132="","",IF(J132="","Unknown",IFERROR(INDEX('Algorithm Reference'!$C$6:$C$41,MATCH(J132,'Algorithm Reference'!$B$6:$B$41,0)),"Not in reference")))</f>
        <v/>
      </c>
      <c r="R132" s="18" t="str">
        <f aca="false">IF(A132="","",IF(J132="","Unknown - investigate",IFERROR(INDEX('Algorithm Reference'!$E$6:$E$41,MATCH(J132,'Algorithm Reference'!$B$6:$B$41,0)),"Unknown - investigate")))</f>
        <v/>
      </c>
      <c r="S132" s="18" t="str">
        <f aca="false">IF(OR(O132="",P132=""),"",O132+P132)</f>
        <v/>
      </c>
      <c r="T132" s="18" t="str">
        <f aca="false">IF(A132="","",IF(R132="No","N/A - not quantum-vulnerable",IF(OR(O132="",P132=""),"Enter X and Y",IF(Assumptions!$C$6="","Set Z on Assumptions",IF(O132+P132&gt;Assumptions!$C$6,"AT RISK (X+Y &gt; Z)","Within Z (X+Y &lt;= Z)")))))</f>
        <v/>
      </c>
      <c r="U132" s="18" t="str">
        <f aca="false">IF(A132="","",IF(AND(R132&lt;&gt;"No",OR(I132="Key establishment / encryption in transit",I132="Key wrapping / key transport",I132="Mixed or unknown",I132=""),OR(N(O132)&gt;0,G132="Confidential",G132="Restricted")),IF(F132="Yes","Yes - internet-facing","Yes"),"No"))</f>
        <v/>
      </c>
      <c r="V132" s="18" t="str">
        <f aca="false">IF(A132="","",IF(R132="No","Keep - not quantum-vulnerable (review key size)",IF(I132="Digital signature / authentication","ML-DSA-65 (FIPS 204); SLH-DSA (FIPS 205) if hash-based is preferred",IF(OR(I132="Key establishment / encryption in transit",I132="Key wrapping / key transport"),"ML-KEM-768 (FIPS 203); hybrid X25519MLKEM768 for TLS 1.3",IF(I132="Mixed or unknown","Both: ML-KEM (FIPS 203) for keys, ML-DSA (FIPS 204) for signatures","Pick the crypto function first")))))</f>
        <v/>
      </c>
      <c r="W132" s="16"/>
      <c r="X132" s="18" t="str">
        <f aca="false">IF(A132="","",IF(R132="No",0,IF(LEFT(T132,7)="AT RISK",Assumptions!$C$13,0)+IF(LEFT(U132,3)="Yes",Assumptions!$C$14,0)+IF(F132="Yes",Assumptions!$C$15,0)+IF(G132="Restricted",Assumptions!$C$16,IF(G132="Confidential",Assumptions!$C$17,IF(G132="Internal",Assumptions!$C$18,0)))+IF(OR(N132="Roadmap - verbal only",N132="No roadmap",N132="Not asked yet",N132=""),Assumptions!$C$19,0)+IF(E132="Production",Assumptions!$C$20,0)+IF(AND(ISNUMBER(P132),N(P132)&gt;=Assumptions!$C$22),Assumptions!$C$21,0)))</f>
        <v/>
      </c>
      <c r="Y132" s="18" t="str">
        <f aca="false">IF(X132="","",IF(R132="No","None",IF(X132&gt;=Assumptions!$C$23,"High",IF(X132&gt;=Assumptions!$C$24,"Medium","Low"))))</f>
        <v/>
      </c>
      <c r="Z132" s="16"/>
      <c r="AA132" s="17"/>
      <c r="AB132" s="16"/>
      <c r="AC132" s="18" t="str">
        <f aca="true">IF(OR(AA132="",AB132="Hybrid deployed",AB132="PQC deployed",AB132="Not required (not vulnerable)",AB132="Risk accepted"),"",IF(AA132&lt;TODAY(),"OVERDUE",""))</f>
        <v/>
      </c>
      <c r="AD132" s="18" t="str">
        <f aca="true">IF(A132="","",IF(B132="","Name the system. ","")&amp;IF(LEFT(R132,7)="Unknown","Algorithm unknown - scan or ask the vendor. ","")&amp;IF(AND(R132&lt;&gt;"No",Assumptions!$C$6=""),"Set Z on Assumptions. ","")&amp;IF(AND(R132&lt;&gt;"No",OR(O132="",P132="")),"Enter X and Y. ","")&amp;IF(LEFT(T132,7)="AT RISK","Mosca: X+Y exceeds Z - migration should already be under way. ","")&amp;IF(AND(LEFT(U132,3)="Yes",OR(AB132="",AB132="Not started")),"Harvest-now-decrypt-later exposure and migration not started. ","")&amp;IF(AND(R132&lt;&gt;"No",OR(W132="",W132="To decide")),"Choose a target algorithm. ","")&amp;IF(AND(R132&lt;&gt;"No",W132="Keep - not quantum-vulnerable"),"Target 'Keep' conflicts with a quantum-vulnerable algorithm. ","")&amp;IF(LEFT(J132,5)="SHA-1","SHA-1 is deprecated - replace (NIST IR 8547). ","")&amp;IF(AND(R132&lt;&gt;"No",OR(N132="Roadmap - verbal only",N132="No roadmap",N132="Not asked yet")),"Get a written PQC roadmap from the vendor. ","")&amp;IF(AND(R132&lt;&gt;"No",N132=""),"Record the vendor PQC roadmap status. ","")&amp;IF(ISNUMBER(M132),IF(M132&lt;TODAY(),"Certificate or key expired. ",IF(M132-TODAY()&lt;=Assumptions!$C$25,"Expires soon - use the renewal to revisit the algorithm. ","")),"")&amp;IF(AC132="OVERDUE","Migration overdue. ","")&amp;IF(AND(R132&lt;&gt;"No",Z132=""),"Assign a migration owner. ",""))</f>
        <v/>
      </c>
    </row>
    <row r="133" customFormat="false" ht="15" hidden="false" customHeight="false" outlineLevel="0" collapsed="false">
      <c r="A133" s="16"/>
      <c r="B133" s="16"/>
      <c r="C133" s="16"/>
      <c r="D133" s="16"/>
      <c r="E133" s="16"/>
      <c r="F133" s="16"/>
      <c r="G133" s="16"/>
      <c r="H133" s="16"/>
      <c r="I133" s="16"/>
      <c r="J133" s="16"/>
      <c r="K133" s="16"/>
      <c r="L133" s="16"/>
      <c r="M133" s="17"/>
      <c r="N133" s="16"/>
      <c r="O133" s="16"/>
      <c r="P133" s="16"/>
      <c r="Q133" s="18" t="str">
        <f aca="false">IF(A133="","",IF(J133="","Unknown",IFERROR(INDEX('Algorithm Reference'!$C$6:$C$41,MATCH(J133,'Algorithm Reference'!$B$6:$B$41,0)),"Not in reference")))</f>
        <v/>
      </c>
      <c r="R133" s="18" t="str">
        <f aca="false">IF(A133="","",IF(J133="","Unknown - investigate",IFERROR(INDEX('Algorithm Reference'!$E$6:$E$41,MATCH(J133,'Algorithm Reference'!$B$6:$B$41,0)),"Unknown - investigate")))</f>
        <v/>
      </c>
      <c r="S133" s="18" t="str">
        <f aca="false">IF(OR(O133="",P133=""),"",O133+P133)</f>
        <v/>
      </c>
      <c r="T133" s="18" t="str">
        <f aca="false">IF(A133="","",IF(R133="No","N/A - not quantum-vulnerable",IF(OR(O133="",P133=""),"Enter X and Y",IF(Assumptions!$C$6="","Set Z on Assumptions",IF(O133+P133&gt;Assumptions!$C$6,"AT RISK (X+Y &gt; Z)","Within Z (X+Y &lt;= Z)")))))</f>
        <v/>
      </c>
      <c r="U133" s="18" t="str">
        <f aca="false">IF(A133="","",IF(AND(R133&lt;&gt;"No",OR(I133="Key establishment / encryption in transit",I133="Key wrapping / key transport",I133="Mixed or unknown",I133=""),OR(N(O133)&gt;0,G133="Confidential",G133="Restricted")),IF(F133="Yes","Yes - internet-facing","Yes"),"No"))</f>
        <v/>
      </c>
      <c r="V133" s="18" t="str">
        <f aca="false">IF(A133="","",IF(R133="No","Keep - not quantum-vulnerable (review key size)",IF(I133="Digital signature / authentication","ML-DSA-65 (FIPS 204); SLH-DSA (FIPS 205) if hash-based is preferred",IF(OR(I133="Key establishment / encryption in transit",I133="Key wrapping / key transport"),"ML-KEM-768 (FIPS 203); hybrid X25519MLKEM768 for TLS 1.3",IF(I133="Mixed or unknown","Both: ML-KEM (FIPS 203) for keys, ML-DSA (FIPS 204) for signatures","Pick the crypto function first")))))</f>
        <v/>
      </c>
      <c r="W133" s="16"/>
      <c r="X133" s="18" t="str">
        <f aca="false">IF(A133="","",IF(R133="No",0,IF(LEFT(T133,7)="AT RISK",Assumptions!$C$13,0)+IF(LEFT(U133,3)="Yes",Assumptions!$C$14,0)+IF(F133="Yes",Assumptions!$C$15,0)+IF(G133="Restricted",Assumptions!$C$16,IF(G133="Confidential",Assumptions!$C$17,IF(G133="Internal",Assumptions!$C$18,0)))+IF(OR(N133="Roadmap - verbal only",N133="No roadmap",N133="Not asked yet",N133=""),Assumptions!$C$19,0)+IF(E133="Production",Assumptions!$C$20,0)+IF(AND(ISNUMBER(P133),N(P133)&gt;=Assumptions!$C$22),Assumptions!$C$21,0)))</f>
        <v/>
      </c>
      <c r="Y133" s="18" t="str">
        <f aca="false">IF(X133="","",IF(R133="No","None",IF(X133&gt;=Assumptions!$C$23,"High",IF(X133&gt;=Assumptions!$C$24,"Medium","Low"))))</f>
        <v/>
      </c>
      <c r="Z133" s="16"/>
      <c r="AA133" s="17"/>
      <c r="AB133" s="16"/>
      <c r="AC133" s="18" t="str">
        <f aca="true">IF(OR(AA133="",AB133="Hybrid deployed",AB133="PQC deployed",AB133="Not required (not vulnerable)",AB133="Risk accepted"),"",IF(AA133&lt;TODAY(),"OVERDUE",""))</f>
        <v/>
      </c>
      <c r="AD133" s="18" t="str">
        <f aca="true">IF(A133="","",IF(B133="","Name the system. ","")&amp;IF(LEFT(R133,7)="Unknown","Algorithm unknown - scan or ask the vendor. ","")&amp;IF(AND(R133&lt;&gt;"No",Assumptions!$C$6=""),"Set Z on Assumptions. ","")&amp;IF(AND(R133&lt;&gt;"No",OR(O133="",P133="")),"Enter X and Y. ","")&amp;IF(LEFT(T133,7)="AT RISK","Mosca: X+Y exceeds Z - migration should already be under way. ","")&amp;IF(AND(LEFT(U133,3)="Yes",OR(AB133="",AB133="Not started")),"Harvest-now-decrypt-later exposure and migration not started. ","")&amp;IF(AND(R133&lt;&gt;"No",OR(W133="",W133="To decide")),"Choose a target algorithm. ","")&amp;IF(AND(R133&lt;&gt;"No",W133="Keep - not quantum-vulnerable"),"Target 'Keep' conflicts with a quantum-vulnerable algorithm. ","")&amp;IF(LEFT(J133,5)="SHA-1","SHA-1 is deprecated - replace (NIST IR 8547). ","")&amp;IF(AND(R133&lt;&gt;"No",OR(N133="Roadmap - verbal only",N133="No roadmap",N133="Not asked yet")),"Get a written PQC roadmap from the vendor. ","")&amp;IF(AND(R133&lt;&gt;"No",N133=""),"Record the vendor PQC roadmap status. ","")&amp;IF(ISNUMBER(M133),IF(M133&lt;TODAY(),"Certificate or key expired. ",IF(M133-TODAY()&lt;=Assumptions!$C$25,"Expires soon - use the renewal to revisit the algorithm. ","")),"")&amp;IF(AC133="OVERDUE","Migration overdue. ","")&amp;IF(AND(R133&lt;&gt;"No",Z133=""),"Assign a migration owner. ",""))</f>
        <v/>
      </c>
    </row>
    <row r="134" customFormat="false" ht="15" hidden="false" customHeight="false" outlineLevel="0" collapsed="false">
      <c r="A134" s="16"/>
      <c r="B134" s="16"/>
      <c r="C134" s="16"/>
      <c r="D134" s="16"/>
      <c r="E134" s="16"/>
      <c r="F134" s="16"/>
      <c r="G134" s="16"/>
      <c r="H134" s="16"/>
      <c r="I134" s="16"/>
      <c r="J134" s="16"/>
      <c r="K134" s="16"/>
      <c r="L134" s="16"/>
      <c r="M134" s="17"/>
      <c r="N134" s="16"/>
      <c r="O134" s="16"/>
      <c r="P134" s="16"/>
      <c r="Q134" s="18" t="str">
        <f aca="false">IF(A134="","",IF(J134="","Unknown",IFERROR(INDEX('Algorithm Reference'!$C$6:$C$41,MATCH(J134,'Algorithm Reference'!$B$6:$B$41,0)),"Not in reference")))</f>
        <v/>
      </c>
      <c r="R134" s="18" t="str">
        <f aca="false">IF(A134="","",IF(J134="","Unknown - investigate",IFERROR(INDEX('Algorithm Reference'!$E$6:$E$41,MATCH(J134,'Algorithm Reference'!$B$6:$B$41,0)),"Unknown - investigate")))</f>
        <v/>
      </c>
      <c r="S134" s="18" t="str">
        <f aca="false">IF(OR(O134="",P134=""),"",O134+P134)</f>
        <v/>
      </c>
      <c r="T134" s="18" t="str">
        <f aca="false">IF(A134="","",IF(R134="No","N/A - not quantum-vulnerable",IF(OR(O134="",P134=""),"Enter X and Y",IF(Assumptions!$C$6="","Set Z on Assumptions",IF(O134+P134&gt;Assumptions!$C$6,"AT RISK (X+Y &gt; Z)","Within Z (X+Y &lt;= Z)")))))</f>
        <v/>
      </c>
      <c r="U134" s="18" t="str">
        <f aca="false">IF(A134="","",IF(AND(R134&lt;&gt;"No",OR(I134="Key establishment / encryption in transit",I134="Key wrapping / key transport",I134="Mixed or unknown",I134=""),OR(N(O134)&gt;0,G134="Confidential",G134="Restricted")),IF(F134="Yes","Yes - internet-facing","Yes"),"No"))</f>
        <v/>
      </c>
      <c r="V134" s="18" t="str">
        <f aca="false">IF(A134="","",IF(R134="No","Keep - not quantum-vulnerable (review key size)",IF(I134="Digital signature / authentication","ML-DSA-65 (FIPS 204); SLH-DSA (FIPS 205) if hash-based is preferred",IF(OR(I134="Key establishment / encryption in transit",I134="Key wrapping / key transport"),"ML-KEM-768 (FIPS 203); hybrid X25519MLKEM768 for TLS 1.3",IF(I134="Mixed or unknown","Both: ML-KEM (FIPS 203) for keys, ML-DSA (FIPS 204) for signatures","Pick the crypto function first")))))</f>
        <v/>
      </c>
      <c r="W134" s="16"/>
      <c r="X134" s="18" t="str">
        <f aca="false">IF(A134="","",IF(R134="No",0,IF(LEFT(T134,7)="AT RISK",Assumptions!$C$13,0)+IF(LEFT(U134,3)="Yes",Assumptions!$C$14,0)+IF(F134="Yes",Assumptions!$C$15,0)+IF(G134="Restricted",Assumptions!$C$16,IF(G134="Confidential",Assumptions!$C$17,IF(G134="Internal",Assumptions!$C$18,0)))+IF(OR(N134="Roadmap - verbal only",N134="No roadmap",N134="Not asked yet",N134=""),Assumptions!$C$19,0)+IF(E134="Production",Assumptions!$C$20,0)+IF(AND(ISNUMBER(P134),N(P134)&gt;=Assumptions!$C$22),Assumptions!$C$21,0)))</f>
        <v/>
      </c>
      <c r="Y134" s="18" t="str">
        <f aca="false">IF(X134="","",IF(R134="No","None",IF(X134&gt;=Assumptions!$C$23,"High",IF(X134&gt;=Assumptions!$C$24,"Medium","Low"))))</f>
        <v/>
      </c>
      <c r="Z134" s="16"/>
      <c r="AA134" s="17"/>
      <c r="AB134" s="16"/>
      <c r="AC134" s="18" t="str">
        <f aca="true">IF(OR(AA134="",AB134="Hybrid deployed",AB134="PQC deployed",AB134="Not required (not vulnerable)",AB134="Risk accepted"),"",IF(AA134&lt;TODAY(),"OVERDUE",""))</f>
        <v/>
      </c>
      <c r="AD134" s="18" t="str">
        <f aca="true">IF(A134="","",IF(B134="","Name the system. ","")&amp;IF(LEFT(R134,7)="Unknown","Algorithm unknown - scan or ask the vendor. ","")&amp;IF(AND(R134&lt;&gt;"No",Assumptions!$C$6=""),"Set Z on Assumptions. ","")&amp;IF(AND(R134&lt;&gt;"No",OR(O134="",P134="")),"Enter X and Y. ","")&amp;IF(LEFT(T134,7)="AT RISK","Mosca: X+Y exceeds Z - migration should already be under way. ","")&amp;IF(AND(LEFT(U134,3)="Yes",OR(AB134="",AB134="Not started")),"Harvest-now-decrypt-later exposure and migration not started. ","")&amp;IF(AND(R134&lt;&gt;"No",OR(W134="",W134="To decide")),"Choose a target algorithm. ","")&amp;IF(AND(R134&lt;&gt;"No",W134="Keep - not quantum-vulnerable"),"Target 'Keep' conflicts with a quantum-vulnerable algorithm. ","")&amp;IF(LEFT(J134,5)="SHA-1","SHA-1 is deprecated - replace (NIST IR 8547). ","")&amp;IF(AND(R134&lt;&gt;"No",OR(N134="Roadmap - verbal only",N134="No roadmap",N134="Not asked yet")),"Get a written PQC roadmap from the vendor. ","")&amp;IF(AND(R134&lt;&gt;"No",N134=""),"Record the vendor PQC roadmap status. ","")&amp;IF(ISNUMBER(M134),IF(M134&lt;TODAY(),"Certificate or key expired. ",IF(M134-TODAY()&lt;=Assumptions!$C$25,"Expires soon - use the renewal to revisit the algorithm. ","")),"")&amp;IF(AC134="OVERDUE","Migration overdue. ","")&amp;IF(AND(R134&lt;&gt;"No",Z134=""),"Assign a migration owner. ",""))</f>
        <v/>
      </c>
    </row>
    <row r="135" customFormat="false" ht="15" hidden="false" customHeight="false" outlineLevel="0" collapsed="false">
      <c r="A135" s="16"/>
      <c r="B135" s="16"/>
      <c r="C135" s="16"/>
      <c r="D135" s="16"/>
      <c r="E135" s="16"/>
      <c r="F135" s="16"/>
      <c r="G135" s="16"/>
      <c r="H135" s="16"/>
      <c r="I135" s="16"/>
      <c r="J135" s="16"/>
      <c r="K135" s="16"/>
      <c r="L135" s="16"/>
      <c r="M135" s="17"/>
      <c r="N135" s="16"/>
      <c r="O135" s="16"/>
      <c r="P135" s="16"/>
      <c r="Q135" s="18" t="str">
        <f aca="false">IF(A135="","",IF(J135="","Unknown",IFERROR(INDEX('Algorithm Reference'!$C$6:$C$41,MATCH(J135,'Algorithm Reference'!$B$6:$B$41,0)),"Not in reference")))</f>
        <v/>
      </c>
      <c r="R135" s="18" t="str">
        <f aca="false">IF(A135="","",IF(J135="","Unknown - investigate",IFERROR(INDEX('Algorithm Reference'!$E$6:$E$41,MATCH(J135,'Algorithm Reference'!$B$6:$B$41,0)),"Unknown - investigate")))</f>
        <v/>
      </c>
      <c r="S135" s="18" t="str">
        <f aca="false">IF(OR(O135="",P135=""),"",O135+P135)</f>
        <v/>
      </c>
      <c r="T135" s="18" t="str">
        <f aca="false">IF(A135="","",IF(R135="No","N/A - not quantum-vulnerable",IF(OR(O135="",P135=""),"Enter X and Y",IF(Assumptions!$C$6="","Set Z on Assumptions",IF(O135+P135&gt;Assumptions!$C$6,"AT RISK (X+Y &gt; Z)","Within Z (X+Y &lt;= Z)")))))</f>
        <v/>
      </c>
      <c r="U135" s="18" t="str">
        <f aca="false">IF(A135="","",IF(AND(R135&lt;&gt;"No",OR(I135="Key establishment / encryption in transit",I135="Key wrapping / key transport",I135="Mixed or unknown",I135=""),OR(N(O135)&gt;0,G135="Confidential",G135="Restricted")),IF(F135="Yes","Yes - internet-facing","Yes"),"No"))</f>
        <v/>
      </c>
      <c r="V135" s="18" t="str">
        <f aca="false">IF(A135="","",IF(R135="No","Keep - not quantum-vulnerable (review key size)",IF(I135="Digital signature / authentication","ML-DSA-65 (FIPS 204); SLH-DSA (FIPS 205) if hash-based is preferred",IF(OR(I135="Key establishment / encryption in transit",I135="Key wrapping / key transport"),"ML-KEM-768 (FIPS 203); hybrid X25519MLKEM768 for TLS 1.3",IF(I135="Mixed or unknown","Both: ML-KEM (FIPS 203) for keys, ML-DSA (FIPS 204) for signatures","Pick the crypto function first")))))</f>
        <v/>
      </c>
      <c r="W135" s="16"/>
      <c r="X135" s="18" t="str">
        <f aca="false">IF(A135="","",IF(R135="No",0,IF(LEFT(T135,7)="AT RISK",Assumptions!$C$13,0)+IF(LEFT(U135,3)="Yes",Assumptions!$C$14,0)+IF(F135="Yes",Assumptions!$C$15,0)+IF(G135="Restricted",Assumptions!$C$16,IF(G135="Confidential",Assumptions!$C$17,IF(G135="Internal",Assumptions!$C$18,0)))+IF(OR(N135="Roadmap - verbal only",N135="No roadmap",N135="Not asked yet",N135=""),Assumptions!$C$19,0)+IF(E135="Production",Assumptions!$C$20,0)+IF(AND(ISNUMBER(P135),N(P135)&gt;=Assumptions!$C$22),Assumptions!$C$21,0)))</f>
        <v/>
      </c>
      <c r="Y135" s="18" t="str">
        <f aca="false">IF(X135="","",IF(R135="No","None",IF(X135&gt;=Assumptions!$C$23,"High",IF(X135&gt;=Assumptions!$C$24,"Medium","Low"))))</f>
        <v/>
      </c>
      <c r="Z135" s="16"/>
      <c r="AA135" s="17"/>
      <c r="AB135" s="16"/>
      <c r="AC135" s="18" t="str">
        <f aca="true">IF(OR(AA135="",AB135="Hybrid deployed",AB135="PQC deployed",AB135="Not required (not vulnerable)",AB135="Risk accepted"),"",IF(AA135&lt;TODAY(),"OVERDUE",""))</f>
        <v/>
      </c>
      <c r="AD135" s="18" t="str">
        <f aca="true">IF(A135="","",IF(B135="","Name the system. ","")&amp;IF(LEFT(R135,7)="Unknown","Algorithm unknown - scan or ask the vendor. ","")&amp;IF(AND(R135&lt;&gt;"No",Assumptions!$C$6=""),"Set Z on Assumptions. ","")&amp;IF(AND(R135&lt;&gt;"No",OR(O135="",P135="")),"Enter X and Y. ","")&amp;IF(LEFT(T135,7)="AT RISK","Mosca: X+Y exceeds Z - migration should already be under way. ","")&amp;IF(AND(LEFT(U135,3)="Yes",OR(AB135="",AB135="Not started")),"Harvest-now-decrypt-later exposure and migration not started. ","")&amp;IF(AND(R135&lt;&gt;"No",OR(W135="",W135="To decide")),"Choose a target algorithm. ","")&amp;IF(AND(R135&lt;&gt;"No",W135="Keep - not quantum-vulnerable"),"Target 'Keep' conflicts with a quantum-vulnerable algorithm. ","")&amp;IF(LEFT(J135,5)="SHA-1","SHA-1 is deprecated - replace (NIST IR 8547). ","")&amp;IF(AND(R135&lt;&gt;"No",OR(N135="Roadmap - verbal only",N135="No roadmap",N135="Not asked yet")),"Get a written PQC roadmap from the vendor. ","")&amp;IF(AND(R135&lt;&gt;"No",N135=""),"Record the vendor PQC roadmap status. ","")&amp;IF(ISNUMBER(M135),IF(M135&lt;TODAY(),"Certificate or key expired. ",IF(M135-TODAY()&lt;=Assumptions!$C$25,"Expires soon - use the renewal to revisit the algorithm. ","")),"")&amp;IF(AC135="OVERDUE","Migration overdue. ","")&amp;IF(AND(R135&lt;&gt;"No",Z135=""),"Assign a migration owner. ",""))</f>
        <v/>
      </c>
    </row>
    <row r="136" customFormat="false" ht="15" hidden="false" customHeight="false" outlineLevel="0" collapsed="false">
      <c r="A136" s="16"/>
      <c r="B136" s="16"/>
      <c r="C136" s="16"/>
      <c r="D136" s="16"/>
      <c r="E136" s="16"/>
      <c r="F136" s="16"/>
      <c r="G136" s="16"/>
      <c r="H136" s="16"/>
      <c r="I136" s="16"/>
      <c r="J136" s="16"/>
      <c r="K136" s="16"/>
      <c r="L136" s="16"/>
      <c r="M136" s="17"/>
      <c r="N136" s="16"/>
      <c r="O136" s="16"/>
      <c r="P136" s="16"/>
      <c r="Q136" s="18" t="str">
        <f aca="false">IF(A136="","",IF(J136="","Unknown",IFERROR(INDEX('Algorithm Reference'!$C$6:$C$41,MATCH(J136,'Algorithm Reference'!$B$6:$B$41,0)),"Not in reference")))</f>
        <v/>
      </c>
      <c r="R136" s="18" t="str">
        <f aca="false">IF(A136="","",IF(J136="","Unknown - investigate",IFERROR(INDEX('Algorithm Reference'!$E$6:$E$41,MATCH(J136,'Algorithm Reference'!$B$6:$B$41,0)),"Unknown - investigate")))</f>
        <v/>
      </c>
      <c r="S136" s="18" t="str">
        <f aca="false">IF(OR(O136="",P136=""),"",O136+P136)</f>
        <v/>
      </c>
      <c r="T136" s="18" t="str">
        <f aca="false">IF(A136="","",IF(R136="No","N/A - not quantum-vulnerable",IF(OR(O136="",P136=""),"Enter X and Y",IF(Assumptions!$C$6="","Set Z on Assumptions",IF(O136+P136&gt;Assumptions!$C$6,"AT RISK (X+Y &gt; Z)","Within Z (X+Y &lt;= Z)")))))</f>
        <v/>
      </c>
      <c r="U136" s="18" t="str">
        <f aca="false">IF(A136="","",IF(AND(R136&lt;&gt;"No",OR(I136="Key establishment / encryption in transit",I136="Key wrapping / key transport",I136="Mixed or unknown",I136=""),OR(N(O136)&gt;0,G136="Confidential",G136="Restricted")),IF(F136="Yes","Yes - internet-facing","Yes"),"No"))</f>
        <v/>
      </c>
      <c r="V136" s="18" t="str">
        <f aca="false">IF(A136="","",IF(R136="No","Keep - not quantum-vulnerable (review key size)",IF(I136="Digital signature / authentication","ML-DSA-65 (FIPS 204); SLH-DSA (FIPS 205) if hash-based is preferred",IF(OR(I136="Key establishment / encryption in transit",I136="Key wrapping / key transport"),"ML-KEM-768 (FIPS 203); hybrid X25519MLKEM768 for TLS 1.3",IF(I136="Mixed or unknown","Both: ML-KEM (FIPS 203) for keys, ML-DSA (FIPS 204) for signatures","Pick the crypto function first")))))</f>
        <v/>
      </c>
      <c r="W136" s="16"/>
      <c r="X136" s="18" t="str">
        <f aca="false">IF(A136="","",IF(R136="No",0,IF(LEFT(T136,7)="AT RISK",Assumptions!$C$13,0)+IF(LEFT(U136,3)="Yes",Assumptions!$C$14,0)+IF(F136="Yes",Assumptions!$C$15,0)+IF(G136="Restricted",Assumptions!$C$16,IF(G136="Confidential",Assumptions!$C$17,IF(G136="Internal",Assumptions!$C$18,0)))+IF(OR(N136="Roadmap - verbal only",N136="No roadmap",N136="Not asked yet",N136=""),Assumptions!$C$19,0)+IF(E136="Production",Assumptions!$C$20,0)+IF(AND(ISNUMBER(P136),N(P136)&gt;=Assumptions!$C$22),Assumptions!$C$21,0)))</f>
        <v/>
      </c>
      <c r="Y136" s="18" t="str">
        <f aca="false">IF(X136="","",IF(R136="No","None",IF(X136&gt;=Assumptions!$C$23,"High",IF(X136&gt;=Assumptions!$C$24,"Medium","Low"))))</f>
        <v/>
      </c>
      <c r="Z136" s="16"/>
      <c r="AA136" s="17"/>
      <c r="AB136" s="16"/>
      <c r="AC136" s="18" t="str">
        <f aca="true">IF(OR(AA136="",AB136="Hybrid deployed",AB136="PQC deployed",AB136="Not required (not vulnerable)",AB136="Risk accepted"),"",IF(AA136&lt;TODAY(),"OVERDUE",""))</f>
        <v/>
      </c>
      <c r="AD136" s="18" t="str">
        <f aca="true">IF(A136="","",IF(B136="","Name the system. ","")&amp;IF(LEFT(R136,7)="Unknown","Algorithm unknown - scan or ask the vendor. ","")&amp;IF(AND(R136&lt;&gt;"No",Assumptions!$C$6=""),"Set Z on Assumptions. ","")&amp;IF(AND(R136&lt;&gt;"No",OR(O136="",P136="")),"Enter X and Y. ","")&amp;IF(LEFT(T136,7)="AT RISK","Mosca: X+Y exceeds Z - migration should already be under way. ","")&amp;IF(AND(LEFT(U136,3)="Yes",OR(AB136="",AB136="Not started")),"Harvest-now-decrypt-later exposure and migration not started. ","")&amp;IF(AND(R136&lt;&gt;"No",OR(W136="",W136="To decide")),"Choose a target algorithm. ","")&amp;IF(AND(R136&lt;&gt;"No",W136="Keep - not quantum-vulnerable"),"Target 'Keep' conflicts with a quantum-vulnerable algorithm. ","")&amp;IF(LEFT(J136,5)="SHA-1","SHA-1 is deprecated - replace (NIST IR 8547). ","")&amp;IF(AND(R136&lt;&gt;"No",OR(N136="Roadmap - verbal only",N136="No roadmap",N136="Not asked yet")),"Get a written PQC roadmap from the vendor. ","")&amp;IF(AND(R136&lt;&gt;"No",N136=""),"Record the vendor PQC roadmap status. ","")&amp;IF(ISNUMBER(M136),IF(M136&lt;TODAY(),"Certificate or key expired. ",IF(M136-TODAY()&lt;=Assumptions!$C$25,"Expires soon - use the renewal to revisit the algorithm. ","")),"")&amp;IF(AC136="OVERDUE","Migration overdue. ","")&amp;IF(AND(R136&lt;&gt;"No",Z136=""),"Assign a migration owner. ",""))</f>
        <v/>
      </c>
    </row>
    <row r="137" customFormat="false" ht="15" hidden="false" customHeight="false" outlineLevel="0" collapsed="false">
      <c r="A137" s="16"/>
      <c r="B137" s="16"/>
      <c r="C137" s="16"/>
      <c r="D137" s="16"/>
      <c r="E137" s="16"/>
      <c r="F137" s="16"/>
      <c r="G137" s="16"/>
      <c r="H137" s="16"/>
      <c r="I137" s="16"/>
      <c r="J137" s="16"/>
      <c r="K137" s="16"/>
      <c r="L137" s="16"/>
      <c r="M137" s="17"/>
      <c r="N137" s="16"/>
      <c r="O137" s="16"/>
      <c r="P137" s="16"/>
      <c r="Q137" s="18" t="str">
        <f aca="false">IF(A137="","",IF(J137="","Unknown",IFERROR(INDEX('Algorithm Reference'!$C$6:$C$41,MATCH(J137,'Algorithm Reference'!$B$6:$B$41,0)),"Not in reference")))</f>
        <v/>
      </c>
      <c r="R137" s="18" t="str">
        <f aca="false">IF(A137="","",IF(J137="","Unknown - investigate",IFERROR(INDEX('Algorithm Reference'!$E$6:$E$41,MATCH(J137,'Algorithm Reference'!$B$6:$B$41,0)),"Unknown - investigate")))</f>
        <v/>
      </c>
      <c r="S137" s="18" t="str">
        <f aca="false">IF(OR(O137="",P137=""),"",O137+P137)</f>
        <v/>
      </c>
      <c r="T137" s="18" t="str">
        <f aca="false">IF(A137="","",IF(R137="No","N/A - not quantum-vulnerable",IF(OR(O137="",P137=""),"Enter X and Y",IF(Assumptions!$C$6="","Set Z on Assumptions",IF(O137+P137&gt;Assumptions!$C$6,"AT RISK (X+Y &gt; Z)","Within Z (X+Y &lt;= Z)")))))</f>
        <v/>
      </c>
      <c r="U137" s="18" t="str">
        <f aca="false">IF(A137="","",IF(AND(R137&lt;&gt;"No",OR(I137="Key establishment / encryption in transit",I137="Key wrapping / key transport",I137="Mixed or unknown",I137=""),OR(N(O137)&gt;0,G137="Confidential",G137="Restricted")),IF(F137="Yes","Yes - internet-facing","Yes"),"No"))</f>
        <v/>
      </c>
      <c r="V137" s="18" t="str">
        <f aca="false">IF(A137="","",IF(R137="No","Keep - not quantum-vulnerable (review key size)",IF(I137="Digital signature / authentication","ML-DSA-65 (FIPS 204); SLH-DSA (FIPS 205) if hash-based is preferred",IF(OR(I137="Key establishment / encryption in transit",I137="Key wrapping / key transport"),"ML-KEM-768 (FIPS 203); hybrid X25519MLKEM768 for TLS 1.3",IF(I137="Mixed or unknown","Both: ML-KEM (FIPS 203) for keys, ML-DSA (FIPS 204) for signatures","Pick the crypto function first")))))</f>
        <v/>
      </c>
      <c r="W137" s="16"/>
      <c r="X137" s="18" t="str">
        <f aca="false">IF(A137="","",IF(R137="No",0,IF(LEFT(T137,7)="AT RISK",Assumptions!$C$13,0)+IF(LEFT(U137,3)="Yes",Assumptions!$C$14,0)+IF(F137="Yes",Assumptions!$C$15,0)+IF(G137="Restricted",Assumptions!$C$16,IF(G137="Confidential",Assumptions!$C$17,IF(G137="Internal",Assumptions!$C$18,0)))+IF(OR(N137="Roadmap - verbal only",N137="No roadmap",N137="Not asked yet",N137=""),Assumptions!$C$19,0)+IF(E137="Production",Assumptions!$C$20,0)+IF(AND(ISNUMBER(P137),N(P137)&gt;=Assumptions!$C$22),Assumptions!$C$21,0)))</f>
        <v/>
      </c>
      <c r="Y137" s="18" t="str">
        <f aca="false">IF(X137="","",IF(R137="No","None",IF(X137&gt;=Assumptions!$C$23,"High",IF(X137&gt;=Assumptions!$C$24,"Medium","Low"))))</f>
        <v/>
      </c>
      <c r="Z137" s="16"/>
      <c r="AA137" s="17"/>
      <c r="AB137" s="16"/>
      <c r="AC137" s="18" t="str">
        <f aca="true">IF(OR(AA137="",AB137="Hybrid deployed",AB137="PQC deployed",AB137="Not required (not vulnerable)",AB137="Risk accepted"),"",IF(AA137&lt;TODAY(),"OVERDUE",""))</f>
        <v/>
      </c>
      <c r="AD137" s="18" t="str">
        <f aca="true">IF(A137="","",IF(B137="","Name the system. ","")&amp;IF(LEFT(R137,7)="Unknown","Algorithm unknown - scan or ask the vendor. ","")&amp;IF(AND(R137&lt;&gt;"No",Assumptions!$C$6=""),"Set Z on Assumptions. ","")&amp;IF(AND(R137&lt;&gt;"No",OR(O137="",P137="")),"Enter X and Y. ","")&amp;IF(LEFT(T137,7)="AT RISK","Mosca: X+Y exceeds Z - migration should already be under way. ","")&amp;IF(AND(LEFT(U137,3)="Yes",OR(AB137="",AB137="Not started")),"Harvest-now-decrypt-later exposure and migration not started. ","")&amp;IF(AND(R137&lt;&gt;"No",OR(W137="",W137="To decide")),"Choose a target algorithm. ","")&amp;IF(AND(R137&lt;&gt;"No",W137="Keep - not quantum-vulnerable"),"Target 'Keep' conflicts with a quantum-vulnerable algorithm. ","")&amp;IF(LEFT(J137,5)="SHA-1","SHA-1 is deprecated - replace (NIST IR 8547). ","")&amp;IF(AND(R137&lt;&gt;"No",OR(N137="Roadmap - verbal only",N137="No roadmap",N137="Not asked yet")),"Get a written PQC roadmap from the vendor. ","")&amp;IF(AND(R137&lt;&gt;"No",N137=""),"Record the vendor PQC roadmap status. ","")&amp;IF(ISNUMBER(M137),IF(M137&lt;TODAY(),"Certificate or key expired. ",IF(M137-TODAY()&lt;=Assumptions!$C$25,"Expires soon - use the renewal to revisit the algorithm. ","")),"")&amp;IF(AC137="OVERDUE","Migration overdue. ","")&amp;IF(AND(R137&lt;&gt;"No",Z137=""),"Assign a migration owner. ",""))</f>
        <v/>
      </c>
    </row>
    <row r="138" customFormat="false" ht="15" hidden="false" customHeight="false" outlineLevel="0" collapsed="false">
      <c r="A138" s="16"/>
      <c r="B138" s="16"/>
      <c r="C138" s="16"/>
      <c r="D138" s="16"/>
      <c r="E138" s="16"/>
      <c r="F138" s="16"/>
      <c r="G138" s="16"/>
      <c r="H138" s="16"/>
      <c r="I138" s="16"/>
      <c r="J138" s="16"/>
      <c r="K138" s="16"/>
      <c r="L138" s="16"/>
      <c r="M138" s="17"/>
      <c r="N138" s="16"/>
      <c r="O138" s="16"/>
      <c r="P138" s="16"/>
      <c r="Q138" s="18" t="str">
        <f aca="false">IF(A138="","",IF(J138="","Unknown",IFERROR(INDEX('Algorithm Reference'!$C$6:$C$41,MATCH(J138,'Algorithm Reference'!$B$6:$B$41,0)),"Not in reference")))</f>
        <v/>
      </c>
      <c r="R138" s="18" t="str">
        <f aca="false">IF(A138="","",IF(J138="","Unknown - investigate",IFERROR(INDEX('Algorithm Reference'!$E$6:$E$41,MATCH(J138,'Algorithm Reference'!$B$6:$B$41,0)),"Unknown - investigate")))</f>
        <v/>
      </c>
      <c r="S138" s="18" t="str">
        <f aca="false">IF(OR(O138="",P138=""),"",O138+P138)</f>
        <v/>
      </c>
      <c r="T138" s="18" t="str">
        <f aca="false">IF(A138="","",IF(R138="No","N/A - not quantum-vulnerable",IF(OR(O138="",P138=""),"Enter X and Y",IF(Assumptions!$C$6="","Set Z on Assumptions",IF(O138+P138&gt;Assumptions!$C$6,"AT RISK (X+Y &gt; Z)","Within Z (X+Y &lt;= Z)")))))</f>
        <v/>
      </c>
      <c r="U138" s="18" t="str">
        <f aca="false">IF(A138="","",IF(AND(R138&lt;&gt;"No",OR(I138="Key establishment / encryption in transit",I138="Key wrapping / key transport",I138="Mixed or unknown",I138=""),OR(N(O138)&gt;0,G138="Confidential",G138="Restricted")),IF(F138="Yes","Yes - internet-facing","Yes"),"No"))</f>
        <v/>
      </c>
      <c r="V138" s="18" t="str">
        <f aca="false">IF(A138="","",IF(R138="No","Keep - not quantum-vulnerable (review key size)",IF(I138="Digital signature / authentication","ML-DSA-65 (FIPS 204); SLH-DSA (FIPS 205) if hash-based is preferred",IF(OR(I138="Key establishment / encryption in transit",I138="Key wrapping / key transport"),"ML-KEM-768 (FIPS 203); hybrid X25519MLKEM768 for TLS 1.3",IF(I138="Mixed or unknown","Both: ML-KEM (FIPS 203) for keys, ML-DSA (FIPS 204) for signatures","Pick the crypto function first")))))</f>
        <v/>
      </c>
      <c r="W138" s="16"/>
      <c r="X138" s="18" t="str">
        <f aca="false">IF(A138="","",IF(R138="No",0,IF(LEFT(T138,7)="AT RISK",Assumptions!$C$13,0)+IF(LEFT(U138,3)="Yes",Assumptions!$C$14,0)+IF(F138="Yes",Assumptions!$C$15,0)+IF(G138="Restricted",Assumptions!$C$16,IF(G138="Confidential",Assumptions!$C$17,IF(G138="Internal",Assumptions!$C$18,0)))+IF(OR(N138="Roadmap - verbal only",N138="No roadmap",N138="Not asked yet",N138=""),Assumptions!$C$19,0)+IF(E138="Production",Assumptions!$C$20,0)+IF(AND(ISNUMBER(P138),N(P138)&gt;=Assumptions!$C$22),Assumptions!$C$21,0)))</f>
        <v/>
      </c>
      <c r="Y138" s="18" t="str">
        <f aca="false">IF(X138="","",IF(R138="No","None",IF(X138&gt;=Assumptions!$C$23,"High",IF(X138&gt;=Assumptions!$C$24,"Medium","Low"))))</f>
        <v/>
      </c>
      <c r="Z138" s="16"/>
      <c r="AA138" s="17"/>
      <c r="AB138" s="16"/>
      <c r="AC138" s="18" t="str">
        <f aca="true">IF(OR(AA138="",AB138="Hybrid deployed",AB138="PQC deployed",AB138="Not required (not vulnerable)",AB138="Risk accepted"),"",IF(AA138&lt;TODAY(),"OVERDUE",""))</f>
        <v/>
      </c>
      <c r="AD138" s="18" t="str">
        <f aca="true">IF(A138="","",IF(B138="","Name the system. ","")&amp;IF(LEFT(R138,7)="Unknown","Algorithm unknown - scan or ask the vendor. ","")&amp;IF(AND(R138&lt;&gt;"No",Assumptions!$C$6=""),"Set Z on Assumptions. ","")&amp;IF(AND(R138&lt;&gt;"No",OR(O138="",P138="")),"Enter X and Y. ","")&amp;IF(LEFT(T138,7)="AT RISK","Mosca: X+Y exceeds Z - migration should already be under way. ","")&amp;IF(AND(LEFT(U138,3)="Yes",OR(AB138="",AB138="Not started")),"Harvest-now-decrypt-later exposure and migration not started. ","")&amp;IF(AND(R138&lt;&gt;"No",OR(W138="",W138="To decide")),"Choose a target algorithm. ","")&amp;IF(AND(R138&lt;&gt;"No",W138="Keep - not quantum-vulnerable"),"Target 'Keep' conflicts with a quantum-vulnerable algorithm. ","")&amp;IF(LEFT(J138,5)="SHA-1","SHA-1 is deprecated - replace (NIST IR 8547). ","")&amp;IF(AND(R138&lt;&gt;"No",OR(N138="Roadmap - verbal only",N138="No roadmap",N138="Not asked yet")),"Get a written PQC roadmap from the vendor. ","")&amp;IF(AND(R138&lt;&gt;"No",N138=""),"Record the vendor PQC roadmap status. ","")&amp;IF(ISNUMBER(M138),IF(M138&lt;TODAY(),"Certificate or key expired. ",IF(M138-TODAY()&lt;=Assumptions!$C$25,"Expires soon - use the renewal to revisit the algorithm. ","")),"")&amp;IF(AC138="OVERDUE","Migration overdue. ","")&amp;IF(AND(R138&lt;&gt;"No",Z138=""),"Assign a migration owner. ",""))</f>
        <v/>
      </c>
    </row>
    <row r="139" customFormat="false" ht="15" hidden="false" customHeight="false" outlineLevel="0" collapsed="false">
      <c r="A139" s="16"/>
      <c r="B139" s="16"/>
      <c r="C139" s="16"/>
      <c r="D139" s="16"/>
      <c r="E139" s="16"/>
      <c r="F139" s="16"/>
      <c r="G139" s="16"/>
      <c r="H139" s="16"/>
      <c r="I139" s="16"/>
      <c r="J139" s="16"/>
      <c r="K139" s="16"/>
      <c r="L139" s="16"/>
      <c r="M139" s="17"/>
      <c r="N139" s="16"/>
      <c r="O139" s="16"/>
      <c r="P139" s="16"/>
      <c r="Q139" s="18" t="str">
        <f aca="false">IF(A139="","",IF(J139="","Unknown",IFERROR(INDEX('Algorithm Reference'!$C$6:$C$41,MATCH(J139,'Algorithm Reference'!$B$6:$B$41,0)),"Not in reference")))</f>
        <v/>
      </c>
      <c r="R139" s="18" t="str">
        <f aca="false">IF(A139="","",IF(J139="","Unknown - investigate",IFERROR(INDEX('Algorithm Reference'!$E$6:$E$41,MATCH(J139,'Algorithm Reference'!$B$6:$B$41,0)),"Unknown - investigate")))</f>
        <v/>
      </c>
      <c r="S139" s="18" t="str">
        <f aca="false">IF(OR(O139="",P139=""),"",O139+P139)</f>
        <v/>
      </c>
      <c r="T139" s="18" t="str">
        <f aca="false">IF(A139="","",IF(R139="No","N/A - not quantum-vulnerable",IF(OR(O139="",P139=""),"Enter X and Y",IF(Assumptions!$C$6="","Set Z on Assumptions",IF(O139+P139&gt;Assumptions!$C$6,"AT RISK (X+Y &gt; Z)","Within Z (X+Y &lt;= Z)")))))</f>
        <v/>
      </c>
      <c r="U139" s="18" t="str">
        <f aca="false">IF(A139="","",IF(AND(R139&lt;&gt;"No",OR(I139="Key establishment / encryption in transit",I139="Key wrapping / key transport",I139="Mixed or unknown",I139=""),OR(N(O139)&gt;0,G139="Confidential",G139="Restricted")),IF(F139="Yes","Yes - internet-facing","Yes"),"No"))</f>
        <v/>
      </c>
      <c r="V139" s="18" t="str">
        <f aca="false">IF(A139="","",IF(R139="No","Keep - not quantum-vulnerable (review key size)",IF(I139="Digital signature / authentication","ML-DSA-65 (FIPS 204); SLH-DSA (FIPS 205) if hash-based is preferred",IF(OR(I139="Key establishment / encryption in transit",I139="Key wrapping / key transport"),"ML-KEM-768 (FIPS 203); hybrid X25519MLKEM768 for TLS 1.3",IF(I139="Mixed or unknown","Both: ML-KEM (FIPS 203) for keys, ML-DSA (FIPS 204) for signatures","Pick the crypto function first")))))</f>
        <v/>
      </c>
      <c r="W139" s="16"/>
      <c r="X139" s="18" t="str">
        <f aca="false">IF(A139="","",IF(R139="No",0,IF(LEFT(T139,7)="AT RISK",Assumptions!$C$13,0)+IF(LEFT(U139,3)="Yes",Assumptions!$C$14,0)+IF(F139="Yes",Assumptions!$C$15,0)+IF(G139="Restricted",Assumptions!$C$16,IF(G139="Confidential",Assumptions!$C$17,IF(G139="Internal",Assumptions!$C$18,0)))+IF(OR(N139="Roadmap - verbal only",N139="No roadmap",N139="Not asked yet",N139=""),Assumptions!$C$19,0)+IF(E139="Production",Assumptions!$C$20,0)+IF(AND(ISNUMBER(P139),N(P139)&gt;=Assumptions!$C$22),Assumptions!$C$21,0)))</f>
        <v/>
      </c>
      <c r="Y139" s="18" t="str">
        <f aca="false">IF(X139="","",IF(R139="No","None",IF(X139&gt;=Assumptions!$C$23,"High",IF(X139&gt;=Assumptions!$C$24,"Medium","Low"))))</f>
        <v/>
      </c>
      <c r="Z139" s="16"/>
      <c r="AA139" s="17"/>
      <c r="AB139" s="16"/>
      <c r="AC139" s="18" t="str">
        <f aca="true">IF(OR(AA139="",AB139="Hybrid deployed",AB139="PQC deployed",AB139="Not required (not vulnerable)",AB139="Risk accepted"),"",IF(AA139&lt;TODAY(),"OVERDUE",""))</f>
        <v/>
      </c>
      <c r="AD139" s="18" t="str">
        <f aca="true">IF(A139="","",IF(B139="","Name the system. ","")&amp;IF(LEFT(R139,7)="Unknown","Algorithm unknown - scan or ask the vendor. ","")&amp;IF(AND(R139&lt;&gt;"No",Assumptions!$C$6=""),"Set Z on Assumptions. ","")&amp;IF(AND(R139&lt;&gt;"No",OR(O139="",P139="")),"Enter X and Y. ","")&amp;IF(LEFT(T139,7)="AT RISK","Mosca: X+Y exceeds Z - migration should already be under way. ","")&amp;IF(AND(LEFT(U139,3)="Yes",OR(AB139="",AB139="Not started")),"Harvest-now-decrypt-later exposure and migration not started. ","")&amp;IF(AND(R139&lt;&gt;"No",OR(W139="",W139="To decide")),"Choose a target algorithm. ","")&amp;IF(AND(R139&lt;&gt;"No",W139="Keep - not quantum-vulnerable"),"Target 'Keep' conflicts with a quantum-vulnerable algorithm. ","")&amp;IF(LEFT(J139,5)="SHA-1","SHA-1 is deprecated - replace (NIST IR 8547). ","")&amp;IF(AND(R139&lt;&gt;"No",OR(N139="Roadmap - verbal only",N139="No roadmap",N139="Not asked yet")),"Get a written PQC roadmap from the vendor. ","")&amp;IF(AND(R139&lt;&gt;"No",N139=""),"Record the vendor PQC roadmap status. ","")&amp;IF(ISNUMBER(M139),IF(M139&lt;TODAY(),"Certificate or key expired. ",IF(M139-TODAY()&lt;=Assumptions!$C$25,"Expires soon - use the renewal to revisit the algorithm. ","")),"")&amp;IF(AC139="OVERDUE","Migration overdue. ","")&amp;IF(AND(R139&lt;&gt;"No",Z139=""),"Assign a migration owner. ",""))</f>
        <v/>
      </c>
    </row>
    <row r="140" customFormat="false" ht="15" hidden="false" customHeight="false" outlineLevel="0" collapsed="false">
      <c r="A140" s="16"/>
      <c r="B140" s="16"/>
      <c r="C140" s="16"/>
      <c r="D140" s="16"/>
      <c r="E140" s="16"/>
      <c r="F140" s="16"/>
      <c r="G140" s="16"/>
      <c r="H140" s="16"/>
      <c r="I140" s="16"/>
      <c r="J140" s="16"/>
      <c r="K140" s="16"/>
      <c r="L140" s="16"/>
      <c r="M140" s="17"/>
      <c r="N140" s="16"/>
      <c r="O140" s="16"/>
      <c r="P140" s="16"/>
      <c r="Q140" s="18" t="str">
        <f aca="false">IF(A140="","",IF(J140="","Unknown",IFERROR(INDEX('Algorithm Reference'!$C$6:$C$41,MATCH(J140,'Algorithm Reference'!$B$6:$B$41,0)),"Not in reference")))</f>
        <v/>
      </c>
      <c r="R140" s="18" t="str">
        <f aca="false">IF(A140="","",IF(J140="","Unknown - investigate",IFERROR(INDEX('Algorithm Reference'!$E$6:$E$41,MATCH(J140,'Algorithm Reference'!$B$6:$B$41,0)),"Unknown - investigate")))</f>
        <v/>
      </c>
      <c r="S140" s="18" t="str">
        <f aca="false">IF(OR(O140="",P140=""),"",O140+P140)</f>
        <v/>
      </c>
      <c r="T140" s="18" t="str">
        <f aca="false">IF(A140="","",IF(R140="No","N/A - not quantum-vulnerable",IF(OR(O140="",P140=""),"Enter X and Y",IF(Assumptions!$C$6="","Set Z on Assumptions",IF(O140+P140&gt;Assumptions!$C$6,"AT RISK (X+Y &gt; Z)","Within Z (X+Y &lt;= Z)")))))</f>
        <v/>
      </c>
      <c r="U140" s="18" t="str">
        <f aca="false">IF(A140="","",IF(AND(R140&lt;&gt;"No",OR(I140="Key establishment / encryption in transit",I140="Key wrapping / key transport",I140="Mixed or unknown",I140=""),OR(N(O140)&gt;0,G140="Confidential",G140="Restricted")),IF(F140="Yes","Yes - internet-facing","Yes"),"No"))</f>
        <v/>
      </c>
      <c r="V140" s="18" t="str">
        <f aca="false">IF(A140="","",IF(R140="No","Keep - not quantum-vulnerable (review key size)",IF(I140="Digital signature / authentication","ML-DSA-65 (FIPS 204); SLH-DSA (FIPS 205) if hash-based is preferred",IF(OR(I140="Key establishment / encryption in transit",I140="Key wrapping / key transport"),"ML-KEM-768 (FIPS 203); hybrid X25519MLKEM768 for TLS 1.3",IF(I140="Mixed or unknown","Both: ML-KEM (FIPS 203) for keys, ML-DSA (FIPS 204) for signatures","Pick the crypto function first")))))</f>
        <v/>
      </c>
      <c r="W140" s="16"/>
      <c r="X140" s="18" t="str">
        <f aca="false">IF(A140="","",IF(R140="No",0,IF(LEFT(T140,7)="AT RISK",Assumptions!$C$13,0)+IF(LEFT(U140,3)="Yes",Assumptions!$C$14,0)+IF(F140="Yes",Assumptions!$C$15,0)+IF(G140="Restricted",Assumptions!$C$16,IF(G140="Confidential",Assumptions!$C$17,IF(G140="Internal",Assumptions!$C$18,0)))+IF(OR(N140="Roadmap - verbal only",N140="No roadmap",N140="Not asked yet",N140=""),Assumptions!$C$19,0)+IF(E140="Production",Assumptions!$C$20,0)+IF(AND(ISNUMBER(P140),N(P140)&gt;=Assumptions!$C$22),Assumptions!$C$21,0)))</f>
        <v/>
      </c>
      <c r="Y140" s="18" t="str">
        <f aca="false">IF(X140="","",IF(R140="No","None",IF(X140&gt;=Assumptions!$C$23,"High",IF(X140&gt;=Assumptions!$C$24,"Medium","Low"))))</f>
        <v/>
      </c>
      <c r="Z140" s="16"/>
      <c r="AA140" s="17"/>
      <c r="AB140" s="16"/>
      <c r="AC140" s="18" t="str">
        <f aca="true">IF(OR(AA140="",AB140="Hybrid deployed",AB140="PQC deployed",AB140="Not required (not vulnerable)",AB140="Risk accepted"),"",IF(AA140&lt;TODAY(),"OVERDUE",""))</f>
        <v/>
      </c>
      <c r="AD140" s="18" t="str">
        <f aca="true">IF(A140="","",IF(B140="","Name the system. ","")&amp;IF(LEFT(R140,7)="Unknown","Algorithm unknown - scan or ask the vendor. ","")&amp;IF(AND(R140&lt;&gt;"No",Assumptions!$C$6=""),"Set Z on Assumptions. ","")&amp;IF(AND(R140&lt;&gt;"No",OR(O140="",P140="")),"Enter X and Y. ","")&amp;IF(LEFT(T140,7)="AT RISK","Mosca: X+Y exceeds Z - migration should already be under way. ","")&amp;IF(AND(LEFT(U140,3)="Yes",OR(AB140="",AB140="Not started")),"Harvest-now-decrypt-later exposure and migration not started. ","")&amp;IF(AND(R140&lt;&gt;"No",OR(W140="",W140="To decide")),"Choose a target algorithm. ","")&amp;IF(AND(R140&lt;&gt;"No",W140="Keep - not quantum-vulnerable"),"Target 'Keep' conflicts with a quantum-vulnerable algorithm. ","")&amp;IF(LEFT(J140,5)="SHA-1","SHA-1 is deprecated - replace (NIST IR 8547). ","")&amp;IF(AND(R140&lt;&gt;"No",OR(N140="Roadmap - verbal only",N140="No roadmap",N140="Not asked yet")),"Get a written PQC roadmap from the vendor. ","")&amp;IF(AND(R140&lt;&gt;"No",N140=""),"Record the vendor PQC roadmap status. ","")&amp;IF(ISNUMBER(M140),IF(M140&lt;TODAY(),"Certificate or key expired. ",IF(M140-TODAY()&lt;=Assumptions!$C$25,"Expires soon - use the renewal to revisit the algorithm. ","")),"")&amp;IF(AC140="OVERDUE","Migration overdue. ","")&amp;IF(AND(R140&lt;&gt;"No",Z140=""),"Assign a migration owner. ",""))</f>
        <v/>
      </c>
    </row>
    <row r="141" customFormat="false" ht="15" hidden="false" customHeight="false" outlineLevel="0" collapsed="false">
      <c r="A141" s="16"/>
      <c r="B141" s="16"/>
      <c r="C141" s="16"/>
      <c r="D141" s="16"/>
      <c r="E141" s="16"/>
      <c r="F141" s="16"/>
      <c r="G141" s="16"/>
      <c r="H141" s="16"/>
      <c r="I141" s="16"/>
      <c r="J141" s="16"/>
      <c r="K141" s="16"/>
      <c r="L141" s="16"/>
      <c r="M141" s="17"/>
      <c r="N141" s="16"/>
      <c r="O141" s="16"/>
      <c r="P141" s="16"/>
      <c r="Q141" s="18" t="str">
        <f aca="false">IF(A141="","",IF(J141="","Unknown",IFERROR(INDEX('Algorithm Reference'!$C$6:$C$41,MATCH(J141,'Algorithm Reference'!$B$6:$B$41,0)),"Not in reference")))</f>
        <v/>
      </c>
      <c r="R141" s="18" t="str">
        <f aca="false">IF(A141="","",IF(J141="","Unknown - investigate",IFERROR(INDEX('Algorithm Reference'!$E$6:$E$41,MATCH(J141,'Algorithm Reference'!$B$6:$B$41,0)),"Unknown - investigate")))</f>
        <v/>
      </c>
      <c r="S141" s="18" t="str">
        <f aca="false">IF(OR(O141="",P141=""),"",O141+P141)</f>
        <v/>
      </c>
      <c r="T141" s="18" t="str">
        <f aca="false">IF(A141="","",IF(R141="No","N/A - not quantum-vulnerable",IF(OR(O141="",P141=""),"Enter X and Y",IF(Assumptions!$C$6="","Set Z on Assumptions",IF(O141+P141&gt;Assumptions!$C$6,"AT RISK (X+Y &gt; Z)","Within Z (X+Y &lt;= Z)")))))</f>
        <v/>
      </c>
      <c r="U141" s="18" t="str">
        <f aca="false">IF(A141="","",IF(AND(R141&lt;&gt;"No",OR(I141="Key establishment / encryption in transit",I141="Key wrapping / key transport",I141="Mixed or unknown",I141=""),OR(N(O141)&gt;0,G141="Confidential",G141="Restricted")),IF(F141="Yes","Yes - internet-facing","Yes"),"No"))</f>
        <v/>
      </c>
      <c r="V141" s="18" t="str">
        <f aca="false">IF(A141="","",IF(R141="No","Keep - not quantum-vulnerable (review key size)",IF(I141="Digital signature / authentication","ML-DSA-65 (FIPS 204); SLH-DSA (FIPS 205) if hash-based is preferred",IF(OR(I141="Key establishment / encryption in transit",I141="Key wrapping / key transport"),"ML-KEM-768 (FIPS 203); hybrid X25519MLKEM768 for TLS 1.3",IF(I141="Mixed or unknown","Both: ML-KEM (FIPS 203) for keys, ML-DSA (FIPS 204) for signatures","Pick the crypto function first")))))</f>
        <v/>
      </c>
      <c r="W141" s="16"/>
      <c r="X141" s="18" t="str">
        <f aca="false">IF(A141="","",IF(R141="No",0,IF(LEFT(T141,7)="AT RISK",Assumptions!$C$13,0)+IF(LEFT(U141,3)="Yes",Assumptions!$C$14,0)+IF(F141="Yes",Assumptions!$C$15,0)+IF(G141="Restricted",Assumptions!$C$16,IF(G141="Confidential",Assumptions!$C$17,IF(G141="Internal",Assumptions!$C$18,0)))+IF(OR(N141="Roadmap - verbal only",N141="No roadmap",N141="Not asked yet",N141=""),Assumptions!$C$19,0)+IF(E141="Production",Assumptions!$C$20,0)+IF(AND(ISNUMBER(P141),N(P141)&gt;=Assumptions!$C$22),Assumptions!$C$21,0)))</f>
        <v/>
      </c>
      <c r="Y141" s="18" t="str">
        <f aca="false">IF(X141="","",IF(R141="No","None",IF(X141&gt;=Assumptions!$C$23,"High",IF(X141&gt;=Assumptions!$C$24,"Medium","Low"))))</f>
        <v/>
      </c>
      <c r="Z141" s="16"/>
      <c r="AA141" s="17"/>
      <c r="AB141" s="16"/>
      <c r="AC141" s="18" t="str">
        <f aca="true">IF(OR(AA141="",AB141="Hybrid deployed",AB141="PQC deployed",AB141="Not required (not vulnerable)",AB141="Risk accepted"),"",IF(AA141&lt;TODAY(),"OVERDUE",""))</f>
        <v/>
      </c>
      <c r="AD141" s="18" t="str">
        <f aca="true">IF(A141="","",IF(B141="","Name the system. ","")&amp;IF(LEFT(R141,7)="Unknown","Algorithm unknown - scan or ask the vendor. ","")&amp;IF(AND(R141&lt;&gt;"No",Assumptions!$C$6=""),"Set Z on Assumptions. ","")&amp;IF(AND(R141&lt;&gt;"No",OR(O141="",P141="")),"Enter X and Y. ","")&amp;IF(LEFT(T141,7)="AT RISK","Mosca: X+Y exceeds Z - migration should already be under way. ","")&amp;IF(AND(LEFT(U141,3)="Yes",OR(AB141="",AB141="Not started")),"Harvest-now-decrypt-later exposure and migration not started. ","")&amp;IF(AND(R141&lt;&gt;"No",OR(W141="",W141="To decide")),"Choose a target algorithm. ","")&amp;IF(AND(R141&lt;&gt;"No",W141="Keep - not quantum-vulnerable"),"Target 'Keep' conflicts with a quantum-vulnerable algorithm. ","")&amp;IF(LEFT(J141,5)="SHA-1","SHA-1 is deprecated - replace (NIST IR 8547). ","")&amp;IF(AND(R141&lt;&gt;"No",OR(N141="Roadmap - verbal only",N141="No roadmap",N141="Not asked yet")),"Get a written PQC roadmap from the vendor. ","")&amp;IF(AND(R141&lt;&gt;"No",N141=""),"Record the vendor PQC roadmap status. ","")&amp;IF(ISNUMBER(M141),IF(M141&lt;TODAY(),"Certificate or key expired. ",IF(M141-TODAY()&lt;=Assumptions!$C$25,"Expires soon - use the renewal to revisit the algorithm. ","")),"")&amp;IF(AC141="OVERDUE","Migration overdue. ","")&amp;IF(AND(R141&lt;&gt;"No",Z141=""),"Assign a migration owner. ",""))</f>
        <v/>
      </c>
    </row>
    <row r="142" customFormat="false" ht="15" hidden="false" customHeight="false" outlineLevel="0" collapsed="false">
      <c r="A142" s="16"/>
      <c r="B142" s="16"/>
      <c r="C142" s="16"/>
      <c r="D142" s="16"/>
      <c r="E142" s="16"/>
      <c r="F142" s="16"/>
      <c r="G142" s="16"/>
      <c r="H142" s="16"/>
      <c r="I142" s="16"/>
      <c r="J142" s="16"/>
      <c r="K142" s="16"/>
      <c r="L142" s="16"/>
      <c r="M142" s="17"/>
      <c r="N142" s="16"/>
      <c r="O142" s="16"/>
      <c r="P142" s="16"/>
      <c r="Q142" s="18" t="str">
        <f aca="false">IF(A142="","",IF(J142="","Unknown",IFERROR(INDEX('Algorithm Reference'!$C$6:$C$41,MATCH(J142,'Algorithm Reference'!$B$6:$B$41,0)),"Not in reference")))</f>
        <v/>
      </c>
      <c r="R142" s="18" t="str">
        <f aca="false">IF(A142="","",IF(J142="","Unknown - investigate",IFERROR(INDEX('Algorithm Reference'!$E$6:$E$41,MATCH(J142,'Algorithm Reference'!$B$6:$B$41,0)),"Unknown - investigate")))</f>
        <v/>
      </c>
      <c r="S142" s="18" t="str">
        <f aca="false">IF(OR(O142="",P142=""),"",O142+P142)</f>
        <v/>
      </c>
      <c r="T142" s="18" t="str">
        <f aca="false">IF(A142="","",IF(R142="No","N/A - not quantum-vulnerable",IF(OR(O142="",P142=""),"Enter X and Y",IF(Assumptions!$C$6="","Set Z on Assumptions",IF(O142+P142&gt;Assumptions!$C$6,"AT RISK (X+Y &gt; Z)","Within Z (X+Y &lt;= Z)")))))</f>
        <v/>
      </c>
      <c r="U142" s="18" t="str">
        <f aca="false">IF(A142="","",IF(AND(R142&lt;&gt;"No",OR(I142="Key establishment / encryption in transit",I142="Key wrapping / key transport",I142="Mixed or unknown",I142=""),OR(N(O142)&gt;0,G142="Confidential",G142="Restricted")),IF(F142="Yes","Yes - internet-facing","Yes"),"No"))</f>
        <v/>
      </c>
      <c r="V142" s="18" t="str">
        <f aca="false">IF(A142="","",IF(R142="No","Keep - not quantum-vulnerable (review key size)",IF(I142="Digital signature / authentication","ML-DSA-65 (FIPS 204); SLH-DSA (FIPS 205) if hash-based is preferred",IF(OR(I142="Key establishment / encryption in transit",I142="Key wrapping / key transport"),"ML-KEM-768 (FIPS 203); hybrid X25519MLKEM768 for TLS 1.3",IF(I142="Mixed or unknown","Both: ML-KEM (FIPS 203) for keys, ML-DSA (FIPS 204) for signatures","Pick the crypto function first")))))</f>
        <v/>
      </c>
      <c r="W142" s="16"/>
      <c r="X142" s="18" t="str">
        <f aca="false">IF(A142="","",IF(R142="No",0,IF(LEFT(T142,7)="AT RISK",Assumptions!$C$13,0)+IF(LEFT(U142,3)="Yes",Assumptions!$C$14,0)+IF(F142="Yes",Assumptions!$C$15,0)+IF(G142="Restricted",Assumptions!$C$16,IF(G142="Confidential",Assumptions!$C$17,IF(G142="Internal",Assumptions!$C$18,0)))+IF(OR(N142="Roadmap - verbal only",N142="No roadmap",N142="Not asked yet",N142=""),Assumptions!$C$19,0)+IF(E142="Production",Assumptions!$C$20,0)+IF(AND(ISNUMBER(P142),N(P142)&gt;=Assumptions!$C$22),Assumptions!$C$21,0)))</f>
        <v/>
      </c>
      <c r="Y142" s="18" t="str">
        <f aca="false">IF(X142="","",IF(R142="No","None",IF(X142&gt;=Assumptions!$C$23,"High",IF(X142&gt;=Assumptions!$C$24,"Medium","Low"))))</f>
        <v/>
      </c>
      <c r="Z142" s="16"/>
      <c r="AA142" s="17"/>
      <c r="AB142" s="16"/>
      <c r="AC142" s="18" t="str">
        <f aca="true">IF(OR(AA142="",AB142="Hybrid deployed",AB142="PQC deployed",AB142="Not required (not vulnerable)",AB142="Risk accepted"),"",IF(AA142&lt;TODAY(),"OVERDUE",""))</f>
        <v/>
      </c>
      <c r="AD142" s="18" t="str">
        <f aca="true">IF(A142="","",IF(B142="","Name the system. ","")&amp;IF(LEFT(R142,7)="Unknown","Algorithm unknown - scan or ask the vendor. ","")&amp;IF(AND(R142&lt;&gt;"No",Assumptions!$C$6=""),"Set Z on Assumptions. ","")&amp;IF(AND(R142&lt;&gt;"No",OR(O142="",P142="")),"Enter X and Y. ","")&amp;IF(LEFT(T142,7)="AT RISK","Mosca: X+Y exceeds Z - migration should already be under way. ","")&amp;IF(AND(LEFT(U142,3)="Yes",OR(AB142="",AB142="Not started")),"Harvest-now-decrypt-later exposure and migration not started. ","")&amp;IF(AND(R142&lt;&gt;"No",OR(W142="",W142="To decide")),"Choose a target algorithm. ","")&amp;IF(AND(R142&lt;&gt;"No",W142="Keep - not quantum-vulnerable"),"Target 'Keep' conflicts with a quantum-vulnerable algorithm. ","")&amp;IF(LEFT(J142,5)="SHA-1","SHA-1 is deprecated - replace (NIST IR 8547). ","")&amp;IF(AND(R142&lt;&gt;"No",OR(N142="Roadmap - verbal only",N142="No roadmap",N142="Not asked yet")),"Get a written PQC roadmap from the vendor. ","")&amp;IF(AND(R142&lt;&gt;"No",N142=""),"Record the vendor PQC roadmap status. ","")&amp;IF(ISNUMBER(M142),IF(M142&lt;TODAY(),"Certificate or key expired. ",IF(M142-TODAY()&lt;=Assumptions!$C$25,"Expires soon - use the renewal to revisit the algorithm. ","")),"")&amp;IF(AC142="OVERDUE","Migration overdue. ","")&amp;IF(AND(R142&lt;&gt;"No",Z142=""),"Assign a migration owner. ",""))</f>
        <v/>
      </c>
    </row>
    <row r="143" customFormat="false" ht="15" hidden="false" customHeight="false" outlineLevel="0" collapsed="false">
      <c r="A143" s="16"/>
      <c r="B143" s="16"/>
      <c r="C143" s="16"/>
      <c r="D143" s="16"/>
      <c r="E143" s="16"/>
      <c r="F143" s="16"/>
      <c r="G143" s="16"/>
      <c r="H143" s="16"/>
      <c r="I143" s="16"/>
      <c r="J143" s="16"/>
      <c r="K143" s="16"/>
      <c r="L143" s="16"/>
      <c r="M143" s="17"/>
      <c r="N143" s="16"/>
      <c r="O143" s="16"/>
      <c r="P143" s="16"/>
      <c r="Q143" s="18" t="str">
        <f aca="false">IF(A143="","",IF(J143="","Unknown",IFERROR(INDEX('Algorithm Reference'!$C$6:$C$41,MATCH(J143,'Algorithm Reference'!$B$6:$B$41,0)),"Not in reference")))</f>
        <v/>
      </c>
      <c r="R143" s="18" t="str">
        <f aca="false">IF(A143="","",IF(J143="","Unknown - investigate",IFERROR(INDEX('Algorithm Reference'!$E$6:$E$41,MATCH(J143,'Algorithm Reference'!$B$6:$B$41,0)),"Unknown - investigate")))</f>
        <v/>
      </c>
      <c r="S143" s="18" t="str">
        <f aca="false">IF(OR(O143="",P143=""),"",O143+P143)</f>
        <v/>
      </c>
      <c r="T143" s="18" t="str">
        <f aca="false">IF(A143="","",IF(R143="No","N/A - not quantum-vulnerable",IF(OR(O143="",P143=""),"Enter X and Y",IF(Assumptions!$C$6="","Set Z on Assumptions",IF(O143+P143&gt;Assumptions!$C$6,"AT RISK (X+Y &gt; Z)","Within Z (X+Y &lt;= Z)")))))</f>
        <v/>
      </c>
      <c r="U143" s="18" t="str">
        <f aca="false">IF(A143="","",IF(AND(R143&lt;&gt;"No",OR(I143="Key establishment / encryption in transit",I143="Key wrapping / key transport",I143="Mixed or unknown",I143=""),OR(N(O143)&gt;0,G143="Confidential",G143="Restricted")),IF(F143="Yes","Yes - internet-facing","Yes"),"No"))</f>
        <v/>
      </c>
      <c r="V143" s="18" t="str">
        <f aca="false">IF(A143="","",IF(R143="No","Keep - not quantum-vulnerable (review key size)",IF(I143="Digital signature / authentication","ML-DSA-65 (FIPS 204); SLH-DSA (FIPS 205) if hash-based is preferred",IF(OR(I143="Key establishment / encryption in transit",I143="Key wrapping / key transport"),"ML-KEM-768 (FIPS 203); hybrid X25519MLKEM768 for TLS 1.3",IF(I143="Mixed or unknown","Both: ML-KEM (FIPS 203) for keys, ML-DSA (FIPS 204) for signatures","Pick the crypto function first")))))</f>
        <v/>
      </c>
      <c r="W143" s="16"/>
      <c r="X143" s="18" t="str">
        <f aca="false">IF(A143="","",IF(R143="No",0,IF(LEFT(T143,7)="AT RISK",Assumptions!$C$13,0)+IF(LEFT(U143,3)="Yes",Assumptions!$C$14,0)+IF(F143="Yes",Assumptions!$C$15,0)+IF(G143="Restricted",Assumptions!$C$16,IF(G143="Confidential",Assumptions!$C$17,IF(G143="Internal",Assumptions!$C$18,0)))+IF(OR(N143="Roadmap - verbal only",N143="No roadmap",N143="Not asked yet",N143=""),Assumptions!$C$19,0)+IF(E143="Production",Assumptions!$C$20,0)+IF(AND(ISNUMBER(P143),N(P143)&gt;=Assumptions!$C$22),Assumptions!$C$21,0)))</f>
        <v/>
      </c>
      <c r="Y143" s="18" t="str">
        <f aca="false">IF(X143="","",IF(R143="No","None",IF(X143&gt;=Assumptions!$C$23,"High",IF(X143&gt;=Assumptions!$C$24,"Medium","Low"))))</f>
        <v/>
      </c>
      <c r="Z143" s="16"/>
      <c r="AA143" s="17"/>
      <c r="AB143" s="16"/>
      <c r="AC143" s="18" t="str">
        <f aca="true">IF(OR(AA143="",AB143="Hybrid deployed",AB143="PQC deployed",AB143="Not required (not vulnerable)",AB143="Risk accepted"),"",IF(AA143&lt;TODAY(),"OVERDUE",""))</f>
        <v/>
      </c>
      <c r="AD143" s="18" t="str">
        <f aca="true">IF(A143="","",IF(B143="","Name the system. ","")&amp;IF(LEFT(R143,7)="Unknown","Algorithm unknown - scan or ask the vendor. ","")&amp;IF(AND(R143&lt;&gt;"No",Assumptions!$C$6=""),"Set Z on Assumptions. ","")&amp;IF(AND(R143&lt;&gt;"No",OR(O143="",P143="")),"Enter X and Y. ","")&amp;IF(LEFT(T143,7)="AT RISK","Mosca: X+Y exceeds Z - migration should already be under way. ","")&amp;IF(AND(LEFT(U143,3)="Yes",OR(AB143="",AB143="Not started")),"Harvest-now-decrypt-later exposure and migration not started. ","")&amp;IF(AND(R143&lt;&gt;"No",OR(W143="",W143="To decide")),"Choose a target algorithm. ","")&amp;IF(AND(R143&lt;&gt;"No",W143="Keep - not quantum-vulnerable"),"Target 'Keep' conflicts with a quantum-vulnerable algorithm. ","")&amp;IF(LEFT(J143,5)="SHA-1","SHA-1 is deprecated - replace (NIST IR 8547). ","")&amp;IF(AND(R143&lt;&gt;"No",OR(N143="Roadmap - verbal only",N143="No roadmap",N143="Not asked yet")),"Get a written PQC roadmap from the vendor. ","")&amp;IF(AND(R143&lt;&gt;"No",N143=""),"Record the vendor PQC roadmap status. ","")&amp;IF(ISNUMBER(M143),IF(M143&lt;TODAY(),"Certificate or key expired. ",IF(M143-TODAY()&lt;=Assumptions!$C$25,"Expires soon - use the renewal to revisit the algorithm. ","")),"")&amp;IF(AC143="OVERDUE","Migration overdue. ","")&amp;IF(AND(R143&lt;&gt;"No",Z143=""),"Assign a migration owner. ",""))</f>
        <v/>
      </c>
    </row>
    <row r="144" customFormat="false" ht="15" hidden="false" customHeight="false" outlineLevel="0" collapsed="false">
      <c r="A144" s="16"/>
      <c r="B144" s="16"/>
      <c r="C144" s="16"/>
      <c r="D144" s="16"/>
      <c r="E144" s="16"/>
      <c r="F144" s="16"/>
      <c r="G144" s="16"/>
      <c r="H144" s="16"/>
      <c r="I144" s="16"/>
      <c r="J144" s="16"/>
      <c r="K144" s="16"/>
      <c r="L144" s="16"/>
      <c r="M144" s="17"/>
      <c r="N144" s="16"/>
      <c r="O144" s="16"/>
      <c r="P144" s="16"/>
      <c r="Q144" s="18" t="str">
        <f aca="false">IF(A144="","",IF(J144="","Unknown",IFERROR(INDEX('Algorithm Reference'!$C$6:$C$41,MATCH(J144,'Algorithm Reference'!$B$6:$B$41,0)),"Not in reference")))</f>
        <v/>
      </c>
      <c r="R144" s="18" t="str">
        <f aca="false">IF(A144="","",IF(J144="","Unknown - investigate",IFERROR(INDEX('Algorithm Reference'!$E$6:$E$41,MATCH(J144,'Algorithm Reference'!$B$6:$B$41,0)),"Unknown - investigate")))</f>
        <v/>
      </c>
      <c r="S144" s="18" t="str">
        <f aca="false">IF(OR(O144="",P144=""),"",O144+P144)</f>
        <v/>
      </c>
      <c r="T144" s="18" t="str">
        <f aca="false">IF(A144="","",IF(R144="No","N/A - not quantum-vulnerable",IF(OR(O144="",P144=""),"Enter X and Y",IF(Assumptions!$C$6="","Set Z on Assumptions",IF(O144+P144&gt;Assumptions!$C$6,"AT RISK (X+Y &gt; Z)","Within Z (X+Y &lt;= Z)")))))</f>
        <v/>
      </c>
      <c r="U144" s="18" t="str">
        <f aca="false">IF(A144="","",IF(AND(R144&lt;&gt;"No",OR(I144="Key establishment / encryption in transit",I144="Key wrapping / key transport",I144="Mixed or unknown",I144=""),OR(N(O144)&gt;0,G144="Confidential",G144="Restricted")),IF(F144="Yes","Yes - internet-facing","Yes"),"No"))</f>
        <v/>
      </c>
      <c r="V144" s="18" t="str">
        <f aca="false">IF(A144="","",IF(R144="No","Keep - not quantum-vulnerable (review key size)",IF(I144="Digital signature / authentication","ML-DSA-65 (FIPS 204); SLH-DSA (FIPS 205) if hash-based is preferred",IF(OR(I144="Key establishment / encryption in transit",I144="Key wrapping / key transport"),"ML-KEM-768 (FIPS 203); hybrid X25519MLKEM768 for TLS 1.3",IF(I144="Mixed or unknown","Both: ML-KEM (FIPS 203) for keys, ML-DSA (FIPS 204) for signatures","Pick the crypto function first")))))</f>
        <v/>
      </c>
      <c r="W144" s="16"/>
      <c r="X144" s="18" t="str">
        <f aca="false">IF(A144="","",IF(R144="No",0,IF(LEFT(T144,7)="AT RISK",Assumptions!$C$13,0)+IF(LEFT(U144,3)="Yes",Assumptions!$C$14,0)+IF(F144="Yes",Assumptions!$C$15,0)+IF(G144="Restricted",Assumptions!$C$16,IF(G144="Confidential",Assumptions!$C$17,IF(G144="Internal",Assumptions!$C$18,0)))+IF(OR(N144="Roadmap - verbal only",N144="No roadmap",N144="Not asked yet",N144=""),Assumptions!$C$19,0)+IF(E144="Production",Assumptions!$C$20,0)+IF(AND(ISNUMBER(P144),N(P144)&gt;=Assumptions!$C$22),Assumptions!$C$21,0)))</f>
        <v/>
      </c>
      <c r="Y144" s="18" t="str">
        <f aca="false">IF(X144="","",IF(R144="No","None",IF(X144&gt;=Assumptions!$C$23,"High",IF(X144&gt;=Assumptions!$C$24,"Medium","Low"))))</f>
        <v/>
      </c>
      <c r="Z144" s="16"/>
      <c r="AA144" s="17"/>
      <c r="AB144" s="16"/>
      <c r="AC144" s="18" t="str">
        <f aca="true">IF(OR(AA144="",AB144="Hybrid deployed",AB144="PQC deployed",AB144="Not required (not vulnerable)",AB144="Risk accepted"),"",IF(AA144&lt;TODAY(),"OVERDUE",""))</f>
        <v/>
      </c>
      <c r="AD144" s="18" t="str">
        <f aca="true">IF(A144="","",IF(B144="","Name the system. ","")&amp;IF(LEFT(R144,7)="Unknown","Algorithm unknown - scan or ask the vendor. ","")&amp;IF(AND(R144&lt;&gt;"No",Assumptions!$C$6=""),"Set Z on Assumptions. ","")&amp;IF(AND(R144&lt;&gt;"No",OR(O144="",P144="")),"Enter X and Y. ","")&amp;IF(LEFT(T144,7)="AT RISK","Mosca: X+Y exceeds Z - migration should already be under way. ","")&amp;IF(AND(LEFT(U144,3)="Yes",OR(AB144="",AB144="Not started")),"Harvest-now-decrypt-later exposure and migration not started. ","")&amp;IF(AND(R144&lt;&gt;"No",OR(W144="",W144="To decide")),"Choose a target algorithm. ","")&amp;IF(AND(R144&lt;&gt;"No",W144="Keep - not quantum-vulnerable"),"Target 'Keep' conflicts with a quantum-vulnerable algorithm. ","")&amp;IF(LEFT(J144,5)="SHA-1","SHA-1 is deprecated - replace (NIST IR 8547). ","")&amp;IF(AND(R144&lt;&gt;"No",OR(N144="Roadmap - verbal only",N144="No roadmap",N144="Not asked yet")),"Get a written PQC roadmap from the vendor. ","")&amp;IF(AND(R144&lt;&gt;"No",N144=""),"Record the vendor PQC roadmap status. ","")&amp;IF(ISNUMBER(M144),IF(M144&lt;TODAY(),"Certificate or key expired. ",IF(M144-TODAY()&lt;=Assumptions!$C$25,"Expires soon - use the renewal to revisit the algorithm. ","")),"")&amp;IF(AC144="OVERDUE","Migration overdue. ","")&amp;IF(AND(R144&lt;&gt;"No",Z144=""),"Assign a migration owner. ",""))</f>
        <v/>
      </c>
    </row>
    <row r="145" customFormat="false" ht="15" hidden="false" customHeight="false" outlineLevel="0" collapsed="false">
      <c r="A145" s="16"/>
      <c r="B145" s="16"/>
      <c r="C145" s="16"/>
      <c r="D145" s="16"/>
      <c r="E145" s="16"/>
      <c r="F145" s="16"/>
      <c r="G145" s="16"/>
      <c r="H145" s="16"/>
      <c r="I145" s="16"/>
      <c r="J145" s="16"/>
      <c r="K145" s="16"/>
      <c r="L145" s="16"/>
      <c r="M145" s="17"/>
      <c r="N145" s="16"/>
      <c r="O145" s="16"/>
      <c r="P145" s="16"/>
      <c r="Q145" s="18" t="str">
        <f aca="false">IF(A145="","",IF(J145="","Unknown",IFERROR(INDEX('Algorithm Reference'!$C$6:$C$41,MATCH(J145,'Algorithm Reference'!$B$6:$B$41,0)),"Not in reference")))</f>
        <v/>
      </c>
      <c r="R145" s="18" t="str">
        <f aca="false">IF(A145="","",IF(J145="","Unknown - investigate",IFERROR(INDEX('Algorithm Reference'!$E$6:$E$41,MATCH(J145,'Algorithm Reference'!$B$6:$B$41,0)),"Unknown - investigate")))</f>
        <v/>
      </c>
      <c r="S145" s="18" t="str">
        <f aca="false">IF(OR(O145="",P145=""),"",O145+P145)</f>
        <v/>
      </c>
      <c r="T145" s="18" t="str">
        <f aca="false">IF(A145="","",IF(R145="No","N/A - not quantum-vulnerable",IF(OR(O145="",P145=""),"Enter X and Y",IF(Assumptions!$C$6="","Set Z on Assumptions",IF(O145+P145&gt;Assumptions!$C$6,"AT RISK (X+Y &gt; Z)","Within Z (X+Y &lt;= Z)")))))</f>
        <v/>
      </c>
      <c r="U145" s="18" t="str">
        <f aca="false">IF(A145="","",IF(AND(R145&lt;&gt;"No",OR(I145="Key establishment / encryption in transit",I145="Key wrapping / key transport",I145="Mixed or unknown",I145=""),OR(N(O145)&gt;0,G145="Confidential",G145="Restricted")),IF(F145="Yes","Yes - internet-facing","Yes"),"No"))</f>
        <v/>
      </c>
      <c r="V145" s="18" t="str">
        <f aca="false">IF(A145="","",IF(R145="No","Keep - not quantum-vulnerable (review key size)",IF(I145="Digital signature / authentication","ML-DSA-65 (FIPS 204); SLH-DSA (FIPS 205) if hash-based is preferred",IF(OR(I145="Key establishment / encryption in transit",I145="Key wrapping / key transport"),"ML-KEM-768 (FIPS 203); hybrid X25519MLKEM768 for TLS 1.3",IF(I145="Mixed or unknown","Both: ML-KEM (FIPS 203) for keys, ML-DSA (FIPS 204) for signatures","Pick the crypto function first")))))</f>
        <v/>
      </c>
      <c r="W145" s="16"/>
      <c r="X145" s="18" t="str">
        <f aca="false">IF(A145="","",IF(R145="No",0,IF(LEFT(T145,7)="AT RISK",Assumptions!$C$13,0)+IF(LEFT(U145,3)="Yes",Assumptions!$C$14,0)+IF(F145="Yes",Assumptions!$C$15,0)+IF(G145="Restricted",Assumptions!$C$16,IF(G145="Confidential",Assumptions!$C$17,IF(G145="Internal",Assumptions!$C$18,0)))+IF(OR(N145="Roadmap - verbal only",N145="No roadmap",N145="Not asked yet",N145=""),Assumptions!$C$19,0)+IF(E145="Production",Assumptions!$C$20,0)+IF(AND(ISNUMBER(P145),N(P145)&gt;=Assumptions!$C$22),Assumptions!$C$21,0)))</f>
        <v/>
      </c>
      <c r="Y145" s="18" t="str">
        <f aca="false">IF(X145="","",IF(R145="No","None",IF(X145&gt;=Assumptions!$C$23,"High",IF(X145&gt;=Assumptions!$C$24,"Medium","Low"))))</f>
        <v/>
      </c>
      <c r="Z145" s="16"/>
      <c r="AA145" s="17"/>
      <c r="AB145" s="16"/>
      <c r="AC145" s="18" t="str">
        <f aca="true">IF(OR(AA145="",AB145="Hybrid deployed",AB145="PQC deployed",AB145="Not required (not vulnerable)",AB145="Risk accepted"),"",IF(AA145&lt;TODAY(),"OVERDUE",""))</f>
        <v/>
      </c>
      <c r="AD145" s="18" t="str">
        <f aca="true">IF(A145="","",IF(B145="","Name the system. ","")&amp;IF(LEFT(R145,7)="Unknown","Algorithm unknown - scan or ask the vendor. ","")&amp;IF(AND(R145&lt;&gt;"No",Assumptions!$C$6=""),"Set Z on Assumptions. ","")&amp;IF(AND(R145&lt;&gt;"No",OR(O145="",P145="")),"Enter X and Y. ","")&amp;IF(LEFT(T145,7)="AT RISK","Mosca: X+Y exceeds Z - migration should already be under way. ","")&amp;IF(AND(LEFT(U145,3)="Yes",OR(AB145="",AB145="Not started")),"Harvest-now-decrypt-later exposure and migration not started. ","")&amp;IF(AND(R145&lt;&gt;"No",OR(W145="",W145="To decide")),"Choose a target algorithm. ","")&amp;IF(AND(R145&lt;&gt;"No",W145="Keep - not quantum-vulnerable"),"Target 'Keep' conflicts with a quantum-vulnerable algorithm. ","")&amp;IF(LEFT(J145,5)="SHA-1","SHA-1 is deprecated - replace (NIST IR 8547). ","")&amp;IF(AND(R145&lt;&gt;"No",OR(N145="Roadmap - verbal only",N145="No roadmap",N145="Not asked yet")),"Get a written PQC roadmap from the vendor. ","")&amp;IF(AND(R145&lt;&gt;"No",N145=""),"Record the vendor PQC roadmap status. ","")&amp;IF(ISNUMBER(M145),IF(M145&lt;TODAY(),"Certificate or key expired. ",IF(M145-TODAY()&lt;=Assumptions!$C$25,"Expires soon - use the renewal to revisit the algorithm. ","")),"")&amp;IF(AC145="OVERDUE","Migration overdue. ","")&amp;IF(AND(R145&lt;&gt;"No",Z145=""),"Assign a migration owner. ",""))</f>
        <v/>
      </c>
    </row>
    <row r="146" customFormat="false" ht="15" hidden="false" customHeight="false" outlineLevel="0" collapsed="false">
      <c r="A146" s="16"/>
      <c r="B146" s="16"/>
      <c r="C146" s="16"/>
      <c r="D146" s="16"/>
      <c r="E146" s="16"/>
      <c r="F146" s="16"/>
      <c r="G146" s="16"/>
      <c r="H146" s="16"/>
      <c r="I146" s="16"/>
      <c r="J146" s="16"/>
      <c r="K146" s="16"/>
      <c r="L146" s="16"/>
      <c r="M146" s="17"/>
      <c r="N146" s="16"/>
      <c r="O146" s="16"/>
      <c r="P146" s="16"/>
      <c r="Q146" s="18" t="str">
        <f aca="false">IF(A146="","",IF(J146="","Unknown",IFERROR(INDEX('Algorithm Reference'!$C$6:$C$41,MATCH(J146,'Algorithm Reference'!$B$6:$B$41,0)),"Not in reference")))</f>
        <v/>
      </c>
      <c r="R146" s="18" t="str">
        <f aca="false">IF(A146="","",IF(J146="","Unknown - investigate",IFERROR(INDEX('Algorithm Reference'!$E$6:$E$41,MATCH(J146,'Algorithm Reference'!$B$6:$B$41,0)),"Unknown - investigate")))</f>
        <v/>
      </c>
      <c r="S146" s="18" t="str">
        <f aca="false">IF(OR(O146="",P146=""),"",O146+P146)</f>
        <v/>
      </c>
      <c r="T146" s="18" t="str">
        <f aca="false">IF(A146="","",IF(R146="No","N/A - not quantum-vulnerable",IF(OR(O146="",P146=""),"Enter X and Y",IF(Assumptions!$C$6="","Set Z on Assumptions",IF(O146+P146&gt;Assumptions!$C$6,"AT RISK (X+Y &gt; Z)","Within Z (X+Y &lt;= Z)")))))</f>
        <v/>
      </c>
      <c r="U146" s="18" t="str">
        <f aca="false">IF(A146="","",IF(AND(R146&lt;&gt;"No",OR(I146="Key establishment / encryption in transit",I146="Key wrapping / key transport",I146="Mixed or unknown",I146=""),OR(N(O146)&gt;0,G146="Confidential",G146="Restricted")),IF(F146="Yes","Yes - internet-facing","Yes"),"No"))</f>
        <v/>
      </c>
      <c r="V146" s="18" t="str">
        <f aca="false">IF(A146="","",IF(R146="No","Keep - not quantum-vulnerable (review key size)",IF(I146="Digital signature / authentication","ML-DSA-65 (FIPS 204); SLH-DSA (FIPS 205) if hash-based is preferred",IF(OR(I146="Key establishment / encryption in transit",I146="Key wrapping / key transport"),"ML-KEM-768 (FIPS 203); hybrid X25519MLKEM768 for TLS 1.3",IF(I146="Mixed or unknown","Both: ML-KEM (FIPS 203) for keys, ML-DSA (FIPS 204) for signatures","Pick the crypto function first")))))</f>
        <v/>
      </c>
      <c r="W146" s="16"/>
      <c r="X146" s="18" t="str">
        <f aca="false">IF(A146="","",IF(R146="No",0,IF(LEFT(T146,7)="AT RISK",Assumptions!$C$13,0)+IF(LEFT(U146,3)="Yes",Assumptions!$C$14,0)+IF(F146="Yes",Assumptions!$C$15,0)+IF(G146="Restricted",Assumptions!$C$16,IF(G146="Confidential",Assumptions!$C$17,IF(G146="Internal",Assumptions!$C$18,0)))+IF(OR(N146="Roadmap - verbal only",N146="No roadmap",N146="Not asked yet",N146=""),Assumptions!$C$19,0)+IF(E146="Production",Assumptions!$C$20,0)+IF(AND(ISNUMBER(P146),N(P146)&gt;=Assumptions!$C$22),Assumptions!$C$21,0)))</f>
        <v/>
      </c>
      <c r="Y146" s="18" t="str">
        <f aca="false">IF(X146="","",IF(R146="No","None",IF(X146&gt;=Assumptions!$C$23,"High",IF(X146&gt;=Assumptions!$C$24,"Medium","Low"))))</f>
        <v/>
      </c>
      <c r="Z146" s="16"/>
      <c r="AA146" s="17"/>
      <c r="AB146" s="16"/>
      <c r="AC146" s="18" t="str">
        <f aca="true">IF(OR(AA146="",AB146="Hybrid deployed",AB146="PQC deployed",AB146="Not required (not vulnerable)",AB146="Risk accepted"),"",IF(AA146&lt;TODAY(),"OVERDUE",""))</f>
        <v/>
      </c>
      <c r="AD146" s="18" t="str">
        <f aca="true">IF(A146="","",IF(B146="","Name the system. ","")&amp;IF(LEFT(R146,7)="Unknown","Algorithm unknown - scan or ask the vendor. ","")&amp;IF(AND(R146&lt;&gt;"No",Assumptions!$C$6=""),"Set Z on Assumptions. ","")&amp;IF(AND(R146&lt;&gt;"No",OR(O146="",P146="")),"Enter X and Y. ","")&amp;IF(LEFT(T146,7)="AT RISK","Mosca: X+Y exceeds Z - migration should already be under way. ","")&amp;IF(AND(LEFT(U146,3)="Yes",OR(AB146="",AB146="Not started")),"Harvest-now-decrypt-later exposure and migration not started. ","")&amp;IF(AND(R146&lt;&gt;"No",OR(W146="",W146="To decide")),"Choose a target algorithm. ","")&amp;IF(AND(R146&lt;&gt;"No",W146="Keep - not quantum-vulnerable"),"Target 'Keep' conflicts with a quantum-vulnerable algorithm. ","")&amp;IF(LEFT(J146,5)="SHA-1","SHA-1 is deprecated - replace (NIST IR 8547). ","")&amp;IF(AND(R146&lt;&gt;"No",OR(N146="Roadmap - verbal only",N146="No roadmap",N146="Not asked yet")),"Get a written PQC roadmap from the vendor. ","")&amp;IF(AND(R146&lt;&gt;"No",N146=""),"Record the vendor PQC roadmap status. ","")&amp;IF(ISNUMBER(M146),IF(M146&lt;TODAY(),"Certificate or key expired. ",IF(M146-TODAY()&lt;=Assumptions!$C$25,"Expires soon - use the renewal to revisit the algorithm. ","")),"")&amp;IF(AC146="OVERDUE","Migration overdue. ","")&amp;IF(AND(R146&lt;&gt;"No",Z146=""),"Assign a migration owner. ",""))</f>
        <v/>
      </c>
    </row>
    <row r="147" customFormat="false" ht="15" hidden="false" customHeight="false" outlineLevel="0" collapsed="false">
      <c r="A147" s="16"/>
      <c r="B147" s="16"/>
      <c r="C147" s="16"/>
      <c r="D147" s="16"/>
      <c r="E147" s="16"/>
      <c r="F147" s="16"/>
      <c r="G147" s="16"/>
      <c r="H147" s="16"/>
      <c r="I147" s="16"/>
      <c r="J147" s="16"/>
      <c r="K147" s="16"/>
      <c r="L147" s="16"/>
      <c r="M147" s="17"/>
      <c r="N147" s="16"/>
      <c r="O147" s="16"/>
      <c r="P147" s="16"/>
      <c r="Q147" s="18" t="str">
        <f aca="false">IF(A147="","",IF(J147="","Unknown",IFERROR(INDEX('Algorithm Reference'!$C$6:$C$41,MATCH(J147,'Algorithm Reference'!$B$6:$B$41,0)),"Not in reference")))</f>
        <v/>
      </c>
      <c r="R147" s="18" t="str">
        <f aca="false">IF(A147="","",IF(J147="","Unknown - investigate",IFERROR(INDEX('Algorithm Reference'!$E$6:$E$41,MATCH(J147,'Algorithm Reference'!$B$6:$B$41,0)),"Unknown - investigate")))</f>
        <v/>
      </c>
      <c r="S147" s="18" t="str">
        <f aca="false">IF(OR(O147="",P147=""),"",O147+P147)</f>
        <v/>
      </c>
      <c r="T147" s="18" t="str">
        <f aca="false">IF(A147="","",IF(R147="No","N/A - not quantum-vulnerable",IF(OR(O147="",P147=""),"Enter X and Y",IF(Assumptions!$C$6="","Set Z on Assumptions",IF(O147+P147&gt;Assumptions!$C$6,"AT RISK (X+Y &gt; Z)","Within Z (X+Y &lt;= Z)")))))</f>
        <v/>
      </c>
      <c r="U147" s="18" t="str">
        <f aca="false">IF(A147="","",IF(AND(R147&lt;&gt;"No",OR(I147="Key establishment / encryption in transit",I147="Key wrapping / key transport",I147="Mixed or unknown",I147=""),OR(N(O147)&gt;0,G147="Confidential",G147="Restricted")),IF(F147="Yes","Yes - internet-facing","Yes"),"No"))</f>
        <v/>
      </c>
      <c r="V147" s="18" t="str">
        <f aca="false">IF(A147="","",IF(R147="No","Keep - not quantum-vulnerable (review key size)",IF(I147="Digital signature / authentication","ML-DSA-65 (FIPS 204); SLH-DSA (FIPS 205) if hash-based is preferred",IF(OR(I147="Key establishment / encryption in transit",I147="Key wrapping / key transport"),"ML-KEM-768 (FIPS 203); hybrid X25519MLKEM768 for TLS 1.3",IF(I147="Mixed or unknown","Both: ML-KEM (FIPS 203) for keys, ML-DSA (FIPS 204) for signatures","Pick the crypto function first")))))</f>
        <v/>
      </c>
      <c r="W147" s="16"/>
      <c r="X147" s="18" t="str">
        <f aca="false">IF(A147="","",IF(R147="No",0,IF(LEFT(T147,7)="AT RISK",Assumptions!$C$13,0)+IF(LEFT(U147,3)="Yes",Assumptions!$C$14,0)+IF(F147="Yes",Assumptions!$C$15,0)+IF(G147="Restricted",Assumptions!$C$16,IF(G147="Confidential",Assumptions!$C$17,IF(G147="Internal",Assumptions!$C$18,0)))+IF(OR(N147="Roadmap - verbal only",N147="No roadmap",N147="Not asked yet",N147=""),Assumptions!$C$19,0)+IF(E147="Production",Assumptions!$C$20,0)+IF(AND(ISNUMBER(P147),N(P147)&gt;=Assumptions!$C$22),Assumptions!$C$21,0)))</f>
        <v/>
      </c>
      <c r="Y147" s="18" t="str">
        <f aca="false">IF(X147="","",IF(R147="No","None",IF(X147&gt;=Assumptions!$C$23,"High",IF(X147&gt;=Assumptions!$C$24,"Medium","Low"))))</f>
        <v/>
      </c>
      <c r="Z147" s="16"/>
      <c r="AA147" s="17"/>
      <c r="AB147" s="16"/>
      <c r="AC147" s="18" t="str">
        <f aca="true">IF(OR(AA147="",AB147="Hybrid deployed",AB147="PQC deployed",AB147="Not required (not vulnerable)",AB147="Risk accepted"),"",IF(AA147&lt;TODAY(),"OVERDUE",""))</f>
        <v/>
      </c>
      <c r="AD147" s="18" t="str">
        <f aca="true">IF(A147="","",IF(B147="","Name the system. ","")&amp;IF(LEFT(R147,7)="Unknown","Algorithm unknown - scan or ask the vendor. ","")&amp;IF(AND(R147&lt;&gt;"No",Assumptions!$C$6=""),"Set Z on Assumptions. ","")&amp;IF(AND(R147&lt;&gt;"No",OR(O147="",P147="")),"Enter X and Y. ","")&amp;IF(LEFT(T147,7)="AT RISK","Mosca: X+Y exceeds Z - migration should already be under way. ","")&amp;IF(AND(LEFT(U147,3)="Yes",OR(AB147="",AB147="Not started")),"Harvest-now-decrypt-later exposure and migration not started. ","")&amp;IF(AND(R147&lt;&gt;"No",OR(W147="",W147="To decide")),"Choose a target algorithm. ","")&amp;IF(AND(R147&lt;&gt;"No",W147="Keep - not quantum-vulnerable"),"Target 'Keep' conflicts with a quantum-vulnerable algorithm. ","")&amp;IF(LEFT(J147,5)="SHA-1","SHA-1 is deprecated - replace (NIST IR 8547). ","")&amp;IF(AND(R147&lt;&gt;"No",OR(N147="Roadmap - verbal only",N147="No roadmap",N147="Not asked yet")),"Get a written PQC roadmap from the vendor. ","")&amp;IF(AND(R147&lt;&gt;"No",N147=""),"Record the vendor PQC roadmap status. ","")&amp;IF(ISNUMBER(M147),IF(M147&lt;TODAY(),"Certificate or key expired. ",IF(M147-TODAY()&lt;=Assumptions!$C$25,"Expires soon - use the renewal to revisit the algorithm. ","")),"")&amp;IF(AC147="OVERDUE","Migration overdue. ","")&amp;IF(AND(R147&lt;&gt;"No",Z147=""),"Assign a migration owner. ",""))</f>
        <v/>
      </c>
    </row>
    <row r="148" customFormat="false" ht="15" hidden="false" customHeight="false" outlineLevel="0" collapsed="false">
      <c r="A148" s="16"/>
      <c r="B148" s="16"/>
      <c r="C148" s="16"/>
      <c r="D148" s="16"/>
      <c r="E148" s="16"/>
      <c r="F148" s="16"/>
      <c r="G148" s="16"/>
      <c r="H148" s="16"/>
      <c r="I148" s="16"/>
      <c r="J148" s="16"/>
      <c r="K148" s="16"/>
      <c r="L148" s="16"/>
      <c r="M148" s="17"/>
      <c r="N148" s="16"/>
      <c r="O148" s="16"/>
      <c r="P148" s="16"/>
      <c r="Q148" s="18" t="str">
        <f aca="false">IF(A148="","",IF(J148="","Unknown",IFERROR(INDEX('Algorithm Reference'!$C$6:$C$41,MATCH(J148,'Algorithm Reference'!$B$6:$B$41,0)),"Not in reference")))</f>
        <v/>
      </c>
      <c r="R148" s="18" t="str">
        <f aca="false">IF(A148="","",IF(J148="","Unknown - investigate",IFERROR(INDEX('Algorithm Reference'!$E$6:$E$41,MATCH(J148,'Algorithm Reference'!$B$6:$B$41,0)),"Unknown - investigate")))</f>
        <v/>
      </c>
      <c r="S148" s="18" t="str">
        <f aca="false">IF(OR(O148="",P148=""),"",O148+P148)</f>
        <v/>
      </c>
      <c r="T148" s="18" t="str">
        <f aca="false">IF(A148="","",IF(R148="No","N/A - not quantum-vulnerable",IF(OR(O148="",P148=""),"Enter X and Y",IF(Assumptions!$C$6="","Set Z on Assumptions",IF(O148+P148&gt;Assumptions!$C$6,"AT RISK (X+Y &gt; Z)","Within Z (X+Y &lt;= Z)")))))</f>
        <v/>
      </c>
      <c r="U148" s="18" t="str">
        <f aca="false">IF(A148="","",IF(AND(R148&lt;&gt;"No",OR(I148="Key establishment / encryption in transit",I148="Key wrapping / key transport",I148="Mixed or unknown",I148=""),OR(N(O148)&gt;0,G148="Confidential",G148="Restricted")),IF(F148="Yes","Yes - internet-facing","Yes"),"No"))</f>
        <v/>
      </c>
      <c r="V148" s="18" t="str">
        <f aca="false">IF(A148="","",IF(R148="No","Keep - not quantum-vulnerable (review key size)",IF(I148="Digital signature / authentication","ML-DSA-65 (FIPS 204); SLH-DSA (FIPS 205) if hash-based is preferred",IF(OR(I148="Key establishment / encryption in transit",I148="Key wrapping / key transport"),"ML-KEM-768 (FIPS 203); hybrid X25519MLKEM768 for TLS 1.3",IF(I148="Mixed or unknown","Both: ML-KEM (FIPS 203) for keys, ML-DSA (FIPS 204) for signatures","Pick the crypto function first")))))</f>
        <v/>
      </c>
      <c r="W148" s="16"/>
      <c r="X148" s="18" t="str">
        <f aca="false">IF(A148="","",IF(R148="No",0,IF(LEFT(T148,7)="AT RISK",Assumptions!$C$13,0)+IF(LEFT(U148,3)="Yes",Assumptions!$C$14,0)+IF(F148="Yes",Assumptions!$C$15,0)+IF(G148="Restricted",Assumptions!$C$16,IF(G148="Confidential",Assumptions!$C$17,IF(G148="Internal",Assumptions!$C$18,0)))+IF(OR(N148="Roadmap - verbal only",N148="No roadmap",N148="Not asked yet",N148=""),Assumptions!$C$19,0)+IF(E148="Production",Assumptions!$C$20,0)+IF(AND(ISNUMBER(P148),N(P148)&gt;=Assumptions!$C$22),Assumptions!$C$21,0)))</f>
        <v/>
      </c>
      <c r="Y148" s="18" t="str">
        <f aca="false">IF(X148="","",IF(R148="No","None",IF(X148&gt;=Assumptions!$C$23,"High",IF(X148&gt;=Assumptions!$C$24,"Medium","Low"))))</f>
        <v/>
      </c>
      <c r="Z148" s="16"/>
      <c r="AA148" s="17"/>
      <c r="AB148" s="16"/>
      <c r="AC148" s="18" t="str">
        <f aca="true">IF(OR(AA148="",AB148="Hybrid deployed",AB148="PQC deployed",AB148="Not required (not vulnerable)",AB148="Risk accepted"),"",IF(AA148&lt;TODAY(),"OVERDUE",""))</f>
        <v/>
      </c>
      <c r="AD148" s="18" t="str">
        <f aca="true">IF(A148="","",IF(B148="","Name the system. ","")&amp;IF(LEFT(R148,7)="Unknown","Algorithm unknown - scan or ask the vendor. ","")&amp;IF(AND(R148&lt;&gt;"No",Assumptions!$C$6=""),"Set Z on Assumptions. ","")&amp;IF(AND(R148&lt;&gt;"No",OR(O148="",P148="")),"Enter X and Y. ","")&amp;IF(LEFT(T148,7)="AT RISK","Mosca: X+Y exceeds Z - migration should already be under way. ","")&amp;IF(AND(LEFT(U148,3)="Yes",OR(AB148="",AB148="Not started")),"Harvest-now-decrypt-later exposure and migration not started. ","")&amp;IF(AND(R148&lt;&gt;"No",OR(W148="",W148="To decide")),"Choose a target algorithm. ","")&amp;IF(AND(R148&lt;&gt;"No",W148="Keep - not quantum-vulnerable"),"Target 'Keep' conflicts with a quantum-vulnerable algorithm. ","")&amp;IF(LEFT(J148,5)="SHA-1","SHA-1 is deprecated - replace (NIST IR 8547). ","")&amp;IF(AND(R148&lt;&gt;"No",OR(N148="Roadmap - verbal only",N148="No roadmap",N148="Not asked yet")),"Get a written PQC roadmap from the vendor. ","")&amp;IF(AND(R148&lt;&gt;"No",N148=""),"Record the vendor PQC roadmap status. ","")&amp;IF(ISNUMBER(M148),IF(M148&lt;TODAY(),"Certificate or key expired. ",IF(M148-TODAY()&lt;=Assumptions!$C$25,"Expires soon - use the renewal to revisit the algorithm. ","")),"")&amp;IF(AC148="OVERDUE","Migration overdue. ","")&amp;IF(AND(R148&lt;&gt;"No",Z148=""),"Assign a migration owner. ",""))</f>
        <v/>
      </c>
    </row>
    <row r="149" customFormat="false" ht="15" hidden="false" customHeight="false" outlineLevel="0" collapsed="false">
      <c r="A149" s="16"/>
      <c r="B149" s="16"/>
      <c r="C149" s="16"/>
      <c r="D149" s="16"/>
      <c r="E149" s="16"/>
      <c r="F149" s="16"/>
      <c r="G149" s="16"/>
      <c r="H149" s="16"/>
      <c r="I149" s="16"/>
      <c r="J149" s="16"/>
      <c r="K149" s="16"/>
      <c r="L149" s="16"/>
      <c r="M149" s="17"/>
      <c r="N149" s="16"/>
      <c r="O149" s="16"/>
      <c r="P149" s="16"/>
      <c r="Q149" s="18" t="str">
        <f aca="false">IF(A149="","",IF(J149="","Unknown",IFERROR(INDEX('Algorithm Reference'!$C$6:$C$41,MATCH(J149,'Algorithm Reference'!$B$6:$B$41,0)),"Not in reference")))</f>
        <v/>
      </c>
      <c r="R149" s="18" t="str">
        <f aca="false">IF(A149="","",IF(J149="","Unknown - investigate",IFERROR(INDEX('Algorithm Reference'!$E$6:$E$41,MATCH(J149,'Algorithm Reference'!$B$6:$B$41,0)),"Unknown - investigate")))</f>
        <v/>
      </c>
      <c r="S149" s="18" t="str">
        <f aca="false">IF(OR(O149="",P149=""),"",O149+P149)</f>
        <v/>
      </c>
      <c r="T149" s="18" t="str">
        <f aca="false">IF(A149="","",IF(R149="No","N/A - not quantum-vulnerable",IF(OR(O149="",P149=""),"Enter X and Y",IF(Assumptions!$C$6="","Set Z on Assumptions",IF(O149+P149&gt;Assumptions!$C$6,"AT RISK (X+Y &gt; Z)","Within Z (X+Y &lt;= Z)")))))</f>
        <v/>
      </c>
      <c r="U149" s="18" t="str">
        <f aca="false">IF(A149="","",IF(AND(R149&lt;&gt;"No",OR(I149="Key establishment / encryption in transit",I149="Key wrapping / key transport",I149="Mixed or unknown",I149=""),OR(N(O149)&gt;0,G149="Confidential",G149="Restricted")),IF(F149="Yes","Yes - internet-facing","Yes"),"No"))</f>
        <v/>
      </c>
      <c r="V149" s="18" t="str">
        <f aca="false">IF(A149="","",IF(R149="No","Keep - not quantum-vulnerable (review key size)",IF(I149="Digital signature / authentication","ML-DSA-65 (FIPS 204); SLH-DSA (FIPS 205) if hash-based is preferred",IF(OR(I149="Key establishment / encryption in transit",I149="Key wrapping / key transport"),"ML-KEM-768 (FIPS 203); hybrid X25519MLKEM768 for TLS 1.3",IF(I149="Mixed or unknown","Both: ML-KEM (FIPS 203) for keys, ML-DSA (FIPS 204) for signatures","Pick the crypto function first")))))</f>
        <v/>
      </c>
      <c r="W149" s="16"/>
      <c r="X149" s="18" t="str">
        <f aca="false">IF(A149="","",IF(R149="No",0,IF(LEFT(T149,7)="AT RISK",Assumptions!$C$13,0)+IF(LEFT(U149,3)="Yes",Assumptions!$C$14,0)+IF(F149="Yes",Assumptions!$C$15,0)+IF(G149="Restricted",Assumptions!$C$16,IF(G149="Confidential",Assumptions!$C$17,IF(G149="Internal",Assumptions!$C$18,0)))+IF(OR(N149="Roadmap - verbal only",N149="No roadmap",N149="Not asked yet",N149=""),Assumptions!$C$19,0)+IF(E149="Production",Assumptions!$C$20,0)+IF(AND(ISNUMBER(P149),N(P149)&gt;=Assumptions!$C$22),Assumptions!$C$21,0)))</f>
        <v/>
      </c>
      <c r="Y149" s="18" t="str">
        <f aca="false">IF(X149="","",IF(R149="No","None",IF(X149&gt;=Assumptions!$C$23,"High",IF(X149&gt;=Assumptions!$C$24,"Medium","Low"))))</f>
        <v/>
      </c>
      <c r="Z149" s="16"/>
      <c r="AA149" s="17"/>
      <c r="AB149" s="16"/>
      <c r="AC149" s="18" t="str">
        <f aca="true">IF(OR(AA149="",AB149="Hybrid deployed",AB149="PQC deployed",AB149="Not required (not vulnerable)",AB149="Risk accepted"),"",IF(AA149&lt;TODAY(),"OVERDUE",""))</f>
        <v/>
      </c>
      <c r="AD149" s="18" t="str">
        <f aca="true">IF(A149="","",IF(B149="","Name the system. ","")&amp;IF(LEFT(R149,7)="Unknown","Algorithm unknown - scan or ask the vendor. ","")&amp;IF(AND(R149&lt;&gt;"No",Assumptions!$C$6=""),"Set Z on Assumptions. ","")&amp;IF(AND(R149&lt;&gt;"No",OR(O149="",P149="")),"Enter X and Y. ","")&amp;IF(LEFT(T149,7)="AT RISK","Mosca: X+Y exceeds Z - migration should already be under way. ","")&amp;IF(AND(LEFT(U149,3)="Yes",OR(AB149="",AB149="Not started")),"Harvest-now-decrypt-later exposure and migration not started. ","")&amp;IF(AND(R149&lt;&gt;"No",OR(W149="",W149="To decide")),"Choose a target algorithm. ","")&amp;IF(AND(R149&lt;&gt;"No",W149="Keep - not quantum-vulnerable"),"Target 'Keep' conflicts with a quantum-vulnerable algorithm. ","")&amp;IF(LEFT(J149,5)="SHA-1","SHA-1 is deprecated - replace (NIST IR 8547). ","")&amp;IF(AND(R149&lt;&gt;"No",OR(N149="Roadmap - verbal only",N149="No roadmap",N149="Not asked yet")),"Get a written PQC roadmap from the vendor. ","")&amp;IF(AND(R149&lt;&gt;"No",N149=""),"Record the vendor PQC roadmap status. ","")&amp;IF(ISNUMBER(M149),IF(M149&lt;TODAY(),"Certificate or key expired. ",IF(M149-TODAY()&lt;=Assumptions!$C$25,"Expires soon - use the renewal to revisit the algorithm. ","")),"")&amp;IF(AC149="OVERDUE","Migration overdue. ","")&amp;IF(AND(R149&lt;&gt;"No",Z149=""),"Assign a migration owner. ",""))</f>
        <v/>
      </c>
    </row>
    <row r="150" customFormat="false" ht="15" hidden="false" customHeight="false" outlineLevel="0" collapsed="false">
      <c r="A150" s="16"/>
      <c r="B150" s="16"/>
      <c r="C150" s="16"/>
      <c r="D150" s="16"/>
      <c r="E150" s="16"/>
      <c r="F150" s="16"/>
      <c r="G150" s="16"/>
      <c r="H150" s="16"/>
      <c r="I150" s="16"/>
      <c r="J150" s="16"/>
      <c r="K150" s="16"/>
      <c r="L150" s="16"/>
      <c r="M150" s="17"/>
      <c r="N150" s="16"/>
      <c r="O150" s="16"/>
      <c r="P150" s="16"/>
      <c r="Q150" s="18" t="str">
        <f aca="false">IF(A150="","",IF(J150="","Unknown",IFERROR(INDEX('Algorithm Reference'!$C$6:$C$41,MATCH(J150,'Algorithm Reference'!$B$6:$B$41,0)),"Not in reference")))</f>
        <v/>
      </c>
      <c r="R150" s="18" t="str">
        <f aca="false">IF(A150="","",IF(J150="","Unknown - investigate",IFERROR(INDEX('Algorithm Reference'!$E$6:$E$41,MATCH(J150,'Algorithm Reference'!$B$6:$B$41,0)),"Unknown - investigate")))</f>
        <v/>
      </c>
      <c r="S150" s="18" t="str">
        <f aca="false">IF(OR(O150="",P150=""),"",O150+P150)</f>
        <v/>
      </c>
      <c r="T150" s="18" t="str">
        <f aca="false">IF(A150="","",IF(R150="No","N/A - not quantum-vulnerable",IF(OR(O150="",P150=""),"Enter X and Y",IF(Assumptions!$C$6="","Set Z on Assumptions",IF(O150+P150&gt;Assumptions!$C$6,"AT RISK (X+Y &gt; Z)","Within Z (X+Y &lt;= Z)")))))</f>
        <v/>
      </c>
      <c r="U150" s="18" t="str">
        <f aca="false">IF(A150="","",IF(AND(R150&lt;&gt;"No",OR(I150="Key establishment / encryption in transit",I150="Key wrapping / key transport",I150="Mixed or unknown",I150=""),OR(N(O150)&gt;0,G150="Confidential",G150="Restricted")),IF(F150="Yes","Yes - internet-facing","Yes"),"No"))</f>
        <v/>
      </c>
      <c r="V150" s="18" t="str">
        <f aca="false">IF(A150="","",IF(R150="No","Keep - not quantum-vulnerable (review key size)",IF(I150="Digital signature / authentication","ML-DSA-65 (FIPS 204); SLH-DSA (FIPS 205) if hash-based is preferred",IF(OR(I150="Key establishment / encryption in transit",I150="Key wrapping / key transport"),"ML-KEM-768 (FIPS 203); hybrid X25519MLKEM768 for TLS 1.3",IF(I150="Mixed or unknown","Both: ML-KEM (FIPS 203) for keys, ML-DSA (FIPS 204) for signatures","Pick the crypto function first")))))</f>
        <v/>
      </c>
      <c r="W150" s="16"/>
      <c r="X150" s="18" t="str">
        <f aca="false">IF(A150="","",IF(R150="No",0,IF(LEFT(T150,7)="AT RISK",Assumptions!$C$13,0)+IF(LEFT(U150,3)="Yes",Assumptions!$C$14,0)+IF(F150="Yes",Assumptions!$C$15,0)+IF(G150="Restricted",Assumptions!$C$16,IF(G150="Confidential",Assumptions!$C$17,IF(G150="Internal",Assumptions!$C$18,0)))+IF(OR(N150="Roadmap - verbal only",N150="No roadmap",N150="Not asked yet",N150=""),Assumptions!$C$19,0)+IF(E150="Production",Assumptions!$C$20,0)+IF(AND(ISNUMBER(P150),N(P150)&gt;=Assumptions!$C$22),Assumptions!$C$21,0)))</f>
        <v/>
      </c>
      <c r="Y150" s="18" t="str">
        <f aca="false">IF(X150="","",IF(R150="No","None",IF(X150&gt;=Assumptions!$C$23,"High",IF(X150&gt;=Assumptions!$C$24,"Medium","Low"))))</f>
        <v/>
      </c>
      <c r="Z150" s="16"/>
      <c r="AA150" s="17"/>
      <c r="AB150" s="16"/>
      <c r="AC150" s="18" t="str">
        <f aca="true">IF(OR(AA150="",AB150="Hybrid deployed",AB150="PQC deployed",AB150="Not required (not vulnerable)",AB150="Risk accepted"),"",IF(AA150&lt;TODAY(),"OVERDUE",""))</f>
        <v/>
      </c>
      <c r="AD150" s="18" t="str">
        <f aca="true">IF(A150="","",IF(B150="","Name the system. ","")&amp;IF(LEFT(R150,7)="Unknown","Algorithm unknown - scan or ask the vendor. ","")&amp;IF(AND(R150&lt;&gt;"No",Assumptions!$C$6=""),"Set Z on Assumptions. ","")&amp;IF(AND(R150&lt;&gt;"No",OR(O150="",P150="")),"Enter X and Y. ","")&amp;IF(LEFT(T150,7)="AT RISK","Mosca: X+Y exceeds Z - migration should already be under way. ","")&amp;IF(AND(LEFT(U150,3)="Yes",OR(AB150="",AB150="Not started")),"Harvest-now-decrypt-later exposure and migration not started. ","")&amp;IF(AND(R150&lt;&gt;"No",OR(W150="",W150="To decide")),"Choose a target algorithm. ","")&amp;IF(AND(R150&lt;&gt;"No",W150="Keep - not quantum-vulnerable"),"Target 'Keep' conflicts with a quantum-vulnerable algorithm. ","")&amp;IF(LEFT(J150,5)="SHA-1","SHA-1 is deprecated - replace (NIST IR 8547). ","")&amp;IF(AND(R150&lt;&gt;"No",OR(N150="Roadmap - verbal only",N150="No roadmap",N150="Not asked yet")),"Get a written PQC roadmap from the vendor. ","")&amp;IF(AND(R150&lt;&gt;"No",N150=""),"Record the vendor PQC roadmap status. ","")&amp;IF(ISNUMBER(M150),IF(M150&lt;TODAY(),"Certificate or key expired. ",IF(M150-TODAY()&lt;=Assumptions!$C$25,"Expires soon - use the renewal to revisit the algorithm. ","")),"")&amp;IF(AC150="OVERDUE","Migration overdue. ","")&amp;IF(AND(R150&lt;&gt;"No",Z150=""),"Assign a migration owner. ",""))</f>
        <v/>
      </c>
    </row>
    <row r="151" customFormat="false" ht="15" hidden="false" customHeight="false" outlineLevel="0" collapsed="false">
      <c r="A151" s="16"/>
      <c r="B151" s="16"/>
      <c r="C151" s="16"/>
      <c r="D151" s="16"/>
      <c r="E151" s="16"/>
      <c r="F151" s="16"/>
      <c r="G151" s="16"/>
      <c r="H151" s="16"/>
      <c r="I151" s="16"/>
      <c r="J151" s="16"/>
      <c r="K151" s="16"/>
      <c r="L151" s="16"/>
      <c r="M151" s="17"/>
      <c r="N151" s="16"/>
      <c r="O151" s="16"/>
      <c r="P151" s="16"/>
      <c r="Q151" s="18" t="str">
        <f aca="false">IF(A151="","",IF(J151="","Unknown",IFERROR(INDEX('Algorithm Reference'!$C$6:$C$41,MATCH(J151,'Algorithm Reference'!$B$6:$B$41,0)),"Not in reference")))</f>
        <v/>
      </c>
      <c r="R151" s="18" t="str">
        <f aca="false">IF(A151="","",IF(J151="","Unknown - investigate",IFERROR(INDEX('Algorithm Reference'!$E$6:$E$41,MATCH(J151,'Algorithm Reference'!$B$6:$B$41,0)),"Unknown - investigate")))</f>
        <v/>
      </c>
      <c r="S151" s="18" t="str">
        <f aca="false">IF(OR(O151="",P151=""),"",O151+P151)</f>
        <v/>
      </c>
      <c r="T151" s="18" t="str">
        <f aca="false">IF(A151="","",IF(R151="No","N/A - not quantum-vulnerable",IF(OR(O151="",P151=""),"Enter X and Y",IF(Assumptions!$C$6="","Set Z on Assumptions",IF(O151+P151&gt;Assumptions!$C$6,"AT RISK (X+Y &gt; Z)","Within Z (X+Y &lt;= Z)")))))</f>
        <v/>
      </c>
      <c r="U151" s="18" t="str">
        <f aca="false">IF(A151="","",IF(AND(R151&lt;&gt;"No",OR(I151="Key establishment / encryption in transit",I151="Key wrapping / key transport",I151="Mixed or unknown",I151=""),OR(N(O151)&gt;0,G151="Confidential",G151="Restricted")),IF(F151="Yes","Yes - internet-facing","Yes"),"No"))</f>
        <v/>
      </c>
      <c r="V151" s="18" t="str">
        <f aca="false">IF(A151="","",IF(R151="No","Keep - not quantum-vulnerable (review key size)",IF(I151="Digital signature / authentication","ML-DSA-65 (FIPS 204); SLH-DSA (FIPS 205) if hash-based is preferred",IF(OR(I151="Key establishment / encryption in transit",I151="Key wrapping / key transport"),"ML-KEM-768 (FIPS 203); hybrid X25519MLKEM768 for TLS 1.3",IF(I151="Mixed or unknown","Both: ML-KEM (FIPS 203) for keys, ML-DSA (FIPS 204) for signatures","Pick the crypto function first")))))</f>
        <v/>
      </c>
      <c r="W151" s="16"/>
      <c r="X151" s="18" t="str">
        <f aca="false">IF(A151="","",IF(R151="No",0,IF(LEFT(T151,7)="AT RISK",Assumptions!$C$13,0)+IF(LEFT(U151,3)="Yes",Assumptions!$C$14,0)+IF(F151="Yes",Assumptions!$C$15,0)+IF(G151="Restricted",Assumptions!$C$16,IF(G151="Confidential",Assumptions!$C$17,IF(G151="Internal",Assumptions!$C$18,0)))+IF(OR(N151="Roadmap - verbal only",N151="No roadmap",N151="Not asked yet",N151=""),Assumptions!$C$19,0)+IF(E151="Production",Assumptions!$C$20,0)+IF(AND(ISNUMBER(P151),N(P151)&gt;=Assumptions!$C$22),Assumptions!$C$21,0)))</f>
        <v/>
      </c>
      <c r="Y151" s="18" t="str">
        <f aca="false">IF(X151="","",IF(R151="No","None",IF(X151&gt;=Assumptions!$C$23,"High",IF(X151&gt;=Assumptions!$C$24,"Medium","Low"))))</f>
        <v/>
      </c>
      <c r="Z151" s="16"/>
      <c r="AA151" s="17"/>
      <c r="AB151" s="16"/>
      <c r="AC151" s="18" t="str">
        <f aca="true">IF(OR(AA151="",AB151="Hybrid deployed",AB151="PQC deployed",AB151="Not required (not vulnerable)",AB151="Risk accepted"),"",IF(AA151&lt;TODAY(),"OVERDUE",""))</f>
        <v/>
      </c>
      <c r="AD151" s="18" t="str">
        <f aca="true">IF(A151="","",IF(B151="","Name the system. ","")&amp;IF(LEFT(R151,7)="Unknown","Algorithm unknown - scan or ask the vendor. ","")&amp;IF(AND(R151&lt;&gt;"No",Assumptions!$C$6=""),"Set Z on Assumptions. ","")&amp;IF(AND(R151&lt;&gt;"No",OR(O151="",P151="")),"Enter X and Y. ","")&amp;IF(LEFT(T151,7)="AT RISK","Mosca: X+Y exceeds Z - migration should already be under way. ","")&amp;IF(AND(LEFT(U151,3)="Yes",OR(AB151="",AB151="Not started")),"Harvest-now-decrypt-later exposure and migration not started. ","")&amp;IF(AND(R151&lt;&gt;"No",OR(W151="",W151="To decide")),"Choose a target algorithm. ","")&amp;IF(AND(R151&lt;&gt;"No",W151="Keep - not quantum-vulnerable"),"Target 'Keep' conflicts with a quantum-vulnerable algorithm. ","")&amp;IF(LEFT(J151,5)="SHA-1","SHA-1 is deprecated - replace (NIST IR 8547). ","")&amp;IF(AND(R151&lt;&gt;"No",OR(N151="Roadmap - verbal only",N151="No roadmap",N151="Not asked yet")),"Get a written PQC roadmap from the vendor. ","")&amp;IF(AND(R151&lt;&gt;"No",N151=""),"Record the vendor PQC roadmap status. ","")&amp;IF(ISNUMBER(M151),IF(M151&lt;TODAY(),"Certificate or key expired. ",IF(M151-TODAY()&lt;=Assumptions!$C$25,"Expires soon - use the renewal to revisit the algorithm. ","")),"")&amp;IF(AC151="OVERDUE","Migration overdue. ","")&amp;IF(AND(R151&lt;&gt;"No",Z151=""),"Assign a migration owner. ",""))</f>
        <v/>
      </c>
    </row>
    <row r="152" customFormat="false" ht="15" hidden="false" customHeight="false" outlineLevel="0" collapsed="false">
      <c r="A152" s="16"/>
      <c r="B152" s="16"/>
      <c r="C152" s="16"/>
      <c r="D152" s="16"/>
      <c r="E152" s="16"/>
      <c r="F152" s="16"/>
      <c r="G152" s="16"/>
      <c r="H152" s="16"/>
      <c r="I152" s="16"/>
      <c r="J152" s="16"/>
      <c r="K152" s="16"/>
      <c r="L152" s="16"/>
      <c r="M152" s="17"/>
      <c r="N152" s="16"/>
      <c r="O152" s="16"/>
      <c r="P152" s="16"/>
      <c r="Q152" s="18" t="str">
        <f aca="false">IF(A152="","",IF(J152="","Unknown",IFERROR(INDEX('Algorithm Reference'!$C$6:$C$41,MATCH(J152,'Algorithm Reference'!$B$6:$B$41,0)),"Not in reference")))</f>
        <v/>
      </c>
      <c r="R152" s="18" t="str">
        <f aca="false">IF(A152="","",IF(J152="","Unknown - investigate",IFERROR(INDEX('Algorithm Reference'!$E$6:$E$41,MATCH(J152,'Algorithm Reference'!$B$6:$B$41,0)),"Unknown - investigate")))</f>
        <v/>
      </c>
      <c r="S152" s="18" t="str">
        <f aca="false">IF(OR(O152="",P152=""),"",O152+P152)</f>
        <v/>
      </c>
      <c r="T152" s="18" t="str">
        <f aca="false">IF(A152="","",IF(R152="No","N/A - not quantum-vulnerable",IF(OR(O152="",P152=""),"Enter X and Y",IF(Assumptions!$C$6="","Set Z on Assumptions",IF(O152+P152&gt;Assumptions!$C$6,"AT RISK (X+Y &gt; Z)","Within Z (X+Y &lt;= Z)")))))</f>
        <v/>
      </c>
      <c r="U152" s="18" t="str">
        <f aca="false">IF(A152="","",IF(AND(R152&lt;&gt;"No",OR(I152="Key establishment / encryption in transit",I152="Key wrapping / key transport",I152="Mixed or unknown",I152=""),OR(N(O152)&gt;0,G152="Confidential",G152="Restricted")),IF(F152="Yes","Yes - internet-facing","Yes"),"No"))</f>
        <v/>
      </c>
      <c r="V152" s="18" t="str">
        <f aca="false">IF(A152="","",IF(R152="No","Keep - not quantum-vulnerable (review key size)",IF(I152="Digital signature / authentication","ML-DSA-65 (FIPS 204); SLH-DSA (FIPS 205) if hash-based is preferred",IF(OR(I152="Key establishment / encryption in transit",I152="Key wrapping / key transport"),"ML-KEM-768 (FIPS 203); hybrid X25519MLKEM768 for TLS 1.3",IF(I152="Mixed or unknown","Both: ML-KEM (FIPS 203) for keys, ML-DSA (FIPS 204) for signatures","Pick the crypto function first")))))</f>
        <v/>
      </c>
      <c r="W152" s="16"/>
      <c r="X152" s="18" t="str">
        <f aca="false">IF(A152="","",IF(R152="No",0,IF(LEFT(T152,7)="AT RISK",Assumptions!$C$13,0)+IF(LEFT(U152,3)="Yes",Assumptions!$C$14,0)+IF(F152="Yes",Assumptions!$C$15,0)+IF(G152="Restricted",Assumptions!$C$16,IF(G152="Confidential",Assumptions!$C$17,IF(G152="Internal",Assumptions!$C$18,0)))+IF(OR(N152="Roadmap - verbal only",N152="No roadmap",N152="Not asked yet",N152=""),Assumptions!$C$19,0)+IF(E152="Production",Assumptions!$C$20,0)+IF(AND(ISNUMBER(P152),N(P152)&gt;=Assumptions!$C$22),Assumptions!$C$21,0)))</f>
        <v/>
      </c>
      <c r="Y152" s="18" t="str">
        <f aca="false">IF(X152="","",IF(R152="No","None",IF(X152&gt;=Assumptions!$C$23,"High",IF(X152&gt;=Assumptions!$C$24,"Medium","Low"))))</f>
        <v/>
      </c>
      <c r="Z152" s="16"/>
      <c r="AA152" s="17"/>
      <c r="AB152" s="16"/>
      <c r="AC152" s="18" t="str">
        <f aca="true">IF(OR(AA152="",AB152="Hybrid deployed",AB152="PQC deployed",AB152="Not required (not vulnerable)",AB152="Risk accepted"),"",IF(AA152&lt;TODAY(),"OVERDUE",""))</f>
        <v/>
      </c>
      <c r="AD152" s="18" t="str">
        <f aca="true">IF(A152="","",IF(B152="","Name the system. ","")&amp;IF(LEFT(R152,7)="Unknown","Algorithm unknown - scan or ask the vendor. ","")&amp;IF(AND(R152&lt;&gt;"No",Assumptions!$C$6=""),"Set Z on Assumptions. ","")&amp;IF(AND(R152&lt;&gt;"No",OR(O152="",P152="")),"Enter X and Y. ","")&amp;IF(LEFT(T152,7)="AT RISK","Mosca: X+Y exceeds Z - migration should already be under way. ","")&amp;IF(AND(LEFT(U152,3)="Yes",OR(AB152="",AB152="Not started")),"Harvest-now-decrypt-later exposure and migration not started. ","")&amp;IF(AND(R152&lt;&gt;"No",OR(W152="",W152="To decide")),"Choose a target algorithm. ","")&amp;IF(AND(R152&lt;&gt;"No",W152="Keep - not quantum-vulnerable"),"Target 'Keep' conflicts with a quantum-vulnerable algorithm. ","")&amp;IF(LEFT(J152,5)="SHA-1","SHA-1 is deprecated - replace (NIST IR 8547). ","")&amp;IF(AND(R152&lt;&gt;"No",OR(N152="Roadmap - verbal only",N152="No roadmap",N152="Not asked yet")),"Get a written PQC roadmap from the vendor. ","")&amp;IF(AND(R152&lt;&gt;"No",N152=""),"Record the vendor PQC roadmap status. ","")&amp;IF(ISNUMBER(M152),IF(M152&lt;TODAY(),"Certificate or key expired. ",IF(M152-TODAY()&lt;=Assumptions!$C$25,"Expires soon - use the renewal to revisit the algorithm. ","")),"")&amp;IF(AC152="OVERDUE","Migration overdue. ","")&amp;IF(AND(R152&lt;&gt;"No",Z152=""),"Assign a migration owner. ",""))</f>
        <v/>
      </c>
    </row>
    <row r="153" customFormat="false" ht="15" hidden="false" customHeight="false" outlineLevel="0" collapsed="false">
      <c r="A153" s="16"/>
      <c r="B153" s="16"/>
      <c r="C153" s="16"/>
      <c r="D153" s="16"/>
      <c r="E153" s="16"/>
      <c r="F153" s="16"/>
      <c r="G153" s="16"/>
      <c r="H153" s="16"/>
      <c r="I153" s="16"/>
      <c r="J153" s="16"/>
      <c r="K153" s="16"/>
      <c r="L153" s="16"/>
      <c r="M153" s="17"/>
      <c r="N153" s="16"/>
      <c r="O153" s="16"/>
      <c r="P153" s="16"/>
      <c r="Q153" s="18" t="str">
        <f aca="false">IF(A153="","",IF(J153="","Unknown",IFERROR(INDEX('Algorithm Reference'!$C$6:$C$41,MATCH(J153,'Algorithm Reference'!$B$6:$B$41,0)),"Not in reference")))</f>
        <v/>
      </c>
      <c r="R153" s="18" t="str">
        <f aca="false">IF(A153="","",IF(J153="","Unknown - investigate",IFERROR(INDEX('Algorithm Reference'!$E$6:$E$41,MATCH(J153,'Algorithm Reference'!$B$6:$B$41,0)),"Unknown - investigate")))</f>
        <v/>
      </c>
      <c r="S153" s="18" t="str">
        <f aca="false">IF(OR(O153="",P153=""),"",O153+P153)</f>
        <v/>
      </c>
      <c r="T153" s="18" t="str">
        <f aca="false">IF(A153="","",IF(R153="No","N/A - not quantum-vulnerable",IF(OR(O153="",P153=""),"Enter X and Y",IF(Assumptions!$C$6="","Set Z on Assumptions",IF(O153+P153&gt;Assumptions!$C$6,"AT RISK (X+Y &gt; Z)","Within Z (X+Y &lt;= Z)")))))</f>
        <v/>
      </c>
      <c r="U153" s="18" t="str">
        <f aca="false">IF(A153="","",IF(AND(R153&lt;&gt;"No",OR(I153="Key establishment / encryption in transit",I153="Key wrapping / key transport",I153="Mixed or unknown",I153=""),OR(N(O153)&gt;0,G153="Confidential",G153="Restricted")),IF(F153="Yes","Yes - internet-facing","Yes"),"No"))</f>
        <v/>
      </c>
      <c r="V153" s="18" t="str">
        <f aca="false">IF(A153="","",IF(R153="No","Keep - not quantum-vulnerable (review key size)",IF(I153="Digital signature / authentication","ML-DSA-65 (FIPS 204); SLH-DSA (FIPS 205) if hash-based is preferred",IF(OR(I153="Key establishment / encryption in transit",I153="Key wrapping / key transport"),"ML-KEM-768 (FIPS 203); hybrid X25519MLKEM768 for TLS 1.3",IF(I153="Mixed or unknown","Both: ML-KEM (FIPS 203) for keys, ML-DSA (FIPS 204) for signatures","Pick the crypto function first")))))</f>
        <v/>
      </c>
      <c r="W153" s="16"/>
      <c r="X153" s="18" t="str">
        <f aca="false">IF(A153="","",IF(R153="No",0,IF(LEFT(T153,7)="AT RISK",Assumptions!$C$13,0)+IF(LEFT(U153,3)="Yes",Assumptions!$C$14,0)+IF(F153="Yes",Assumptions!$C$15,0)+IF(G153="Restricted",Assumptions!$C$16,IF(G153="Confidential",Assumptions!$C$17,IF(G153="Internal",Assumptions!$C$18,0)))+IF(OR(N153="Roadmap - verbal only",N153="No roadmap",N153="Not asked yet",N153=""),Assumptions!$C$19,0)+IF(E153="Production",Assumptions!$C$20,0)+IF(AND(ISNUMBER(P153),N(P153)&gt;=Assumptions!$C$22),Assumptions!$C$21,0)))</f>
        <v/>
      </c>
      <c r="Y153" s="18" t="str">
        <f aca="false">IF(X153="","",IF(R153="No","None",IF(X153&gt;=Assumptions!$C$23,"High",IF(X153&gt;=Assumptions!$C$24,"Medium","Low"))))</f>
        <v/>
      </c>
      <c r="Z153" s="16"/>
      <c r="AA153" s="17"/>
      <c r="AB153" s="16"/>
      <c r="AC153" s="18" t="str">
        <f aca="true">IF(OR(AA153="",AB153="Hybrid deployed",AB153="PQC deployed",AB153="Not required (not vulnerable)",AB153="Risk accepted"),"",IF(AA153&lt;TODAY(),"OVERDUE",""))</f>
        <v/>
      </c>
      <c r="AD153" s="18" t="str">
        <f aca="true">IF(A153="","",IF(B153="","Name the system. ","")&amp;IF(LEFT(R153,7)="Unknown","Algorithm unknown - scan or ask the vendor. ","")&amp;IF(AND(R153&lt;&gt;"No",Assumptions!$C$6=""),"Set Z on Assumptions. ","")&amp;IF(AND(R153&lt;&gt;"No",OR(O153="",P153="")),"Enter X and Y. ","")&amp;IF(LEFT(T153,7)="AT RISK","Mosca: X+Y exceeds Z - migration should already be under way. ","")&amp;IF(AND(LEFT(U153,3)="Yes",OR(AB153="",AB153="Not started")),"Harvest-now-decrypt-later exposure and migration not started. ","")&amp;IF(AND(R153&lt;&gt;"No",OR(W153="",W153="To decide")),"Choose a target algorithm. ","")&amp;IF(AND(R153&lt;&gt;"No",W153="Keep - not quantum-vulnerable"),"Target 'Keep' conflicts with a quantum-vulnerable algorithm. ","")&amp;IF(LEFT(J153,5)="SHA-1","SHA-1 is deprecated - replace (NIST IR 8547). ","")&amp;IF(AND(R153&lt;&gt;"No",OR(N153="Roadmap - verbal only",N153="No roadmap",N153="Not asked yet")),"Get a written PQC roadmap from the vendor. ","")&amp;IF(AND(R153&lt;&gt;"No",N153=""),"Record the vendor PQC roadmap status. ","")&amp;IF(ISNUMBER(M153),IF(M153&lt;TODAY(),"Certificate or key expired. ",IF(M153-TODAY()&lt;=Assumptions!$C$25,"Expires soon - use the renewal to revisit the algorithm. ","")),"")&amp;IF(AC153="OVERDUE","Migration overdue. ","")&amp;IF(AND(R153&lt;&gt;"No",Z153=""),"Assign a migration owner. ",""))</f>
        <v/>
      </c>
    </row>
    <row r="154" customFormat="false" ht="15" hidden="false" customHeight="false" outlineLevel="0" collapsed="false">
      <c r="A154" s="16"/>
      <c r="B154" s="16"/>
      <c r="C154" s="16"/>
      <c r="D154" s="16"/>
      <c r="E154" s="16"/>
      <c r="F154" s="16"/>
      <c r="G154" s="16"/>
      <c r="H154" s="16"/>
      <c r="I154" s="16"/>
      <c r="J154" s="16"/>
      <c r="K154" s="16"/>
      <c r="L154" s="16"/>
      <c r="M154" s="17"/>
      <c r="N154" s="16"/>
      <c r="O154" s="16"/>
      <c r="P154" s="16"/>
      <c r="Q154" s="18" t="str">
        <f aca="false">IF(A154="","",IF(J154="","Unknown",IFERROR(INDEX('Algorithm Reference'!$C$6:$C$41,MATCH(J154,'Algorithm Reference'!$B$6:$B$41,0)),"Not in reference")))</f>
        <v/>
      </c>
      <c r="R154" s="18" t="str">
        <f aca="false">IF(A154="","",IF(J154="","Unknown - investigate",IFERROR(INDEX('Algorithm Reference'!$E$6:$E$41,MATCH(J154,'Algorithm Reference'!$B$6:$B$41,0)),"Unknown - investigate")))</f>
        <v/>
      </c>
      <c r="S154" s="18" t="str">
        <f aca="false">IF(OR(O154="",P154=""),"",O154+P154)</f>
        <v/>
      </c>
      <c r="T154" s="18" t="str">
        <f aca="false">IF(A154="","",IF(R154="No","N/A - not quantum-vulnerable",IF(OR(O154="",P154=""),"Enter X and Y",IF(Assumptions!$C$6="","Set Z on Assumptions",IF(O154+P154&gt;Assumptions!$C$6,"AT RISK (X+Y &gt; Z)","Within Z (X+Y &lt;= Z)")))))</f>
        <v/>
      </c>
      <c r="U154" s="18" t="str">
        <f aca="false">IF(A154="","",IF(AND(R154&lt;&gt;"No",OR(I154="Key establishment / encryption in transit",I154="Key wrapping / key transport",I154="Mixed or unknown",I154=""),OR(N(O154)&gt;0,G154="Confidential",G154="Restricted")),IF(F154="Yes","Yes - internet-facing","Yes"),"No"))</f>
        <v/>
      </c>
      <c r="V154" s="18" t="str">
        <f aca="false">IF(A154="","",IF(R154="No","Keep - not quantum-vulnerable (review key size)",IF(I154="Digital signature / authentication","ML-DSA-65 (FIPS 204); SLH-DSA (FIPS 205) if hash-based is preferred",IF(OR(I154="Key establishment / encryption in transit",I154="Key wrapping / key transport"),"ML-KEM-768 (FIPS 203); hybrid X25519MLKEM768 for TLS 1.3",IF(I154="Mixed or unknown","Both: ML-KEM (FIPS 203) for keys, ML-DSA (FIPS 204) for signatures","Pick the crypto function first")))))</f>
        <v/>
      </c>
      <c r="W154" s="16"/>
      <c r="X154" s="18" t="str">
        <f aca="false">IF(A154="","",IF(R154="No",0,IF(LEFT(T154,7)="AT RISK",Assumptions!$C$13,0)+IF(LEFT(U154,3)="Yes",Assumptions!$C$14,0)+IF(F154="Yes",Assumptions!$C$15,0)+IF(G154="Restricted",Assumptions!$C$16,IF(G154="Confidential",Assumptions!$C$17,IF(G154="Internal",Assumptions!$C$18,0)))+IF(OR(N154="Roadmap - verbal only",N154="No roadmap",N154="Not asked yet",N154=""),Assumptions!$C$19,0)+IF(E154="Production",Assumptions!$C$20,0)+IF(AND(ISNUMBER(P154),N(P154)&gt;=Assumptions!$C$22),Assumptions!$C$21,0)))</f>
        <v/>
      </c>
      <c r="Y154" s="18" t="str">
        <f aca="false">IF(X154="","",IF(R154="No","None",IF(X154&gt;=Assumptions!$C$23,"High",IF(X154&gt;=Assumptions!$C$24,"Medium","Low"))))</f>
        <v/>
      </c>
      <c r="Z154" s="16"/>
      <c r="AA154" s="17"/>
      <c r="AB154" s="16"/>
      <c r="AC154" s="18" t="str">
        <f aca="true">IF(OR(AA154="",AB154="Hybrid deployed",AB154="PQC deployed",AB154="Not required (not vulnerable)",AB154="Risk accepted"),"",IF(AA154&lt;TODAY(),"OVERDUE",""))</f>
        <v/>
      </c>
      <c r="AD154" s="18" t="str">
        <f aca="true">IF(A154="","",IF(B154="","Name the system. ","")&amp;IF(LEFT(R154,7)="Unknown","Algorithm unknown - scan or ask the vendor. ","")&amp;IF(AND(R154&lt;&gt;"No",Assumptions!$C$6=""),"Set Z on Assumptions. ","")&amp;IF(AND(R154&lt;&gt;"No",OR(O154="",P154="")),"Enter X and Y. ","")&amp;IF(LEFT(T154,7)="AT RISK","Mosca: X+Y exceeds Z - migration should already be under way. ","")&amp;IF(AND(LEFT(U154,3)="Yes",OR(AB154="",AB154="Not started")),"Harvest-now-decrypt-later exposure and migration not started. ","")&amp;IF(AND(R154&lt;&gt;"No",OR(W154="",W154="To decide")),"Choose a target algorithm. ","")&amp;IF(AND(R154&lt;&gt;"No",W154="Keep - not quantum-vulnerable"),"Target 'Keep' conflicts with a quantum-vulnerable algorithm. ","")&amp;IF(LEFT(J154,5)="SHA-1","SHA-1 is deprecated - replace (NIST IR 8547). ","")&amp;IF(AND(R154&lt;&gt;"No",OR(N154="Roadmap - verbal only",N154="No roadmap",N154="Not asked yet")),"Get a written PQC roadmap from the vendor. ","")&amp;IF(AND(R154&lt;&gt;"No",N154=""),"Record the vendor PQC roadmap status. ","")&amp;IF(ISNUMBER(M154),IF(M154&lt;TODAY(),"Certificate or key expired. ",IF(M154-TODAY()&lt;=Assumptions!$C$25,"Expires soon - use the renewal to revisit the algorithm. ","")),"")&amp;IF(AC154="OVERDUE","Migration overdue. ","")&amp;IF(AND(R154&lt;&gt;"No",Z154=""),"Assign a migration owner. ",""))</f>
        <v/>
      </c>
    </row>
    <row r="155" customFormat="false" ht="15" hidden="false" customHeight="false" outlineLevel="0" collapsed="false">
      <c r="A155" s="16"/>
      <c r="B155" s="16"/>
      <c r="C155" s="16"/>
      <c r="D155" s="16"/>
      <c r="E155" s="16"/>
      <c r="F155" s="16"/>
      <c r="G155" s="16"/>
      <c r="H155" s="16"/>
      <c r="I155" s="16"/>
      <c r="J155" s="16"/>
      <c r="K155" s="16"/>
      <c r="L155" s="16"/>
      <c r="M155" s="17"/>
      <c r="N155" s="16"/>
      <c r="O155" s="16"/>
      <c r="P155" s="16"/>
      <c r="Q155" s="18" t="str">
        <f aca="false">IF(A155="","",IF(J155="","Unknown",IFERROR(INDEX('Algorithm Reference'!$C$6:$C$41,MATCH(J155,'Algorithm Reference'!$B$6:$B$41,0)),"Not in reference")))</f>
        <v/>
      </c>
      <c r="R155" s="18" t="str">
        <f aca="false">IF(A155="","",IF(J155="","Unknown - investigate",IFERROR(INDEX('Algorithm Reference'!$E$6:$E$41,MATCH(J155,'Algorithm Reference'!$B$6:$B$41,0)),"Unknown - investigate")))</f>
        <v/>
      </c>
      <c r="S155" s="18" t="str">
        <f aca="false">IF(OR(O155="",P155=""),"",O155+P155)</f>
        <v/>
      </c>
      <c r="T155" s="18" t="str">
        <f aca="false">IF(A155="","",IF(R155="No","N/A - not quantum-vulnerable",IF(OR(O155="",P155=""),"Enter X and Y",IF(Assumptions!$C$6="","Set Z on Assumptions",IF(O155+P155&gt;Assumptions!$C$6,"AT RISK (X+Y &gt; Z)","Within Z (X+Y &lt;= Z)")))))</f>
        <v/>
      </c>
      <c r="U155" s="18" t="str">
        <f aca="false">IF(A155="","",IF(AND(R155&lt;&gt;"No",OR(I155="Key establishment / encryption in transit",I155="Key wrapping / key transport",I155="Mixed or unknown",I155=""),OR(N(O155)&gt;0,G155="Confidential",G155="Restricted")),IF(F155="Yes","Yes - internet-facing","Yes"),"No"))</f>
        <v/>
      </c>
      <c r="V155" s="18" t="str">
        <f aca="false">IF(A155="","",IF(R155="No","Keep - not quantum-vulnerable (review key size)",IF(I155="Digital signature / authentication","ML-DSA-65 (FIPS 204); SLH-DSA (FIPS 205) if hash-based is preferred",IF(OR(I155="Key establishment / encryption in transit",I155="Key wrapping / key transport"),"ML-KEM-768 (FIPS 203); hybrid X25519MLKEM768 for TLS 1.3",IF(I155="Mixed or unknown","Both: ML-KEM (FIPS 203) for keys, ML-DSA (FIPS 204) for signatures","Pick the crypto function first")))))</f>
        <v/>
      </c>
      <c r="W155" s="16"/>
      <c r="X155" s="18" t="str">
        <f aca="false">IF(A155="","",IF(R155="No",0,IF(LEFT(T155,7)="AT RISK",Assumptions!$C$13,0)+IF(LEFT(U155,3)="Yes",Assumptions!$C$14,0)+IF(F155="Yes",Assumptions!$C$15,0)+IF(G155="Restricted",Assumptions!$C$16,IF(G155="Confidential",Assumptions!$C$17,IF(G155="Internal",Assumptions!$C$18,0)))+IF(OR(N155="Roadmap - verbal only",N155="No roadmap",N155="Not asked yet",N155=""),Assumptions!$C$19,0)+IF(E155="Production",Assumptions!$C$20,0)+IF(AND(ISNUMBER(P155),N(P155)&gt;=Assumptions!$C$22),Assumptions!$C$21,0)))</f>
        <v/>
      </c>
      <c r="Y155" s="18" t="str">
        <f aca="false">IF(X155="","",IF(R155="No","None",IF(X155&gt;=Assumptions!$C$23,"High",IF(X155&gt;=Assumptions!$C$24,"Medium","Low"))))</f>
        <v/>
      </c>
      <c r="Z155" s="16"/>
      <c r="AA155" s="17"/>
      <c r="AB155" s="16"/>
      <c r="AC155" s="18" t="str">
        <f aca="true">IF(OR(AA155="",AB155="Hybrid deployed",AB155="PQC deployed",AB155="Not required (not vulnerable)",AB155="Risk accepted"),"",IF(AA155&lt;TODAY(),"OVERDUE",""))</f>
        <v/>
      </c>
      <c r="AD155" s="18" t="str">
        <f aca="true">IF(A155="","",IF(B155="","Name the system. ","")&amp;IF(LEFT(R155,7)="Unknown","Algorithm unknown - scan or ask the vendor. ","")&amp;IF(AND(R155&lt;&gt;"No",Assumptions!$C$6=""),"Set Z on Assumptions. ","")&amp;IF(AND(R155&lt;&gt;"No",OR(O155="",P155="")),"Enter X and Y. ","")&amp;IF(LEFT(T155,7)="AT RISK","Mosca: X+Y exceeds Z - migration should already be under way. ","")&amp;IF(AND(LEFT(U155,3)="Yes",OR(AB155="",AB155="Not started")),"Harvest-now-decrypt-later exposure and migration not started. ","")&amp;IF(AND(R155&lt;&gt;"No",OR(W155="",W155="To decide")),"Choose a target algorithm. ","")&amp;IF(AND(R155&lt;&gt;"No",W155="Keep - not quantum-vulnerable"),"Target 'Keep' conflicts with a quantum-vulnerable algorithm. ","")&amp;IF(LEFT(J155,5)="SHA-1","SHA-1 is deprecated - replace (NIST IR 8547). ","")&amp;IF(AND(R155&lt;&gt;"No",OR(N155="Roadmap - verbal only",N155="No roadmap",N155="Not asked yet")),"Get a written PQC roadmap from the vendor. ","")&amp;IF(AND(R155&lt;&gt;"No",N155=""),"Record the vendor PQC roadmap status. ","")&amp;IF(ISNUMBER(M155),IF(M155&lt;TODAY(),"Certificate or key expired. ",IF(M155-TODAY()&lt;=Assumptions!$C$25,"Expires soon - use the renewal to revisit the algorithm. ","")),"")&amp;IF(AC155="OVERDUE","Migration overdue. ","")&amp;IF(AND(R155&lt;&gt;"No",Z155=""),"Assign a migration owner. ",""))</f>
        <v/>
      </c>
    </row>
    <row r="156" customFormat="false" ht="15" hidden="false" customHeight="false" outlineLevel="0" collapsed="false">
      <c r="A156" s="16"/>
      <c r="B156" s="16"/>
      <c r="C156" s="16"/>
      <c r="D156" s="16"/>
      <c r="E156" s="16"/>
      <c r="F156" s="16"/>
      <c r="G156" s="16"/>
      <c r="H156" s="16"/>
      <c r="I156" s="16"/>
      <c r="J156" s="16"/>
      <c r="K156" s="16"/>
      <c r="L156" s="16"/>
      <c r="M156" s="17"/>
      <c r="N156" s="16"/>
      <c r="O156" s="16"/>
      <c r="P156" s="16"/>
      <c r="Q156" s="18" t="str">
        <f aca="false">IF(A156="","",IF(J156="","Unknown",IFERROR(INDEX('Algorithm Reference'!$C$6:$C$41,MATCH(J156,'Algorithm Reference'!$B$6:$B$41,0)),"Not in reference")))</f>
        <v/>
      </c>
      <c r="R156" s="18" t="str">
        <f aca="false">IF(A156="","",IF(J156="","Unknown - investigate",IFERROR(INDEX('Algorithm Reference'!$E$6:$E$41,MATCH(J156,'Algorithm Reference'!$B$6:$B$41,0)),"Unknown - investigate")))</f>
        <v/>
      </c>
      <c r="S156" s="18" t="str">
        <f aca="false">IF(OR(O156="",P156=""),"",O156+P156)</f>
        <v/>
      </c>
      <c r="T156" s="18" t="str">
        <f aca="false">IF(A156="","",IF(R156="No","N/A - not quantum-vulnerable",IF(OR(O156="",P156=""),"Enter X and Y",IF(Assumptions!$C$6="","Set Z on Assumptions",IF(O156+P156&gt;Assumptions!$C$6,"AT RISK (X+Y &gt; Z)","Within Z (X+Y &lt;= Z)")))))</f>
        <v/>
      </c>
      <c r="U156" s="18" t="str">
        <f aca="false">IF(A156="","",IF(AND(R156&lt;&gt;"No",OR(I156="Key establishment / encryption in transit",I156="Key wrapping / key transport",I156="Mixed or unknown",I156=""),OR(N(O156)&gt;0,G156="Confidential",G156="Restricted")),IF(F156="Yes","Yes - internet-facing","Yes"),"No"))</f>
        <v/>
      </c>
      <c r="V156" s="18" t="str">
        <f aca="false">IF(A156="","",IF(R156="No","Keep - not quantum-vulnerable (review key size)",IF(I156="Digital signature / authentication","ML-DSA-65 (FIPS 204); SLH-DSA (FIPS 205) if hash-based is preferred",IF(OR(I156="Key establishment / encryption in transit",I156="Key wrapping / key transport"),"ML-KEM-768 (FIPS 203); hybrid X25519MLKEM768 for TLS 1.3",IF(I156="Mixed or unknown","Both: ML-KEM (FIPS 203) for keys, ML-DSA (FIPS 204) for signatures","Pick the crypto function first")))))</f>
        <v/>
      </c>
      <c r="W156" s="16"/>
      <c r="X156" s="18" t="str">
        <f aca="false">IF(A156="","",IF(R156="No",0,IF(LEFT(T156,7)="AT RISK",Assumptions!$C$13,0)+IF(LEFT(U156,3)="Yes",Assumptions!$C$14,0)+IF(F156="Yes",Assumptions!$C$15,0)+IF(G156="Restricted",Assumptions!$C$16,IF(G156="Confidential",Assumptions!$C$17,IF(G156="Internal",Assumptions!$C$18,0)))+IF(OR(N156="Roadmap - verbal only",N156="No roadmap",N156="Not asked yet",N156=""),Assumptions!$C$19,0)+IF(E156="Production",Assumptions!$C$20,0)+IF(AND(ISNUMBER(P156),N(P156)&gt;=Assumptions!$C$22),Assumptions!$C$21,0)))</f>
        <v/>
      </c>
      <c r="Y156" s="18" t="str">
        <f aca="false">IF(X156="","",IF(R156="No","None",IF(X156&gt;=Assumptions!$C$23,"High",IF(X156&gt;=Assumptions!$C$24,"Medium","Low"))))</f>
        <v/>
      </c>
      <c r="Z156" s="16"/>
      <c r="AA156" s="17"/>
      <c r="AB156" s="16"/>
      <c r="AC156" s="18" t="str">
        <f aca="true">IF(OR(AA156="",AB156="Hybrid deployed",AB156="PQC deployed",AB156="Not required (not vulnerable)",AB156="Risk accepted"),"",IF(AA156&lt;TODAY(),"OVERDUE",""))</f>
        <v/>
      </c>
      <c r="AD156" s="18" t="str">
        <f aca="true">IF(A156="","",IF(B156="","Name the system. ","")&amp;IF(LEFT(R156,7)="Unknown","Algorithm unknown - scan or ask the vendor. ","")&amp;IF(AND(R156&lt;&gt;"No",Assumptions!$C$6=""),"Set Z on Assumptions. ","")&amp;IF(AND(R156&lt;&gt;"No",OR(O156="",P156="")),"Enter X and Y. ","")&amp;IF(LEFT(T156,7)="AT RISK","Mosca: X+Y exceeds Z - migration should already be under way. ","")&amp;IF(AND(LEFT(U156,3)="Yes",OR(AB156="",AB156="Not started")),"Harvest-now-decrypt-later exposure and migration not started. ","")&amp;IF(AND(R156&lt;&gt;"No",OR(W156="",W156="To decide")),"Choose a target algorithm. ","")&amp;IF(AND(R156&lt;&gt;"No",W156="Keep - not quantum-vulnerable"),"Target 'Keep' conflicts with a quantum-vulnerable algorithm. ","")&amp;IF(LEFT(J156,5)="SHA-1","SHA-1 is deprecated - replace (NIST IR 8547). ","")&amp;IF(AND(R156&lt;&gt;"No",OR(N156="Roadmap - verbal only",N156="No roadmap",N156="Not asked yet")),"Get a written PQC roadmap from the vendor. ","")&amp;IF(AND(R156&lt;&gt;"No",N156=""),"Record the vendor PQC roadmap status. ","")&amp;IF(ISNUMBER(M156),IF(M156&lt;TODAY(),"Certificate or key expired. ",IF(M156-TODAY()&lt;=Assumptions!$C$25,"Expires soon - use the renewal to revisit the algorithm. ","")),"")&amp;IF(AC156="OVERDUE","Migration overdue. ","")&amp;IF(AND(R156&lt;&gt;"No",Z156=""),"Assign a migration owner. ",""))</f>
        <v/>
      </c>
    </row>
    <row r="157" customFormat="false" ht="15" hidden="false" customHeight="false" outlineLevel="0" collapsed="false">
      <c r="A157" s="16"/>
      <c r="B157" s="16"/>
      <c r="C157" s="16"/>
      <c r="D157" s="16"/>
      <c r="E157" s="16"/>
      <c r="F157" s="16"/>
      <c r="G157" s="16"/>
      <c r="H157" s="16"/>
      <c r="I157" s="16"/>
      <c r="J157" s="16"/>
      <c r="K157" s="16"/>
      <c r="L157" s="16"/>
      <c r="M157" s="17"/>
      <c r="N157" s="16"/>
      <c r="O157" s="16"/>
      <c r="P157" s="16"/>
      <c r="Q157" s="18" t="str">
        <f aca="false">IF(A157="","",IF(J157="","Unknown",IFERROR(INDEX('Algorithm Reference'!$C$6:$C$41,MATCH(J157,'Algorithm Reference'!$B$6:$B$41,0)),"Not in reference")))</f>
        <v/>
      </c>
      <c r="R157" s="18" t="str">
        <f aca="false">IF(A157="","",IF(J157="","Unknown - investigate",IFERROR(INDEX('Algorithm Reference'!$E$6:$E$41,MATCH(J157,'Algorithm Reference'!$B$6:$B$41,0)),"Unknown - investigate")))</f>
        <v/>
      </c>
      <c r="S157" s="18" t="str">
        <f aca="false">IF(OR(O157="",P157=""),"",O157+P157)</f>
        <v/>
      </c>
      <c r="T157" s="18" t="str">
        <f aca="false">IF(A157="","",IF(R157="No","N/A - not quantum-vulnerable",IF(OR(O157="",P157=""),"Enter X and Y",IF(Assumptions!$C$6="","Set Z on Assumptions",IF(O157+P157&gt;Assumptions!$C$6,"AT RISK (X+Y &gt; Z)","Within Z (X+Y &lt;= Z)")))))</f>
        <v/>
      </c>
      <c r="U157" s="18" t="str">
        <f aca="false">IF(A157="","",IF(AND(R157&lt;&gt;"No",OR(I157="Key establishment / encryption in transit",I157="Key wrapping / key transport",I157="Mixed or unknown",I157=""),OR(N(O157)&gt;0,G157="Confidential",G157="Restricted")),IF(F157="Yes","Yes - internet-facing","Yes"),"No"))</f>
        <v/>
      </c>
      <c r="V157" s="18" t="str">
        <f aca="false">IF(A157="","",IF(R157="No","Keep - not quantum-vulnerable (review key size)",IF(I157="Digital signature / authentication","ML-DSA-65 (FIPS 204); SLH-DSA (FIPS 205) if hash-based is preferred",IF(OR(I157="Key establishment / encryption in transit",I157="Key wrapping / key transport"),"ML-KEM-768 (FIPS 203); hybrid X25519MLKEM768 for TLS 1.3",IF(I157="Mixed or unknown","Both: ML-KEM (FIPS 203) for keys, ML-DSA (FIPS 204) for signatures","Pick the crypto function first")))))</f>
        <v/>
      </c>
      <c r="W157" s="16"/>
      <c r="X157" s="18" t="str">
        <f aca="false">IF(A157="","",IF(R157="No",0,IF(LEFT(T157,7)="AT RISK",Assumptions!$C$13,0)+IF(LEFT(U157,3)="Yes",Assumptions!$C$14,0)+IF(F157="Yes",Assumptions!$C$15,0)+IF(G157="Restricted",Assumptions!$C$16,IF(G157="Confidential",Assumptions!$C$17,IF(G157="Internal",Assumptions!$C$18,0)))+IF(OR(N157="Roadmap - verbal only",N157="No roadmap",N157="Not asked yet",N157=""),Assumptions!$C$19,0)+IF(E157="Production",Assumptions!$C$20,0)+IF(AND(ISNUMBER(P157),N(P157)&gt;=Assumptions!$C$22),Assumptions!$C$21,0)))</f>
        <v/>
      </c>
      <c r="Y157" s="18" t="str">
        <f aca="false">IF(X157="","",IF(R157="No","None",IF(X157&gt;=Assumptions!$C$23,"High",IF(X157&gt;=Assumptions!$C$24,"Medium","Low"))))</f>
        <v/>
      </c>
      <c r="Z157" s="16"/>
      <c r="AA157" s="17"/>
      <c r="AB157" s="16"/>
      <c r="AC157" s="18" t="str">
        <f aca="true">IF(OR(AA157="",AB157="Hybrid deployed",AB157="PQC deployed",AB157="Not required (not vulnerable)",AB157="Risk accepted"),"",IF(AA157&lt;TODAY(),"OVERDUE",""))</f>
        <v/>
      </c>
      <c r="AD157" s="18" t="str">
        <f aca="true">IF(A157="","",IF(B157="","Name the system. ","")&amp;IF(LEFT(R157,7)="Unknown","Algorithm unknown - scan or ask the vendor. ","")&amp;IF(AND(R157&lt;&gt;"No",Assumptions!$C$6=""),"Set Z on Assumptions. ","")&amp;IF(AND(R157&lt;&gt;"No",OR(O157="",P157="")),"Enter X and Y. ","")&amp;IF(LEFT(T157,7)="AT RISK","Mosca: X+Y exceeds Z - migration should already be under way. ","")&amp;IF(AND(LEFT(U157,3)="Yes",OR(AB157="",AB157="Not started")),"Harvest-now-decrypt-later exposure and migration not started. ","")&amp;IF(AND(R157&lt;&gt;"No",OR(W157="",W157="To decide")),"Choose a target algorithm. ","")&amp;IF(AND(R157&lt;&gt;"No",W157="Keep - not quantum-vulnerable"),"Target 'Keep' conflicts with a quantum-vulnerable algorithm. ","")&amp;IF(LEFT(J157,5)="SHA-1","SHA-1 is deprecated - replace (NIST IR 8547). ","")&amp;IF(AND(R157&lt;&gt;"No",OR(N157="Roadmap - verbal only",N157="No roadmap",N157="Not asked yet")),"Get a written PQC roadmap from the vendor. ","")&amp;IF(AND(R157&lt;&gt;"No",N157=""),"Record the vendor PQC roadmap status. ","")&amp;IF(ISNUMBER(M157),IF(M157&lt;TODAY(),"Certificate or key expired. ",IF(M157-TODAY()&lt;=Assumptions!$C$25,"Expires soon - use the renewal to revisit the algorithm. ","")),"")&amp;IF(AC157="OVERDUE","Migration overdue. ","")&amp;IF(AND(R157&lt;&gt;"No",Z157=""),"Assign a migration owner. ",""))</f>
        <v/>
      </c>
    </row>
    <row r="158" customFormat="false" ht="15" hidden="false" customHeight="false" outlineLevel="0" collapsed="false">
      <c r="A158" s="16"/>
      <c r="B158" s="16"/>
      <c r="C158" s="16"/>
      <c r="D158" s="16"/>
      <c r="E158" s="16"/>
      <c r="F158" s="16"/>
      <c r="G158" s="16"/>
      <c r="H158" s="16"/>
      <c r="I158" s="16"/>
      <c r="J158" s="16"/>
      <c r="K158" s="16"/>
      <c r="L158" s="16"/>
      <c r="M158" s="17"/>
      <c r="N158" s="16"/>
      <c r="O158" s="16"/>
      <c r="P158" s="16"/>
      <c r="Q158" s="18" t="str">
        <f aca="false">IF(A158="","",IF(J158="","Unknown",IFERROR(INDEX('Algorithm Reference'!$C$6:$C$41,MATCH(J158,'Algorithm Reference'!$B$6:$B$41,0)),"Not in reference")))</f>
        <v/>
      </c>
      <c r="R158" s="18" t="str">
        <f aca="false">IF(A158="","",IF(J158="","Unknown - investigate",IFERROR(INDEX('Algorithm Reference'!$E$6:$E$41,MATCH(J158,'Algorithm Reference'!$B$6:$B$41,0)),"Unknown - investigate")))</f>
        <v/>
      </c>
      <c r="S158" s="18" t="str">
        <f aca="false">IF(OR(O158="",P158=""),"",O158+P158)</f>
        <v/>
      </c>
      <c r="T158" s="18" t="str">
        <f aca="false">IF(A158="","",IF(R158="No","N/A - not quantum-vulnerable",IF(OR(O158="",P158=""),"Enter X and Y",IF(Assumptions!$C$6="","Set Z on Assumptions",IF(O158+P158&gt;Assumptions!$C$6,"AT RISK (X+Y &gt; Z)","Within Z (X+Y &lt;= Z)")))))</f>
        <v/>
      </c>
      <c r="U158" s="18" t="str">
        <f aca="false">IF(A158="","",IF(AND(R158&lt;&gt;"No",OR(I158="Key establishment / encryption in transit",I158="Key wrapping / key transport",I158="Mixed or unknown",I158=""),OR(N(O158)&gt;0,G158="Confidential",G158="Restricted")),IF(F158="Yes","Yes - internet-facing","Yes"),"No"))</f>
        <v/>
      </c>
      <c r="V158" s="18" t="str">
        <f aca="false">IF(A158="","",IF(R158="No","Keep - not quantum-vulnerable (review key size)",IF(I158="Digital signature / authentication","ML-DSA-65 (FIPS 204); SLH-DSA (FIPS 205) if hash-based is preferred",IF(OR(I158="Key establishment / encryption in transit",I158="Key wrapping / key transport"),"ML-KEM-768 (FIPS 203); hybrid X25519MLKEM768 for TLS 1.3",IF(I158="Mixed or unknown","Both: ML-KEM (FIPS 203) for keys, ML-DSA (FIPS 204) for signatures","Pick the crypto function first")))))</f>
        <v/>
      </c>
      <c r="W158" s="16"/>
      <c r="X158" s="18" t="str">
        <f aca="false">IF(A158="","",IF(R158="No",0,IF(LEFT(T158,7)="AT RISK",Assumptions!$C$13,0)+IF(LEFT(U158,3)="Yes",Assumptions!$C$14,0)+IF(F158="Yes",Assumptions!$C$15,0)+IF(G158="Restricted",Assumptions!$C$16,IF(G158="Confidential",Assumptions!$C$17,IF(G158="Internal",Assumptions!$C$18,0)))+IF(OR(N158="Roadmap - verbal only",N158="No roadmap",N158="Not asked yet",N158=""),Assumptions!$C$19,0)+IF(E158="Production",Assumptions!$C$20,0)+IF(AND(ISNUMBER(P158),N(P158)&gt;=Assumptions!$C$22),Assumptions!$C$21,0)))</f>
        <v/>
      </c>
      <c r="Y158" s="18" t="str">
        <f aca="false">IF(X158="","",IF(R158="No","None",IF(X158&gt;=Assumptions!$C$23,"High",IF(X158&gt;=Assumptions!$C$24,"Medium","Low"))))</f>
        <v/>
      </c>
      <c r="Z158" s="16"/>
      <c r="AA158" s="17"/>
      <c r="AB158" s="16"/>
      <c r="AC158" s="18" t="str">
        <f aca="true">IF(OR(AA158="",AB158="Hybrid deployed",AB158="PQC deployed",AB158="Not required (not vulnerable)",AB158="Risk accepted"),"",IF(AA158&lt;TODAY(),"OVERDUE",""))</f>
        <v/>
      </c>
      <c r="AD158" s="18" t="str">
        <f aca="true">IF(A158="","",IF(B158="","Name the system. ","")&amp;IF(LEFT(R158,7)="Unknown","Algorithm unknown - scan or ask the vendor. ","")&amp;IF(AND(R158&lt;&gt;"No",Assumptions!$C$6=""),"Set Z on Assumptions. ","")&amp;IF(AND(R158&lt;&gt;"No",OR(O158="",P158="")),"Enter X and Y. ","")&amp;IF(LEFT(T158,7)="AT RISK","Mosca: X+Y exceeds Z - migration should already be under way. ","")&amp;IF(AND(LEFT(U158,3)="Yes",OR(AB158="",AB158="Not started")),"Harvest-now-decrypt-later exposure and migration not started. ","")&amp;IF(AND(R158&lt;&gt;"No",OR(W158="",W158="To decide")),"Choose a target algorithm. ","")&amp;IF(AND(R158&lt;&gt;"No",W158="Keep - not quantum-vulnerable"),"Target 'Keep' conflicts with a quantum-vulnerable algorithm. ","")&amp;IF(LEFT(J158,5)="SHA-1","SHA-1 is deprecated - replace (NIST IR 8547). ","")&amp;IF(AND(R158&lt;&gt;"No",OR(N158="Roadmap - verbal only",N158="No roadmap",N158="Not asked yet")),"Get a written PQC roadmap from the vendor. ","")&amp;IF(AND(R158&lt;&gt;"No",N158=""),"Record the vendor PQC roadmap status. ","")&amp;IF(ISNUMBER(M158),IF(M158&lt;TODAY(),"Certificate or key expired. ",IF(M158-TODAY()&lt;=Assumptions!$C$25,"Expires soon - use the renewal to revisit the algorithm. ","")),"")&amp;IF(AC158="OVERDUE","Migration overdue. ","")&amp;IF(AND(R158&lt;&gt;"No",Z158=""),"Assign a migration owner. ",""))</f>
        <v/>
      </c>
    </row>
    <row r="159" customFormat="false" ht="15" hidden="false" customHeight="false" outlineLevel="0" collapsed="false">
      <c r="A159" s="16"/>
      <c r="B159" s="16"/>
      <c r="C159" s="16"/>
      <c r="D159" s="16"/>
      <c r="E159" s="16"/>
      <c r="F159" s="16"/>
      <c r="G159" s="16"/>
      <c r="H159" s="16"/>
      <c r="I159" s="16"/>
      <c r="J159" s="16"/>
      <c r="K159" s="16"/>
      <c r="L159" s="16"/>
      <c r="M159" s="17"/>
      <c r="N159" s="16"/>
      <c r="O159" s="16"/>
      <c r="P159" s="16"/>
      <c r="Q159" s="18" t="str">
        <f aca="false">IF(A159="","",IF(J159="","Unknown",IFERROR(INDEX('Algorithm Reference'!$C$6:$C$41,MATCH(J159,'Algorithm Reference'!$B$6:$B$41,0)),"Not in reference")))</f>
        <v/>
      </c>
      <c r="R159" s="18" t="str">
        <f aca="false">IF(A159="","",IF(J159="","Unknown - investigate",IFERROR(INDEX('Algorithm Reference'!$E$6:$E$41,MATCH(J159,'Algorithm Reference'!$B$6:$B$41,0)),"Unknown - investigate")))</f>
        <v/>
      </c>
      <c r="S159" s="18" t="str">
        <f aca="false">IF(OR(O159="",P159=""),"",O159+P159)</f>
        <v/>
      </c>
      <c r="T159" s="18" t="str">
        <f aca="false">IF(A159="","",IF(R159="No","N/A - not quantum-vulnerable",IF(OR(O159="",P159=""),"Enter X and Y",IF(Assumptions!$C$6="","Set Z on Assumptions",IF(O159+P159&gt;Assumptions!$C$6,"AT RISK (X+Y &gt; Z)","Within Z (X+Y &lt;= Z)")))))</f>
        <v/>
      </c>
      <c r="U159" s="18" t="str">
        <f aca="false">IF(A159="","",IF(AND(R159&lt;&gt;"No",OR(I159="Key establishment / encryption in transit",I159="Key wrapping / key transport",I159="Mixed or unknown",I159=""),OR(N(O159)&gt;0,G159="Confidential",G159="Restricted")),IF(F159="Yes","Yes - internet-facing","Yes"),"No"))</f>
        <v/>
      </c>
      <c r="V159" s="18" t="str">
        <f aca="false">IF(A159="","",IF(R159="No","Keep - not quantum-vulnerable (review key size)",IF(I159="Digital signature / authentication","ML-DSA-65 (FIPS 204); SLH-DSA (FIPS 205) if hash-based is preferred",IF(OR(I159="Key establishment / encryption in transit",I159="Key wrapping / key transport"),"ML-KEM-768 (FIPS 203); hybrid X25519MLKEM768 for TLS 1.3",IF(I159="Mixed or unknown","Both: ML-KEM (FIPS 203) for keys, ML-DSA (FIPS 204) for signatures","Pick the crypto function first")))))</f>
        <v/>
      </c>
      <c r="W159" s="16"/>
      <c r="X159" s="18" t="str">
        <f aca="false">IF(A159="","",IF(R159="No",0,IF(LEFT(T159,7)="AT RISK",Assumptions!$C$13,0)+IF(LEFT(U159,3)="Yes",Assumptions!$C$14,0)+IF(F159="Yes",Assumptions!$C$15,0)+IF(G159="Restricted",Assumptions!$C$16,IF(G159="Confidential",Assumptions!$C$17,IF(G159="Internal",Assumptions!$C$18,0)))+IF(OR(N159="Roadmap - verbal only",N159="No roadmap",N159="Not asked yet",N159=""),Assumptions!$C$19,0)+IF(E159="Production",Assumptions!$C$20,0)+IF(AND(ISNUMBER(P159),N(P159)&gt;=Assumptions!$C$22),Assumptions!$C$21,0)))</f>
        <v/>
      </c>
      <c r="Y159" s="18" t="str">
        <f aca="false">IF(X159="","",IF(R159="No","None",IF(X159&gt;=Assumptions!$C$23,"High",IF(X159&gt;=Assumptions!$C$24,"Medium","Low"))))</f>
        <v/>
      </c>
      <c r="Z159" s="16"/>
      <c r="AA159" s="17"/>
      <c r="AB159" s="16"/>
      <c r="AC159" s="18" t="str">
        <f aca="true">IF(OR(AA159="",AB159="Hybrid deployed",AB159="PQC deployed",AB159="Not required (not vulnerable)",AB159="Risk accepted"),"",IF(AA159&lt;TODAY(),"OVERDUE",""))</f>
        <v/>
      </c>
      <c r="AD159" s="18" t="str">
        <f aca="true">IF(A159="","",IF(B159="","Name the system. ","")&amp;IF(LEFT(R159,7)="Unknown","Algorithm unknown - scan or ask the vendor. ","")&amp;IF(AND(R159&lt;&gt;"No",Assumptions!$C$6=""),"Set Z on Assumptions. ","")&amp;IF(AND(R159&lt;&gt;"No",OR(O159="",P159="")),"Enter X and Y. ","")&amp;IF(LEFT(T159,7)="AT RISK","Mosca: X+Y exceeds Z - migration should already be under way. ","")&amp;IF(AND(LEFT(U159,3)="Yes",OR(AB159="",AB159="Not started")),"Harvest-now-decrypt-later exposure and migration not started. ","")&amp;IF(AND(R159&lt;&gt;"No",OR(W159="",W159="To decide")),"Choose a target algorithm. ","")&amp;IF(AND(R159&lt;&gt;"No",W159="Keep - not quantum-vulnerable"),"Target 'Keep' conflicts with a quantum-vulnerable algorithm. ","")&amp;IF(LEFT(J159,5)="SHA-1","SHA-1 is deprecated - replace (NIST IR 8547). ","")&amp;IF(AND(R159&lt;&gt;"No",OR(N159="Roadmap - verbal only",N159="No roadmap",N159="Not asked yet")),"Get a written PQC roadmap from the vendor. ","")&amp;IF(AND(R159&lt;&gt;"No",N159=""),"Record the vendor PQC roadmap status. ","")&amp;IF(ISNUMBER(M159),IF(M159&lt;TODAY(),"Certificate or key expired. ",IF(M159-TODAY()&lt;=Assumptions!$C$25,"Expires soon - use the renewal to revisit the algorithm. ","")),"")&amp;IF(AC159="OVERDUE","Migration overdue. ","")&amp;IF(AND(R159&lt;&gt;"No",Z159=""),"Assign a migration owner. ",""))</f>
        <v/>
      </c>
    </row>
    <row r="160" customFormat="false" ht="15" hidden="false" customHeight="false" outlineLevel="0" collapsed="false">
      <c r="A160" s="16"/>
      <c r="B160" s="16"/>
      <c r="C160" s="16"/>
      <c r="D160" s="16"/>
      <c r="E160" s="16"/>
      <c r="F160" s="16"/>
      <c r="G160" s="16"/>
      <c r="H160" s="16"/>
      <c r="I160" s="16"/>
      <c r="J160" s="16"/>
      <c r="K160" s="16"/>
      <c r="L160" s="16"/>
      <c r="M160" s="17"/>
      <c r="N160" s="16"/>
      <c r="O160" s="16"/>
      <c r="P160" s="16"/>
      <c r="Q160" s="18" t="str">
        <f aca="false">IF(A160="","",IF(J160="","Unknown",IFERROR(INDEX('Algorithm Reference'!$C$6:$C$41,MATCH(J160,'Algorithm Reference'!$B$6:$B$41,0)),"Not in reference")))</f>
        <v/>
      </c>
      <c r="R160" s="18" t="str">
        <f aca="false">IF(A160="","",IF(J160="","Unknown - investigate",IFERROR(INDEX('Algorithm Reference'!$E$6:$E$41,MATCH(J160,'Algorithm Reference'!$B$6:$B$41,0)),"Unknown - investigate")))</f>
        <v/>
      </c>
      <c r="S160" s="18" t="str">
        <f aca="false">IF(OR(O160="",P160=""),"",O160+P160)</f>
        <v/>
      </c>
      <c r="T160" s="18" t="str">
        <f aca="false">IF(A160="","",IF(R160="No","N/A - not quantum-vulnerable",IF(OR(O160="",P160=""),"Enter X and Y",IF(Assumptions!$C$6="","Set Z on Assumptions",IF(O160+P160&gt;Assumptions!$C$6,"AT RISK (X+Y &gt; Z)","Within Z (X+Y &lt;= Z)")))))</f>
        <v/>
      </c>
      <c r="U160" s="18" t="str">
        <f aca="false">IF(A160="","",IF(AND(R160&lt;&gt;"No",OR(I160="Key establishment / encryption in transit",I160="Key wrapping / key transport",I160="Mixed or unknown",I160=""),OR(N(O160)&gt;0,G160="Confidential",G160="Restricted")),IF(F160="Yes","Yes - internet-facing","Yes"),"No"))</f>
        <v/>
      </c>
      <c r="V160" s="18" t="str">
        <f aca="false">IF(A160="","",IF(R160="No","Keep - not quantum-vulnerable (review key size)",IF(I160="Digital signature / authentication","ML-DSA-65 (FIPS 204); SLH-DSA (FIPS 205) if hash-based is preferred",IF(OR(I160="Key establishment / encryption in transit",I160="Key wrapping / key transport"),"ML-KEM-768 (FIPS 203); hybrid X25519MLKEM768 for TLS 1.3",IF(I160="Mixed or unknown","Both: ML-KEM (FIPS 203) for keys, ML-DSA (FIPS 204) for signatures","Pick the crypto function first")))))</f>
        <v/>
      </c>
      <c r="W160" s="16"/>
      <c r="X160" s="18" t="str">
        <f aca="false">IF(A160="","",IF(R160="No",0,IF(LEFT(T160,7)="AT RISK",Assumptions!$C$13,0)+IF(LEFT(U160,3)="Yes",Assumptions!$C$14,0)+IF(F160="Yes",Assumptions!$C$15,0)+IF(G160="Restricted",Assumptions!$C$16,IF(G160="Confidential",Assumptions!$C$17,IF(G160="Internal",Assumptions!$C$18,0)))+IF(OR(N160="Roadmap - verbal only",N160="No roadmap",N160="Not asked yet",N160=""),Assumptions!$C$19,0)+IF(E160="Production",Assumptions!$C$20,0)+IF(AND(ISNUMBER(P160),N(P160)&gt;=Assumptions!$C$22),Assumptions!$C$21,0)))</f>
        <v/>
      </c>
      <c r="Y160" s="18" t="str">
        <f aca="false">IF(X160="","",IF(R160="No","None",IF(X160&gt;=Assumptions!$C$23,"High",IF(X160&gt;=Assumptions!$C$24,"Medium","Low"))))</f>
        <v/>
      </c>
      <c r="Z160" s="16"/>
      <c r="AA160" s="17"/>
      <c r="AB160" s="16"/>
      <c r="AC160" s="18" t="str">
        <f aca="true">IF(OR(AA160="",AB160="Hybrid deployed",AB160="PQC deployed",AB160="Not required (not vulnerable)",AB160="Risk accepted"),"",IF(AA160&lt;TODAY(),"OVERDUE",""))</f>
        <v/>
      </c>
      <c r="AD160" s="18" t="str">
        <f aca="true">IF(A160="","",IF(B160="","Name the system. ","")&amp;IF(LEFT(R160,7)="Unknown","Algorithm unknown - scan or ask the vendor. ","")&amp;IF(AND(R160&lt;&gt;"No",Assumptions!$C$6=""),"Set Z on Assumptions. ","")&amp;IF(AND(R160&lt;&gt;"No",OR(O160="",P160="")),"Enter X and Y. ","")&amp;IF(LEFT(T160,7)="AT RISK","Mosca: X+Y exceeds Z - migration should already be under way. ","")&amp;IF(AND(LEFT(U160,3)="Yes",OR(AB160="",AB160="Not started")),"Harvest-now-decrypt-later exposure and migration not started. ","")&amp;IF(AND(R160&lt;&gt;"No",OR(W160="",W160="To decide")),"Choose a target algorithm. ","")&amp;IF(AND(R160&lt;&gt;"No",W160="Keep - not quantum-vulnerable"),"Target 'Keep' conflicts with a quantum-vulnerable algorithm. ","")&amp;IF(LEFT(J160,5)="SHA-1","SHA-1 is deprecated - replace (NIST IR 8547). ","")&amp;IF(AND(R160&lt;&gt;"No",OR(N160="Roadmap - verbal only",N160="No roadmap",N160="Not asked yet")),"Get a written PQC roadmap from the vendor. ","")&amp;IF(AND(R160&lt;&gt;"No",N160=""),"Record the vendor PQC roadmap status. ","")&amp;IF(ISNUMBER(M160),IF(M160&lt;TODAY(),"Certificate or key expired. ",IF(M160-TODAY()&lt;=Assumptions!$C$25,"Expires soon - use the renewal to revisit the algorithm. ","")),"")&amp;IF(AC160="OVERDUE","Migration overdue. ","")&amp;IF(AND(R160&lt;&gt;"No",Z160=""),"Assign a migration owner. ",""))</f>
        <v/>
      </c>
    </row>
    <row r="161" customFormat="false" ht="15" hidden="false" customHeight="false" outlineLevel="0" collapsed="false">
      <c r="A161" s="16"/>
      <c r="B161" s="16"/>
      <c r="C161" s="16"/>
      <c r="D161" s="16"/>
      <c r="E161" s="16"/>
      <c r="F161" s="16"/>
      <c r="G161" s="16"/>
      <c r="H161" s="16"/>
      <c r="I161" s="16"/>
      <c r="J161" s="16"/>
      <c r="K161" s="16"/>
      <c r="L161" s="16"/>
      <c r="M161" s="17"/>
      <c r="N161" s="16"/>
      <c r="O161" s="16"/>
      <c r="P161" s="16"/>
      <c r="Q161" s="18" t="str">
        <f aca="false">IF(A161="","",IF(J161="","Unknown",IFERROR(INDEX('Algorithm Reference'!$C$6:$C$41,MATCH(J161,'Algorithm Reference'!$B$6:$B$41,0)),"Not in reference")))</f>
        <v/>
      </c>
      <c r="R161" s="18" t="str">
        <f aca="false">IF(A161="","",IF(J161="","Unknown - investigate",IFERROR(INDEX('Algorithm Reference'!$E$6:$E$41,MATCH(J161,'Algorithm Reference'!$B$6:$B$41,0)),"Unknown - investigate")))</f>
        <v/>
      </c>
      <c r="S161" s="18" t="str">
        <f aca="false">IF(OR(O161="",P161=""),"",O161+P161)</f>
        <v/>
      </c>
      <c r="T161" s="18" t="str">
        <f aca="false">IF(A161="","",IF(R161="No","N/A - not quantum-vulnerable",IF(OR(O161="",P161=""),"Enter X and Y",IF(Assumptions!$C$6="","Set Z on Assumptions",IF(O161+P161&gt;Assumptions!$C$6,"AT RISK (X+Y &gt; Z)","Within Z (X+Y &lt;= Z)")))))</f>
        <v/>
      </c>
      <c r="U161" s="18" t="str">
        <f aca="false">IF(A161="","",IF(AND(R161&lt;&gt;"No",OR(I161="Key establishment / encryption in transit",I161="Key wrapping / key transport",I161="Mixed or unknown",I161=""),OR(N(O161)&gt;0,G161="Confidential",G161="Restricted")),IF(F161="Yes","Yes - internet-facing","Yes"),"No"))</f>
        <v/>
      </c>
      <c r="V161" s="18" t="str">
        <f aca="false">IF(A161="","",IF(R161="No","Keep - not quantum-vulnerable (review key size)",IF(I161="Digital signature / authentication","ML-DSA-65 (FIPS 204); SLH-DSA (FIPS 205) if hash-based is preferred",IF(OR(I161="Key establishment / encryption in transit",I161="Key wrapping / key transport"),"ML-KEM-768 (FIPS 203); hybrid X25519MLKEM768 for TLS 1.3",IF(I161="Mixed or unknown","Both: ML-KEM (FIPS 203) for keys, ML-DSA (FIPS 204) for signatures","Pick the crypto function first")))))</f>
        <v/>
      </c>
      <c r="W161" s="16"/>
      <c r="X161" s="18" t="str">
        <f aca="false">IF(A161="","",IF(R161="No",0,IF(LEFT(T161,7)="AT RISK",Assumptions!$C$13,0)+IF(LEFT(U161,3)="Yes",Assumptions!$C$14,0)+IF(F161="Yes",Assumptions!$C$15,0)+IF(G161="Restricted",Assumptions!$C$16,IF(G161="Confidential",Assumptions!$C$17,IF(G161="Internal",Assumptions!$C$18,0)))+IF(OR(N161="Roadmap - verbal only",N161="No roadmap",N161="Not asked yet",N161=""),Assumptions!$C$19,0)+IF(E161="Production",Assumptions!$C$20,0)+IF(AND(ISNUMBER(P161),N(P161)&gt;=Assumptions!$C$22),Assumptions!$C$21,0)))</f>
        <v/>
      </c>
      <c r="Y161" s="18" t="str">
        <f aca="false">IF(X161="","",IF(R161="No","None",IF(X161&gt;=Assumptions!$C$23,"High",IF(X161&gt;=Assumptions!$C$24,"Medium","Low"))))</f>
        <v/>
      </c>
      <c r="Z161" s="16"/>
      <c r="AA161" s="17"/>
      <c r="AB161" s="16"/>
      <c r="AC161" s="18" t="str">
        <f aca="true">IF(OR(AA161="",AB161="Hybrid deployed",AB161="PQC deployed",AB161="Not required (not vulnerable)",AB161="Risk accepted"),"",IF(AA161&lt;TODAY(),"OVERDUE",""))</f>
        <v/>
      </c>
      <c r="AD161" s="18" t="str">
        <f aca="true">IF(A161="","",IF(B161="","Name the system. ","")&amp;IF(LEFT(R161,7)="Unknown","Algorithm unknown - scan or ask the vendor. ","")&amp;IF(AND(R161&lt;&gt;"No",Assumptions!$C$6=""),"Set Z on Assumptions. ","")&amp;IF(AND(R161&lt;&gt;"No",OR(O161="",P161="")),"Enter X and Y. ","")&amp;IF(LEFT(T161,7)="AT RISK","Mosca: X+Y exceeds Z - migration should already be under way. ","")&amp;IF(AND(LEFT(U161,3)="Yes",OR(AB161="",AB161="Not started")),"Harvest-now-decrypt-later exposure and migration not started. ","")&amp;IF(AND(R161&lt;&gt;"No",OR(W161="",W161="To decide")),"Choose a target algorithm. ","")&amp;IF(AND(R161&lt;&gt;"No",W161="Keep - not quantum-vulnerable"),"Target 'Keep' conflicts with a quantum-vulnerable algorithm. ","")&amp;IF(LEFT(J161,5)="SHA-1","SHA-1 is deprecated - replace (NIST IR 8547). ","")&amp;IF(AND(R161&lt;&gt;"No",OR(N161="Roadmap - verbal only",N161="No roadmap",N161="Not asked yet")),"Get a written PQC roadmap from the vendor. ","")&amp;IF(AND(R161&lt;&gt;"No",N161=""),"Record the vendor PQC roadmap status. ","")&amp;IF(ISNUMBER(M161),IF(M161&lt;TODAY(),"Certificate or key expired. ",IF(M161-TODAY()&lt;=Assumptions!$C$25,"Expires soon - use the renewal to revisit the algorithm. ","")),"")&amp;IF(AC161="OVERDUE","Migration overdue. ","")&amp;IF(AND(R161&lt;&gt;"No",Z161=""),"Assign a migration owner. ",""))</f>
        <v/>
      </c>
    </row>
    <row r="162" customFormat="false" ht="15" hidden="false" customHeight="false" outlineLevel="0" collapsed="false">
      <c r="A162" s="16"/>
      <c r="B162" s="16"/>
      <c r="C162" s="16"/>
      <c r="D162" s="16"/>
      <c r="E162" s="16"/>
      <c r="F162" s="16"/>
      <c r="G162" s="16"/>
      <c r="H162" s="16"/>
      <c r="I162" s="16"/>
      <c r="J162" s="16"/>
      <c r="K162" s="16"/>
      <c r="L162" s="16"/>
      <c r="M162" s="17"/>
      <c r="N162" s="16"/>
      <c r="O162" s="16"/>
      <c r="P162" s="16"/>
      <c r="Q162" s="18" t="str">
        <f aca="false">IF(A162="","",IF(J162="","Unknown",IFERROR(INDEX('Algorithm Reference'!$C$6:$C$41,MATCH(J162,'Algorithm Reference'!$B$6:$B$41,0)),"Not in reference")))</f>
        <v/>
      </c>
      <c r="R162" s="18" t="str">
        <f aca="false">IF(A162="","",IF(J162="","Unknown - investigate",IFERROR(INDEX('Algorithm Reference'!$E$6:$E$41,MATCH(J162,'Algorithm Reference'!$B$6:$B$41,0)),"Unknown - investigate")))</f>
        <v/>
      </c>
      <c r="S162" s="18" t="str">
        <f aca="false">IF(OR(O162="",P162=""),"",O162+P162)</f>
        <v/>
      </c>
      <c r="T162" s="18" t="str">
        <f aca="false">IF(A162="","",IF(R162="No","N/A - not quantum-vulnerable",IF(OR(O162="",P162=""),"Enter X and Y",IF(Assumptions!$C$6="","Set Z on Assumptions",IF(O162+P162&gt;Assumptions!$C$6,"AT RISK (X+Y &gt; Z)","Within Z (X+Y &lt;= Z)")))))</f>
        <v/>
      </c>
      <c r="U162" s="18" t="str">
        <f aca="false">IF(A162="","",IF(AND(R162&lt;&gt;"No",OR(I162="Key establishment / encryption in transit",I162="Key wrapping / key transport",I162="Mixed or unknown",I162=""),OR(N(O162)&gt;0,G162="Confidential",G162="Restricted")),IF(F162="Yes","Yes - internet-facing","Yes"),"No"))</f>
        <v/>
      </c>
      <c r="V162" s="18" t="str">
        <f aca="false">IF(A162="","",IF(R162="No","Keep - not quantum-vulnerable (review key size)",IF(I162="Digital signature / authentication","ML-DSA-65 (FIPS 204); SLH-DSA (FIPS 205) if hash-based is preferred",IF(OR(I162="Key establishment / encryption in transit",I162="Key wrapping / key transport"),"ML-KEM-768 (FIPS 203); hybrid X25519MLKEM768 for TLS 1.3",IF(I162="Mixed or unknown","Both: ML-KEM (FIPS 203) for keys, ML-DSA (FIPS 204) for signatures","Pick the crypto function first")))))</f>
        <v/>
      </c>
      <c r="W162" s="16"/>
      <c r="X162" s="18" t="str">
        <f aca="false">IF(A162="","",IF(R162="No",0,IF(LEFT(T162,7)="AT RISK",Assumptions!$C$13,0)+IF(LEFT(U162,3)="Yes",Assumptions!$C$14,0)+IF(F162="Yes",Assumptions!$C$15,0)+IF(G162="Restricted",Assumptions!$C$16,IF(G162="Confidential",Assumptions!$C$17,IF(G162="Internal",Assumptions!$C$18,0)))+IF(OR(N162="Roadmap - verbal only",N162="No roadmap",N162="Not asked yet",N162=""),Assumptions!$C$19,0)+IF(E162="Production",Assumptions!$C$20,0)+IF(AND(ISNUMBER(P162),N(P162)&gt;=Assumptions!$C$22),Assumptions!$C$21,0)))</f>
        <v/>
      </c>
      <c r="Y162" s="18" t="str">
        <f aca="false">IF(X162="","",IF(R162="No","None",IF(X162&gt;=Assumptions!$C$23,"High",IF(X162&gt;=Assumptions!$C$24,"Medium","Low"))))</f>
        <v/>
      </c>
      <c r="Z162" s="16"/>
      <c r="AA162" s="17"/>
      <c r="AB162" s="16"/>
      <c r="AC162" s="18" t="str">
        <f aca="true">IF(OR(AA162="",AB162="Hybrid deployed",AB162="PQC deployed",AB162="Not required (not vulnerable)",AB162="Risk accepted"),"",IF(AA162&lt;TODAY(),"OVERDUE",""))</f>
        <v/>
      </c>
      <c r="AD162" s="18" t="str">
        <f aca="true">IF(A162="","",IF(B162="","Name the system. ","")&amp;IF(LEFT(R162,7)="Unknown","Algorithm unknown - scan or ask the vendor. ","")&amp;IF(AND(R162&lt;&gt;"No",Assumptions!$C$6=""),"Set Z on Assumptions. ","")&amp;IF(AND(R162&lt;&gt;"No",OR(O162="",P162="")),"Enter X and Y. ","")&amp;IF(LEFT(T162,7)="AT RISK","Mosca: X+Y exceeds Z - migration should already be under way. ","")&amp;IF(AND(LEFT(U162,3)="Yes",OR(AB162="",AB162="Not started")),"Harvest-now-decrypt-later exposure and migration not started. ","")&amp;IF(AND(R162&lt;&gt;"No",OR(W162="",W162="To decide")),"Choose a target algorithm. ","")&amp;IF(AND(R162&lt;&gt;"No",W162="Keep - not quantum-vulnerable"),"Target 'Keep' conflicts with a quantum-vulnerable algorithm. ","")&amp;IF(LEFT(J162,5)="SHA-1","SHA-1 is deprecated - replace (NIST IR 8547). ","")&amp;IF(AND(R162&lt;&gt;"No",OR(N162="Roadmap - verbal only",N162="No roadmap",N162="Not asked yet")),"Get a written PQC roadmap from the vendor. ","")&amp;IF(AND(R162&lt;&gt;"No",N162=""),"Record the vendor PQC roadmap status. ","")&amp;IF(ISNUMBER(M162),IF(M162&lt;TODAY(),"Certificate or key expired. ",IF(M162-TODAY()&lt;=Assumptions!$C$25,"Expires soon - use the renewal to revisit the algorithm. ","")),"")&amp;IF(AC162="OVERDUE","Migration overdue. ","")&amp;IF(AND(R162&lt;&gt;"No",Z162=""),"Assign a migration owner. ",""))</f>
        <v/>
      </c>
    </row>
    <row r="163" customFormat="false" ht="15" hidden="false" customHeight="false" outlineLevel="0" collapsed="false">
      <c r="A163" s="16"/>
      <c r="B163" s="16"/>
      <c r="C163" s="16"/>
      <c r="D163" s="16"/>
      <c r="E163" s="16"/>
      <c r="F163" s="16"/>
      <c r="G163" s="16"/>
      <c r="H163" s="16"/>
      <c r="I163" s="16"/>
      <c r="J163" s="16"/>
      <c r="K163" s="16"/>
      <c r="L163" s="16"/>
      <c r="M163" s="17"/>
      <c r="N163" s="16"/>
      <c r="O163" s="16"/>
      <c r="P163" s="16"/>
      <c r="Q163" s="18" t="str">
        <f aca="false">IF(A163="","",IF(J163="","Unknown",IFERROR(INDEX('Algorithm Reference'!$C$6:$C$41,MATCH(J163,'Algorithm Reference'!$B$6:$B$41,0)),"Not in reference")))</f>
        <v/>
      </c>
      <c r="R163" s="18" t="str">
        <f aca="false">IF(A163="","",IF(J163="","Unknown - investigate",IFERROR(INDEX('Algorithm Reference'!$E$6:$E$41,MATCH(J163,'Algorithm Reference'!$B$6:$B$41,0)),"Unknown - investigate")))</f>
        <v/>
      </c>
      <c r="S163" s="18" t="str">
        <f aca="false">IF(OR(O163="",P163=""),"",O163+P163)</f>
        <v/>
      </c>
      <c r="T163" s="18" t="str">
        <f aca="false">IF(A163="","",IF(R163="No","N/A - not quantum-vulnerable",IF(OR(O163="",P163=""),"Enter X and Y",IF(Assumptions!$C$6="","Set Z on Assumptions",IF(O163+P163&gt;Assumptions!$C$6,"AT RISK (X+Y &gt; Z)","Within Z (X+Y &lt;= Z)")))))</f>
        <v/>
      </c>
      <c r="U163" s="18" t="str">
        <f aca="false">IF(A163="","",IF(AND(R163&lt;&gt;"No",OR(I163="Key establishment / encryption in transit",I163="Key wrapping / key transport",I163="Mixed or unknown",I163=""),OR(N(O163)&gt;0,G163="Confidential",G163="Restricted")),IF(F163="Yes","Yes - internet-facing","Yes"),"No"))</f>
        <v/>
      </c>
      <c r="V163" s="18" t="str">
        <f aca="false">IF(A163="","",IF(R163="No","Keep - not quantum-vulnerable (review key size)",IF(I163="Digital signature / authentication","ML-DSA-65 (FIPS 204); SLH-DSA (FIPS 205) if hash-based is preferred",IF(OR(I163="Key establishment / encryption in transit",I163="Key wrapping / key transport"),"ML-KEM-768 (FIPS 203); hybrid X25519MLKEM768 for TLS 1.3",IF(I163="Mixed or unknown","Both: ML-KEM (FIPS 203) for keys, ML-DSA (FIPS 204) for signatures","Pick the crypto function first")))))</f>
        <v/>
      </c>
      <c r="W163" s="16"/>
      <c r="X163" s="18" t="str">
        <f aca="false">IF(A163="","",IF(R163="No",0,IF(LEFT(T163,7)="AT RISK",Assumptions!$C$13,0)+IF(LEFT(U163,3)="Yes",Assumptions!$C$14,0)+IF(F163="Yes",Assumptions!$C$15,0)+IF(G163="Restricted",Assumptions!$C$16,IF(G163="Confidential",Assumptions!$C$17,IF(G163="Internal",Assumptions!$C$18,0)))+IF(OR(N163="Roadmap - verbal only",N163="No roadmap",N163="Not asked yet",N163=""),Assumptions!$C$19,0)+IF(E163="Production",Assumptions!$C$20,0)+IF(AND(ISNUMBER(P163),N(P163)&gt;=Assumptions!$C$22),Assumptions!$C$21,0)))</f>
        <v/>
      </c>
      <c r="Y163" s="18" t="str">
        <f aca="false">IF(X163="","",IF(R163="No","None",IF(X163&gt;=Assumptions!$C$23,"High",IF(X163&gt;=Assumptions!$C$24,"Medium","Low"))))</f>
        <v/>
      </c>
      <c r="Z163" s="16"/>
      <c r="AA163" s="17"/>
      <c r="AB163" s="16"/>
      <c r="AC163" s="18" t="str">
        <f aca="true">IF(OR(AA163="",AB163="Hybrid deployed",AB163="PQC deployed",AB163="Not required (not vulnerable)",AB163="Risk accepted"),"",IF(AA163&lt;TODAY(),"OVERDUE",""))</f>
        <v/>
      </c>
      <c r="AD163" s="18" t="str">
        <f aca="true">IF(A163="","",IF(B163="","Name the system. ","")&amp;IF(LEFT(R163,7)="Unknown","Algorithm unknown - scan or ask the vendor. ","")&amp;IF(AND(R163&lt;&gt;"No",Assumptions!$C$6=""),"Set Z on Assumptions. ","")&amp;IF(AND(R163&lt;&gt;"No",OR(O163="",P163="")),"Enter X and Y. ","")&amp;IF(LEFT(T163,7)="AT RISK","Mosca: X+Y exceeds Z - migration should already be under way. ","")&amp;IF(AND(LEFT(U163,3)="Yes",OR(AB163="",AB163="Not started")),"Harvest-now-decrypt-later exposure and migration not started. ","")&amp;IF(AND(R163&lt;&gt;"No",OR(W163="",W163="To decide")),"Choose a target algorithm. ","")&amp;IF(AND(R163&lt;&gt;"No",W163="Keep - not quantum-vulnerable"),"Target 'Keep' conflicts with a quantum-vulnerable algorithm. ","")&amp;IF(LEFT(J163,5)="SHA-1","SHA-1 is deprecated - replace (NIST IR 8547). ","")&amp;IF(AND(R163&lt;&gt;"No",OR(N163="Roadmap - verbal only",N163="No roadmap",N163="Not asked yet")),"Get a written PQC roadmap from the vendor. ","")&amp;IF(AND(R163&lt;&gt;"No",N163=""),"Record the vendor PQC roadmap status. ","")&amp;IF(ISNUMBER(M163),IF(M163&lt;TODAY(),"Certificate or key expired. ",IF(M163-TODAY()&lt;=Assumptions!$C$25,"Expires soon - use the renewal to revisit the algorithm. ","")),"")&amp;IF(AC163="OVERDUE","Migration overdue. ","")&amp;IF(AND(R163&lt;&gt;"No",Z163=""),"Assign a migration owner. ",""))</f>
        <v/>
      </c>
    </row>
    <row r="164" customFormat="false" ht="15" hidden="false" customHeight="false" outlineLevel="0" collapsed="false">
      <c r="A164" s="16"/>
      <c r="B164" s="16"/>
      <c r="C164" s="16"/>
      <c r="D164" s="16"/>
      <c r="E164" s="16"/>
      <c r="F164" s="16"/>
      <c r="G164" s="16"/>
      <c r="H164" s="16"/>
      <c r="I164" s="16"/>
      <c r="J164" s="16"/>
      <c r="K164" s="16"/>
      <c r="L164" s="16"/>
      <c r="M164" s="17"/>
      <c r="N164" s="16"/>
      <c r="O164" s="16"/>
      <c r="P164" s="16"/>
      <c r="Q164" s="18" t="str">
        <f aca="false">IF(A164="","",IF(J164="","Unknown",IFERROR(INDEX('Algorithm Reference'!$C$6:$C$41,MATCH(J164,'Algorithm Reference'!$B$6:$B$41,0)),"Not in reference")))</f>
        <v/>
      </c>
      <c r="R164" s="18" t="str">
        <f aca="false">IF(A164="","",IF(J164="","Unknown - investigate",IFERROR(INDEX('Algorithm Reference'!$E$6:$E$41,MATCH(J164,'Algorithm Reference'!$B$6:$B$41,0)),"Unknown - investigate")))</f>
        <v/>
      </c>
      <c r="S164" s="18" t="str">
        <f aca="false">IF(OR(O164="",P164=""),"",O164+P164)</f>
        <v/>
      </c>
      <c r="T164" s="18" t="str">
        <f aca="false">IF(A164="","",IF(R164="No","N/A - not quantum-vulnerable",IF(OR(O164="",P164=""),"Enter X and Y",IF(Assumptions!$C$6="","Set Z on Assumptions",IF(O164+P164&gt;Assumptions!$C$6,"AT RISK (X+Y &gt; Z)","Within Z (X+Y &lt;= Z)")))))</f>
        <v/>
      </c>
      <c r="U164" s="18" t="str">
        <f aca="false">IF(A164="","",IF(AND(R164&lt;&gt;"No",OR(I164="Key establishment / encryption in transit",I164="Key wrapping / key transport",I164="Mixed or unknown",I164=""),OR(N(O164)&gt;0,G164="Confidential",G164="Restricted")),IF(F164="Yes","Yes - internet-facing","Yes"),"No"))</f>
        <v/>
      </c>
      <c r="V164" s="18" t="str">
        <f aca="false">IF(A164="","",IF(R164="No","Keep - not quantum-vulnerable (review key size)",IF(I164="Digital signature / authentication","ML-DSA-65 (FIPS 204); SLH-DSA (FIPS 205) if hash-based is preferred",IF(OR(I164="Key establishment / encryption in transit",I164="Key wrapping / key transport"),"ML-KEM-768 (FIPS 203); hybrid X25519MLKEM768 for TLS 1.3",IF(I164="Mixed or unknown","Both: ML-KEM (FIPS 203) for keys, ML-DSA (FIPS 204) for signatures","Pick the crypto function first")))))</f>
        <v/>
      </c>
      <c r="W164" s="16"/>
      <c r="X164" s="18" t="str">
        <f aca="false">IF(A164="","",IF(R164="No",0,IF(LEFT(T164,7)="AT RISK",Assumptions!$C$13,0)+IF(LEFT(U164,3)="Yes",Assumptions!$C$14,0)+IF(F164="Yes",Assumptions!$C$15,0)+IF(G164="Restricted",Assumptions!$C$16,IF(G164="Confidential",Assumptions!$C$17,IF(G164="Internal",Assumptions!$C$18,0)))+IF(OR(N164="Roadmap - verbal only",N164="No roadmap",N164="Not asked yet",N164=""),Assumptions!$C$19,0)+IF(E164="Production",Assumptions!$C$20,0)+IF(AND(ISNUMBER(P164),N(P164)&gt;=Assumptions!$C$22),Assumptions!$C$21,0)))</f>
        <v/>
      </c>
      <c r="Y164" s="18" t="str">
        <f aca="false">IF(X164="","",IF(R164="No","None",IF(X164&gt;=Assumptions!$C$23,"High",IF(X164&gt;=Assumptions!$C$24,"Medium","Low"))))</f>
        <v/>
      </c>
      <c r="Z164" s="16"/>
      <c r="AA164" s="17"/>
      <c r="AB164" s="16"/>
      <c r="AC164" s="18" t="str">
        <f aca="true">IF(OR(AA164="",AB164="Hybrid deployed",AB164="PQC deployed",AB164="Not required (not vulnerable)",AB164="Risk accepted"),"",IF(AA164&lt;TODAY(),"OVERDUE",""))</f>
        <v/>
      </c>
      <c r="AD164" s="18" t="str">
        <f aca="true">IF(A164="","",IF(B164="","Name the system. ","")&amp;IF(LEFT(R164,7)="Unknown","Algorithm unknown - scan or ask the vendor. ","")&amp;IF(AND(R164&lt;&gt;"No",Assumptions!$C$6=""),"Set Z on Assumptions. ","")&amp;IF(AND(R164&lt;&gt;"No",OR(O164="",P164="")),"Enter X and Y. ","")&amp;IF(LEFT(T164,7)="AT RISK","Mosca: X+Y exceeds Z - migration should already be under way. ","")&amp;IF(AND(LEFT(U164,3)="Yes",OR(AB164="",AB164="Not started")),"Harvest-now-decrypt-later exposure and migration not started. ","")&amp;IF(AND(R164&lt;&gt;"No",OR(W164="",W164="To decide")),"Choose a target algorithm. ","")&amp;IF(AND(R164&lt;&gt;"No",W164="Keep - not quantum-vulnerable"),"Target 'Keep' conflicts with a quantum-vulnerable algorithm. ","")&amp;IF(LEFT(J164,5)="SHA-1","SHA-1 is deprecated - replace (NIST IR 8547). ","")&amp;IF(AND(R164&lt;&gt;"No",OR(N164="Roadmap - verbal only",N164="No roadmap",N164="Not asked yet")),"Get a written PQC roadmap from the vendor. ","")&amp;IF(AND(R164&lt;&gt;"No",N164=""),"Record the vendor PQC roadmap status. ","")&amp;IF(ISNUMBER(M164),IF(M164&lt;TODAY(),"Certificate or key expired. ",IF(M164-TODAY()&lt;=Assumptions!$C$25,"Expires soon - use the renewal to revisit the algorithm. ","")),"")&amp;IF(AC164="OVERDUE","Migration overdue. ","")&amp;IF(AND(R164&lt;&gt;"No",Z164=""),"Assign a migration owner. ",""))</f>
        <v/>
      </c>
    </row>
    <row r="165" customFormat="false" ht="15" hidden="false" customHeight="false" outlineLevel="0" collapsed="false">
      <c r="A165" s="16"/>
      <c r="B165" s="16"/>
      <c r="C165" s="16"/>
      <c r="D165" s="16"/>
      <c r="E165" s="16"/>
      <c r="F165" s="16"/>
      <c r="G165" s="16"/>
      <c r="H165" s="16"/>
      <c r="I165" s="16"/>
      <c r="J165" s="16"/>
      <c r="K165" s="16"/>
      <c r="L165" s="16"/>
      <c r="M165" s="17"/>
      <c r="N165" s="16"/>
      <c r="O165" s="16"/>
      <c r="P165" s="16"/>
      <c r="Q165" s="18" t="str">
        <f aca="false">IF(A165="","",IF(J165="","Unknown",IFERROR(INDEX('Algorithm Reference'!$C$6:$C$41,MATCH(J165,'Algorithm Reference'!$B$6:$B$41,0)),"Not in reference")))</f>
        <v/>
      </c>
      <c r="R165" s="18" t="str">
        <f aca="false">IF(A165="","",IF(J165="","Unknown - investigate",IFERROR(INDEX('Algorithm Reference'!$E$6:$E$41,MATCH(J165,'Algorithm Reference'!$B$6:$B$41,0)),"Unknown - investigate")))</f>
        <v/>
      </c>
      <c r="S165" s="18" t="str">
        <f aca="false">IF(OR(O165="",P165=""),"",O165+P165)</f>
        <v/>
      </c>
      <c r="T165" s="18" t="str">
        <f aca="false">IF(A165="","",IF(R165="No","N/A - not quantum-vulnerable",IF(OR(O165="",P165=""),"Enter X and Y",IF(Assumptions!$C$6="","Set Z on Assumptions",IF(O165+P165&gt;Assumptions!$C$6,"AT RISK (X+Y &gt; Z)","Within Z (X+Y &lt;= Z)")))))</f>
        <v/>
      </c>
      <c r="U165" s="18" t="str">
        <f aca="false">IF(A165="","",IF(AND(R165&lt;&gt;"No",OR(I165="Key establishment / encryption in transit",I165="Key wrapping / key transport",I165="Mixed or unknown",I165=""),OR(N(O165)&gt;0,G165="Confidential",G165="Restricted")),IF(F165="Yes","Yes - internet-facing","Yes"),"No"))</f>
        <v/>
      </c>
      <c r="V165" s="18" t="str">
        <f aca="false">IF(A165="","",IF(R165="No","Keep - not quantum-vulnerable (review key size)",IF(I165="Digital signature / authentication","ML-DSA-65 (FIPS 204); SLH-DSA (FIPS 205) if hash-based is preferred",IF(OR(I165="Key establishment / encryption in transit",I165="Key wrapping / key transport"),"ML-KEM-768 (FIPS 203); hybrid X25519MLKEM768 for TLS 1.3",IF(I165="Mixed or unknown","Both: ML-KEM (FIPS 203) for keys, ML-DSA (FIPS 204) for signatures","Pick the crypto function first")))))</f>
        <v/>
      </c>
      <c r="W165" s="16"/>
      <c r="X165" s="18" t="str">
        <f aca="false">IF(A165="","",IF(R165="No",0,IF(LEFT(T165,7)="AT RISK",Assumptions!$C$13,0)+IF(LEFT(U165,3)="Yes",Assumptions!$C$14,0)+IF(F165="Yes",Assumptions!$C$15,0)+IF(G165="Restricted",Assumptions!$C$16,IF(G165="Confidential",Assumptions!$C$17,IF(G165="Internal",Assumptions!$C$18,0)))+IF(OR(N165="Roadmap - verbal only",N165="No roadmap",N165="Not asked yet",N165=""),Assumptions!$C$19,0)+IF(E165="Production",Assumptions!$C$20,0)+IF(AND(ISNUMBER(P165),N(P165)&gt;=Assumptions!$C$22),Assumptions!$C$21,0)))</f>
        <v/>
      </c>
      <c r="Y165" s="18" t="str">
        <f aca="false">IF(X165="","",IF(R165="No","None",IF(X165&gt;=Assumptions!$C$23,"High",IF(X165&gt;=Assumptions!$C$24,"Medium","Low"))))</f>
        <v/>
      </c>
      <c r="Z165" s="16"/>
      <c r="AA165" s="17"/>
      <c r="AB165" s="16"/>
      <c r="AC165" s="18" t="str">
        <f aca="true">IF(OR(AA165="",AB165="Hybrid deployed",AB165="PQC deployed",AB165="Not required (not vulnerable)",AB165="Risk accepted"),"",IF(AA165&lt;TODAY(),"OVERDUE",""))</f>
        <v/>
      </c>
      <c r="AD165" s="18" t="str">
        <f aca="true">IF(A165="","",IF(B165="","Name the system. ","")&amp;IF(LEFT(R165,7)="Unknown","Algorithm unknown - scan or ask the vendor. ","")&amp;IF(AND(R165&lt;&gt;"No",Assumptions!$C$6=""),"Set Z on Assumptions. ","")&amp;IF(AND(R165&lt;&gt;"No",OR(O165="",P165="")),"Enter X and Y. ","")&amp;IF(LEFT(T165,7)="AT RISK","Mosca: X+Y exceeds Z - migration should already be under way. ","")&amp;IF(AND(LEFT(U165,3)="Yes",OR(AB165="",AB165="Not started")),"Harvest-now-decrypt-later exposure and migration not started. ","")&amp;IF(AND(R165&lt;&gt;"No",OR(W165="",W165="To decide")),"Choose a target algorithm. ","")&amp;IF(AND(R165&lt;&gt;"No",W165="Keep - not quantum-vulnerable"),"Target 'Keep' conflicts with a quantum-vulnerable algorithm. ","")&amp;IF(LEFT(J165,5)="SHA-1","SHA-1 is deprecated - replace (NIST IR 8547). ","")&amp;IF(AND(R165&lt;&gt;"No",OR(N165="Roadmap - verbal only",N165="No roadmap",N165="Not asked yet")),"Get a written PQC roadmap from the vendor. ","")&amp;IF(AND(R165&lt;&gt;"No",N165=""),"Record the vendor PQC roadmap status. ","")&amp;IF(ISNUMBER(M165),IF(M165&lt;TODAY(),"Certificate or key expired. ",IF(M165-TODAY()&lt;=Assumptions!$C$25,"Expires soon - use the renewal to revisit the algorithm. ","")),"")&amp;IF(AC165="OVERDUE","Migration overdue. ","")&amp;IF(AND(R165&lt;&gt;"No",Z165=""),"Assign a migration owner. ",""))</f>
        <v/>
      </c>
    </row>
    <row r="166" customFormat="false" ht="15" hidden="false" customHeight="false" outlineLevel="0" collapsed="false">
      <c r="A166" s="16"/>
      <c r="B166" s="16"/>
      <c r="C166" s="16"/>
      <c r="D166" s="16"/>
      <c r="E166" s="16"/>
      <c r="F166" s="16"/>
      <c r="G166" s="16"/>
      <c r="H166" s="16"/>
      <c r="I166" s="16"/>
      <c r="J166" s="16"/>
      <c r="K166" s="16"/>
      <c r="L166" s="16"/>
      <c r="M166" s="17"/>
      <c r="N166" s="16"/>
      <c r="O166" s="16"/>
      <c r="P166" s="16"/>
      <c r="Q166" s="18" t="str">
        <f aca="false">IF(A166="","",IF(J166="","Unknown",IFERROR(INDEX('Algorithm Reference'!$C$6:$C$41,MATCH(J166,'Algorithm Reference'!$B$6:$B$41,0)),"Not in reference")))</f>
        <v/>
      </c>
      <c r="R166" s="18" t="str">
        <f aca="false">IF(A166="","",IF(J166="","Unknown - investigate",IFERROR(INDEX('Algorithm Reference'!$E$6:$E$41,MATCH(J166,'Algorithm Reference'!$B$6:$B$41,0)),"Unknown - investigate")))</f>
        <v/>
      </c>
      <c r="S166" s="18" t="str">
        <f aca="false">IF(OR(O166="",P166=""),"",O166+P166)</f>
        <v/>
      </c>
      <c r="T166" s="18" t="str">
        <f aca="false">IF(A166="","",IF(R166="No","N/A - not quantum-vulnerable",IF(OR(O166="",P166=""),"Enter X and Y",IF(Assumptions!$C$6="","Set Z on Assumptions",IF(O166+P166&gt;Assumptions!$C$6,"AT RISK (X+Y &gt; Z)","Within Z (X+Y &lt;= Z)")))))</f>
        <v/>
      </c>
      <c r="U166" s="18" t="str">
        <f aca="false">IF(A166="","",IF(AND(R166&lt;&gt;"No",OR(I166="Key establishment / encryption in transit",I166="Key wrapping / key transport",I166="Mixed or unknown",I166=""),OR(N(O166)&gt;0,G166="Confidential",G166="Restricted")),IF(F166="Yes","Yes - internet-facing","Yes"),"No"))</f>
        <v/>
      </c>
      <c r="V166" s="18" t="str">
        <f aca="false">IF(A166="","",IF(R166="No","Keep - not quantum-vulnerable (review key size)",IF(I166="Digital signature / authentication","ML-DSA-65 (FIPS 204); SLH-DSA (FIPS 205) if hash-based is preferred",IF(OR(I166="Key establishment / encryption in transit",I166="Key wrapping / key transport"),"ML-KEM-768 (FIPS 203); hybrid X25519MLKEM768 for TLS 1.3",IF(I166="Mixed or unknown","Both: ML-KEM (FIPS 203) for keys, ML-DSA (FIPS 204) for signatures","Pick the crypto function first")))))</f>
        <v/>
      </c>
      <c r="W166" s="16"/>
      <c r="X166" s="18" t="str">
        <f aca="false">IF(A166="","",IF(R166="No",0,IF(LEFT(T166,7)="AT RISK",Assumptions!$C$13,0)+IF(LEFT(U166,3)="Yes",Assumptions!$C$14,0)+IF(F166="Yes",Assumptions!$C$15,0)+IF(G166="Restricted",Assumptions!$C$16,IF(G166="Confidential",Assumptions!$C$17,IF(G166="Internal",Assumptions!$C$18,0)))+IF(OR(N166="Roadmap - verbal only",N166="No roadmap",N166="Not asked yet",N166=""),Assumptions!$C$19,0)+IF(E166="Production",Assumptions!$C$20,0)+IF(AND(ISNUMBER(P166),N(P166)&gt;=Assumptions!$C$22),Assumptions!$C$21,0)))</f>
        <v/>
      </c>
      <c r="Y166" s="18" t="str">
        <f aca="false">IF(X166="","",IF(R166="No","None",IF(X166&gt;=Assumptions!$C$23,"High",IF(X166&gt;=Assumptions!$C$24,"Medium","Low"))))</f>
        <v/>
      </c>
      <c r="Z166" s="16"/>
      <c r="AA166" s="17"/>
      <c r="AB166" s="16"/>
      <c r="AC166" s="18" t="str">
        <f aca="true">IF(OR(AA166="",AB166="Hybrid deployed",AB166="PQC deployed",AB166="Not required (not vulnerable)",AB166="Risk accepted"),"",IF(AA166&lt;TODAY(),"OVERDUE",""))</f>
        <v/>
      </c>
      <c r="AD166" s="18" t="str">
        <f aca="true">IF(A166="","",IF(B166="","Name the system. ","")&amp;IF(LEFT(R166,7)="Unknown","Algorithm unknown - scan or ask the vendor. ","")&amp;IF(AND(R166&lt;&gt;"No",Assumptions!$C$6=""),"Set Z on Assumptions. ","")&amp;IF(AND(R166&lt;&gt;"No",OR(O166="",P166="")),"Enter X and Y. ","")&amp;IF(LEFT(T166,7)="AT RISK","Mosca: X+Y exceeds Z - migration should already be under way. ","")&amp;IF(AND(LEFT(U166,3)="Yes",OR(AB166="",AB166="Not started")),"Harvest-now-decrypt-later exposure and migration not started. ","")&amp;IF(AND(R166&lt;&gt;"No",OR(W166="",W166="To decide")),"Choose a target algorithm. ","")&amp;IF(AND(R166&lt;&gt;"No",W166="Keep - not quantum-vulnerable"),"Target 'Keep' conflicts with a quantum-vulnerable algorithm. ","")&amp;IF(LEFT(J166,5)="SHA-1","SHA-1 is deprecated - replace (NIST IR 8547). ","")&amp;IF(AND(R166&lt;&gt;"No",OR(N166="Roadmap - verbal only",N166="No roadmap",N166="Not asked yet")),"Get a written PQC roadmap from the vendor. ","")&amp;IF(AND(R166&lt;&gt;"No",N166=""),"Record the vendor PQC roadmap status. ","")&amp;IF(ISNUMBER(M166),IF(M166&lt;TODAY(),"Certificate or key expired. ",IF(M166-TODAY()&lt;=Assumptions!$C$25,"Expires soon - use the renewal to revisit the algorithm. ","")),"")&amp;IF(AC166="OVERDUE","Migration overdue. ","")&amp;IF(AND(R166&lt;&gt;"No",Z166=""),"Assign a migration owner. ",""))</f>
        <v/>
      </c>
    </row>
    <row r="167" customFormat="false" ht="15" hidden="false" customHeight="false" outlineLevel="0" collapsed="false">
      <c r="A167" s="16"/>
      <c r="B167" s="16"/>
      <c r="C167" s="16"/>
      <c r="D167" s="16"/>
      <c r="E167" s="16"/>
      <c r="F167" s="16"/>
      <c r="G167" s="16"/>
      <c r="H167" s="16"/>
      <c r="I167" s="16"/>
      <c r="J167" s="16"/>
      <c r="K167" s="16"/>
      <c r="L167" s="16"/>
      <c r="M167" s="17"/>
      <c r="N167" s="16"/>
      <c r="O167" s="16"/>
      <c r="P167" s="16"/>
      <c r="Q167" s="18" t="str">
        <f aca="false">IF(A167="","",IF(J167="","Unknown",IFERROR(INDEX('Algorithm Reference'!$C$6:$C$41,MATCH(J167,'Algorithm Reference'!$B$6:$B$41,0)),"Not in reference")))</f>
        <v/>
      </c>
      <c r="R167" s="18" t="str">
        <f aca="false">IF(A167="","",IF(J167="","Unknown - investigate",IFERROR(INDEX('Algorithm Reference'!$E$6:$E$41,MATCH(J167,'Algorithm Reference'!$B$6:$B$41,0)),"Unknown - investigate")))</f>
        <v/>
      </c>
      <c r="S167" s="18" t="str">
        <f aca="false">IF(OR(O167="",P167=""),"",O167+P167)</f>
        <v/>
      </c>
      <c r="T167" s="18" t="str">
        <f aca="false">IF(A167="","",IF(R167="No","N/A - not quantum-vulnerable",IF(OR(O167="",P167=""),"Enter X and Y",IF(Assumptions!$C$6="","Set Z on Assumptions",IF(O167+P167&gt;Assumptions!$C$6,"AT RISK (X+Y &gt; Z)","Within Z (X+Y &lt;= Z)")))))</f>
        <v/>
      </c>
      <c r="U167" s="18" t="str">
        <f aca="false">IF(A167="","",IF(AND(R167&lt;&gt;"No",OR(I167="Key establishment / encryption in transit",I167="Key wrapping / key transport",I167="Mixed or unknown",I167=""),OR(N(O167)&gt;0,G167="Confidential",G167="Restricted")),IF(F167="Yes","Yes - internet-facing","Yes"),"No"))</f>
        <v/>
      </c>
      <c r="V167" s="18" t="str">
        <f aca="false">IF(A167="","",IF(R167="No","Keep - not quantum-vulnerable (review key size)",IF(I167="Digital signature / authentication","ML-DSA-65 (FIPS 204); SLH-DSA (FIPS 205) if hash-based is preferred",IF(OR(I167="Key establishment / encryption in transit",I167="Key wrapping / key transport"),"ML-KEM-768 (FIPS 203); hybrid X25519MLKEM768 for TLS 1.3",IF(I167="Mixed or unknown","Both: ML-KEM (FIPS 203) for keys, ML-DSA (FIPS 204) for signatures","Pick the crypto function first")))))</f>
        <v/>
      </c>
      <c r="W167" s="16"/>
      <c r="X167" s="18" t="str">
        <f aca="false">IF(A167="","",IF(R167="No",0,IF(LEFT(T167,7)="AT RISK",Assumptions!$C$13,0)+IF(LEFT(U167,3)="Yes",Assumptions!$C$14,0)+IF(F167="Yes",Assumptions!$C$15,0)+IF(G167="Restricted",Assumptions!$C$16,IF(G167="Confidential",Assumptions!$C$17,IF(G167="Internal",Assumptions!$C$18,0)))+IF(OR(N167="Roadmap - verbal only",N167="No roadmap",N167="Not asked yet",N167=""),Assumptions!$C$19,0)+IF(E167="Production",Assumptions!$C$20,0)+IF(AND(ISNUMBER(P167),N(P167)&gt;=Assumptions!$C$22),Assumptions!$C$21,0)))</f>
        <v/>
      </c>
      <c r="Y167" s="18" t="str">
        <f aca="false">IF(X167="","",IF(R167="No","None",IF(X167&gt;=Assumptions!$C$23,"High",IF(X167&gt;=Assumptions!$C$24,"Medium","Low"))))</f>
        <v/>
      </c>
      <c r="Z167" s="16"/>
      <c r="AA167" s="17"/>
      <c r="AB167" s="16"/>
      <c r="AC167" s="18" t="str">
        <f aca="true">IF(OR(AA167="",AB167="Hybrid deployed",AB167="PQC deployed",AB167="Not required (not vulnerable)",AB167="Risk accepted"),"",IF(AA167&lt;TODAY(),"OVERDUE",""))</f>
        <v/>
      </c>
      <c r="AD167" s="18" t="str">
        <f aca="true">IF(A167="","",IF(B167="","Name the system. ","")&amp;IF(LEFT(R167,7)="Unknown","Algorithm unknown - scan or ask the vendor. ","")&amp;IF(AND(R167&lt;&gt;"No",Assumptions!$C$6=""),"Set Z on Assumptions. ","")&amp;IF(AND(R167&lt;&gt;"No",OR(O167="",P167="")),"Enter X and Y. ","")&amp;IF(LEFT(T167,7)="AT RISK","Mosca: X+Y exceeds Z - migration should already be under way. ","")&amp;IF(AND(LEFT(U167,3)="Yes",OR(AB167="",AB167="Not started")),"Harvest-now-decrypt-later exposure and migration not started. ","")&amp;IF(AND(R167&lt;&gt;"No",OR(W167="",W167="To decide")),"Choose a target algorithm. ","")&amp;IF(AND(R167&lt;&gt;"No",W167="Keep - not quantum-vulnerable"),"Target 'Keep' conflicts with a quantum-vulnerable algorithm. ","")&amp;IF(LEFT(J167,5)="SHA-1","SHA-1 is deprecated - replace (NIST IR 8547). ","")&amp;IF(AND(R167&lt;&gt;"No",OR(N167="Roadmap - verbal only",N167="No roadmap",N167="Not asked yet")),"Get a written PQC roadmap from the vendor. ","")&amp;IF(AND(R167&lt;&gt;"No",N167=""),"Record the vendor PQC roadmap status. ","")&amp;IF(ISNUMBER(M167),IF(M167&lt;TODAY(),"Certificate or key expired. ",IF(M167-TODAY()&lt;=Assumptions!$C$25,"Expires soon - use the renewal to revisit the algorithm. ","")),"")&amp;IF(AC167="OVERDUE","Migration overdue. ","")&amp;IF(AND(R167&lt;&gt;"No",Z167=""),"Assign a migration owner. ",""))</f>
        <v/>
      </c>
    </row>
    <row r="168" customFormat="false" ht="15" hidden="false" customHeight="false" outlineLevel="0" collapsed="false">
      <c r="A168" s="16"/>
      <c r="B168" s="16"/>
      <c r="C168" s="16"/>
      <c r="D168" s="16"/>
      <c r="E168" s="16"/>
      <c r="F168" s="16"/>
      <c r="G168" s="16"/>
      <c r="H168" s="16"/>
      <c r="I168" s="16"/>
      <c r="J168" s="16"/>
      <c r="K168" s="16"/>
      <c r="L168" s="16"/>
      <c r="M168" s="17"/>
      <c r="N168" s="16"/>
      <c r="O168" s="16"/>
      <c r="P168" s="16"/>
      <c r="Q168" s="18" t="str">
        <f aca="false">IF(A168="","",IF(J168="","Unknown",IFERROR(INDEX('Algorithm Reference'!$C$6:$C$41,MATCH(J168,'Algorithm Reference'!$B$6:$B$41,0)),"Not in reference")))</f>
        <v/>
      </c>
      <c r="R168" s="18" t="str">
        <f aca="false">IF(A168="","",IF(J168="","Unknown - investigate",IFERROR(INDEX('Algorithm Reference'!$E$6:$E$41,MATCH(J168,'Algorithm Reference'!$B$6:$B$41,0)),"Unknown - investigate")))</f>
        <v/>
      </c>
      <c r="S168" s="18" t="str">
        <f aca="false">IF(OR(O168="",P168=""),"",O168+P168)</f>
        <v/>
      </c>
      <c r="T168" s="18" t="str">
        <f aca="false">IF(A168="","",IF(R168="No","N/A - not quantum-vulnerable",IF(OR(O168="",P168=""),"Enter X and Y",IF(Assumptions!$C$6="","Set Z on Assumptions",IF(O168+P168&gt;Assumptions!$C$6,"AT RISK (X+Y &gt; Z)","Within Z (X+Y &lt;= Z)")))))</f>
        <v/>
      </c>
      <c r="U168" s="18" t="str">
        <f aca="false">IF(A168="","",IF(AND(R168&lt;&gt;"No",OR(I168="Key establishment / encryption in transit",I168="Key wrapping / key transport",I168="Mixed or unknown",I168=""),OR(N(O168)&gt;0,G168="Confidential",G168="Restricted")),IF(F168="Yes","Yes - internet-facing","Yes"),"No"))</f>
        <v/>
      </c>
      <c r="V168" s="18" t="str">
        <f aca="false">IF(A168="","",IF(R168="No","Keep - not quantum-vulnerable (review key size)",IF(I168="Digital signature / authentication","ML-DSA-65 (FIPS 204); SLH-DSA (FIPS 205) if hash-based is preferred",IF(OR(I168="Key establishment / encryption in transit",I168="Key wrapping / key transport"),"ML-KEM-768 (FIPS 203); hybrid X25519MLKEM768 for TLS 1.3",IF(I168="Mixed or unknown","Both: ML-KEM (FIPS 203) for keys, ML-DSA (FIPS 204) for signatures","Pick the crypto function first")))))</f>
        <v/>
      </c>
      <c r="W168" s="16"/>
      <c r="X168" s="18" t="str">
        <f aca="false">IF(A168="","",IF(R168="No",0,IF(LEFT(T168,7)="AT RISK",Assumptions!$C$13,0)+IF(LEFT(U168,3)="Yes",Assumptions!$C$14,0)+IF(F168="Yes",Assumptions!$C$15,0)+IF(G168="Restricted",Assumptions!$C$16,IF(G168="Confidential",Assumptions!$C$17,IF(G168="Internal",Assumptions!$C$18,0)))+IF(OR(N168="Roadmap - verbal only",N168="No roadmap",N168="Not asked yet",N168=""),Assumptions!$C$19,0)+IF(E168="Production",Assumptions!$C$20,0)+IF(AND(ISNUMBER(P168),N(P168)&gt;=Assumptions!$C$22),Assumptions!$C$21,0)))</f>
        <v/>
      </c>
      <c r="Y168" s="18" t="str">
        <f aca="false">IF(X168="","",IF(R168="No","None",IF(X168&gt;=Assumptions!$C$23,"High",IF(X168&gt;=Assumptions!$C$24,"Medium","Low"))))</f>
        <v/>
      </c>
      <c r="Z168" s="16"/>
      <c r="AA168" s="17"/>
      <c r="AB168" s="16"/>
      <c r="AC168" s="18" t="str">
        <f aca="true">IF(OR(AA168="",AB168="Hybrid deployed",AB168="PQC deployed",AB168="Not required (not vulnerable)",AB168="Risk accepted"),"",IF(AA168&lt;TODAY(),"OVERDUE",""))</f>
        <v/>
      </c>
      <c r="AD168" s="18" t="str">
        <f aca="true">IF(A168="","",IF(B168="","Name the system. ","")&amp;IF(LEFT(R168,7)="Unknown","Algorithm unknown - scan or ask the vendor. ","")&amp;IF(AND(R168&lt;&gt;"No",Assumptions!$C$6=""),"Set Z on Assumptions. ","")&amp;IF(AND(R168&lt;&gt;"No",OR(O168="",P168="")),"Enter X and Y. ","")&amp;IF(LEFT(T168,7)="AT RISK","Mosca: X+Y exceeds Z - migration should already be under way. ","")&amp;IF(AND(LEFT(U168,3)="Yes",OR(AB168="",AB168="Not started")),"Harvest-now-decrypt-later exposure and migration not started. ","")&amp;IF(AND(R168&lt;&gt;"No",OR(W168="",W168="To decide")),"Choose a target algorithm. ","")&amp;IF(AND(R168&lt;&gt;"No",W168="Keep - not quantum-vulnerable"),"Target 'Keep' conflicts with a quantum-vulnerable algorithm. ","")&amp;IF(LEFT(J168,5)="SHA-1","SHA-1 is deprecated - replace (NIST IR 8547). ","")&amp;IF(AND(R168&lt;&gt;"No",OR(N168="Roadmap - verbal only",N168="No roadmap",N168="Not asked yet")),"Get a written PQC roadmap from the vendor. ","")&amp;IF(AND(R168&lt;&gt;"No",N168=""),"Record the vendor PQC roadmap status. ","")&amp;IF(ISNUMBER(M168),IF(M168&lt;TODAY(),"Certificate or key expired. ",IF(M168-TODAY()&lt;=Assumptions!$C$25,"Expires soon - use the renewal to revisit the algorithm. ","")),"")&amp;IF(AC168="OVERDUE","Migration overdue. ","")&amp;IF(AND(R168&lt;&gt;"No",Z168=""),"Assign a migration owner. ",""))</f>
        <v/>
      </c>
    </row>
    <row r="169" customFormat="false" ht="15" hidden="false" customHeight="false" outlineLevel="0" collapsed="false">
      <c r="A169" s="16"/>
      <c r="B169" s="16"/>
      <c r="C169" s="16"/>
      <c r="D169" s="16"/>
      <c r="E169" s="16"/>
      <c r="F169" s="16"/>
      <c r="G169" s="16"/>
      <c r="H169" s="16"/>
      <c r="I169" s="16"/>
      <c r="J169" s="16"/>
      <c r="K169" s="16"/>
      <c r="L169" s="16"/>
      <c r="M169" s="17"/>
      <c r="N169" s="16"/>
      <c r="O169" s="16"/>
      <c r="P169" s="16"/>
      <c r="Q169" s="18" t="str">
        <f aca="false">IF(A169="","",IF(J169="","Unknown",IFERROR(INDEX('Algorithm Reference'!$C$6:$C$41,MATCH(J169,'Algorithm Reference'!$B$6:$B$41,0)),"Not in reference")))</f>
        <v/>
      </c>
      <c r="R169" s="18" t="str">
        <f aca="false">IF(A169="","",IF(J169="","Unknown - investigate",IFERROR(INDEX('Algorithm Reference'!$E$6:$E$41,MATCH(J169,'Algorithm Reference'!$B$6:$B$41,0)),"Unknown - investigate")))</f>
        <v/>
      </c>
      <c r="S169" s="18" t="str">
        <f aca="false">IF(OR(O169="",P169=""),"",O169+P169)</f>
        <v/>
      </c>
      <c r="T169" s="18" t="str">
        <f aca="false">IF(A169="","",IF(R169="No","N/A - not quantum-vulnerable",IF(OR(O169="",P169=""),"Enter X and Y",IF(Assumptions!$C$6="","Set Z on Assumptions",IF(O169+P169&gt;Assumptions!$C$6,"AT RISK (X+Y &gt; Z)","Within Z (X+Y &lt;= Z)")))))</f>
        <v/>
      </c>
      <c r="U169" s="18" t="str">
        <f aca="false">IF(A169="","",IF(AND(R169&lt;&gt;"No",OR(I169="Key establishment / encryption in transit",I169="Key wrapping / key transport",I169="Mixed or unknown",I169=""),OR(N(O169)&gt;0,G169="Confidential",G169="Restricted")),IF(F169="Yes","Yes - internet-facing","Yes"),"No"))</f>
        <v/>
      </c>
      <c r="V169" s="18" t="str">
        <f aca="false">IF(A169="","",IF(R169="No","Keep - not quantum-vulnerable (review key size)",IF(I169="Digital signature / authentication","ML-DSA-65 (FIPS 204); SLH-DSA (FIPS 205) if hash-based is preferred",IF(OR(I169="Key establishment / encryption in transit",I169="Key wrapping / key transport"),"ML-KEM-768 (FIPS 203); hybrid X25519MLKEM768 for TLS 1.3",IF(I169="Mixed or unknown","Both: ML-KEM (FIPS 203) for keys, ML-DSA (FIPS 204) for signatures","Pick the crypto function first")))))</f>
        <v/>
      </c>
      <c r="W169" s="16"/>
      <c r="X169" s="18" t="str">
        <f aca="false">IF(A169="","",IF(R169="No",0,IF(LEFT(T169,7)="AT RISK",Assumptions!$C$13,0)+IF(LEFT(U169,3)="Yes",Assumptions!$C$14,0)+IF(F169="Yes",Assumptions!$C$15,0)+IF(G169="Restricted",Assumptions!$C$16,IF(G169="Confidential",Assumptions!$C$17,IF(G169="Internal",Assumptions!$C$18,0)))+IF(OR(N169="Roadmap - verbal only",N169="No roadmap",N169="Not asked yet",N169=""),Assumptions!$C$19,0)+IF(E169="Production",Assumptions!$C$20,0)+IF(AND(ISNUMBER(P169),N(P169)&gt;=Assumptions!$C$22),Assumptions!$C$21,0)))</f>
        <v/>
      </c>
      <c r="Y169" s="18" t="str">
        <f aca="false">IF(X169="","",IF(R169="No","None",IF(X169&gt;=Assumptions!$C$23,"High",IF(X169&gt;=Assumptions!$C$24,"Medium","Low"))))</f>
        <v/>
      </c>
      <c r="Z169" s="16"/>
      <c r="AA169" s="17"/>
      <c r="AB169" s="16"/>
      <c r="AC169" s="18" t="str">
        <f aca="true">IF(OR(AA169="",AB169="Hybrid deployed",AB169="PQC deployed",AB169="Not required (not vulnerable)",AB169="Risk accepted"),"",IF(AA169&lt;TODAY(),"OVERDUE",""))</f>
        <v/>
      </c>
      <c r="AD169" s="18" t="str">
        <f aca="true">IF(A169="","",IF(B169="","Name the system. ","")&amp;IF(LEFT(R169,7)="Unknown","Algorithm unknown - scan or ask the vendor. ","")&amp;IF(AND(R169&lt;&gt;"No",Assumptions!$C$6=""),"Set Z on Assumptions. ","")&amp;IF(AND(R169&lt;&gt;"No",OR(O169="",P169="")),"Enter X and Y. ","")&amp;IF(LEFT(T169,7)="AT RISK","Mosca: X+Y exceeds Z - migration should already be under way. ","")&amp;IF(AND(LEFT(U169,3)="Yes",OR(AB169="",AB169="Not started")),"Harvest-now-decrypt-later exposure and migration not started. ","")&amp;IF(AND(R169&lt;&gt;"No",OR(W169="",W169="To decide")),"Choose a target algorithm. ","")&amp;IF(AND(R169&lt;&gt;"No",W169="Keep - not quantum-vulnerable"),"Target 'Keep' conflicts with a quantum-vulnerable algorithm. ","")&amp;IF(LEFT(J169,5)="SHA-1","SHA-1 is deprecated - replace (NIST IR 8547). ","")&amp;IF(AND(R169&lt;&gt;"No",OR(N169="Roadmap - verbal only",N169="No roadmap",N169="Not asked yet")),"Get a written PQC roadmap from the vendor. ","")&amp;IF(AND(R169&lt;&gt;"No",N169=""),"Record the vendor PQC roadmap status. ","")&amp;IF(ISNUMBER(M169),IF(M169&lt;TODAY(),"Certificate or key expired. ",IF(M169-TODAY()&lt;=Assumptions!$C$25,"Expires soon - use the renewal to revisit the algorithm. ","")),"")&amp;IF(AC169="OVERDUE","Migration overdue. ","")&amp;IF(AND(R169&lt;&gt;"No",Z169=""),"Assign a migration owner. ",""))</f>
        <v/>
      </c>
    </row>
    <row r="170" customFormat="false" ht="15" hidden="false" customHeight="false" outlineLevel="0" collapsed="false">
      <c r="A170" s="16"/>
      <c r="B170" s="16"/>
      <c r="C170" s="16"/>
      <c r="D170" s="16"/>
      <c r="E170" s="16"/>
      <c r="F170" s="16"/>
      <c r="G170" s="16"/>
      <c r="H170" s="16"/>
      <c r="I170" s="16"/>
      <c r="J170" s="16"/>
      <c r="K170" s="16"/>
      <c r="L170" s="16"/>
      <c r="M170" s="17"/>
      <c r="N170" s="16"/>
      <c r="O170" s="16"/>
      <c r="P170" s="16"/>
      <c r="Q170" s="18" t="str">
        <f aca="false">IF(A170="","",IF(J170="","Unknown",IFERROR(INDEX('Algorithm Reference'!$C$6:$C$41,MATCH(J170,'Algorithm Reference'!$B$6:$B$41,0)),"Not in reference")))</f>
        <v/>
      </c>
      <c r="R170" s="18" t="str">
        <f aca="false">IF(A170="","",IF(J170="","Unknown - investigate",IFERROR(INDEX('Algorithm Reference'!$E$6:$E$41,MATCH(J170,'Algorithm Reference'!$B$6:$B$41,0)),"Unknown - investigate")))</f>
        <v/>
      </c>
      <c r="S170" s="18" t="str">
        <f aca="false">IF(OR(O170="",P170=""),"",O170+P170)</f>
        <v/>
      </c>
      <c r="T170" s="18" t="str">
        <f aca="false">IF(A170="","",IF(R170="No","N/A - not quantum-vulnerable",IF(OR(O170="",P170=""),"Enter X and Y",IF(Assumptions!$C$6="","Set Z on Assumptions",IF(O170+P170&gt;Assumptions!$C$6,"AT RISK (X+Y &gt; Z)","Within Z (X+Y &lt;= Z)")))))</f>
        <v/>
      </c>
      <c r="U170" s="18" t="str">
        <f aca="false">IF(A170="","",IF(AND(R170&lt;&gt;"No",OR(I170="Key establishment / encryption in transit",I170="Key wrapping / key transport",I170="Mixed or unknown",I170=""),OR(N(O170)&gt;0,G170="Confidential",G170="Restricted")),IF(F170="Yes","Yes - internet-facing","Yes"),"No"))</f>
        <v/>
      </c>
      <c r="V170" s="18" t="str">
        <f aca="false">IF(A170="","",IF(R170="No","Keep - not quantum-vulnerable (review key size)",IF(I170="Digital signature / authentication","ML-DSA-65 (FIPS 204); SLH-DSA (FIPS 205) if hash-based is preferred",IF(OR(I170="Key establishment / encryption in transit",I170="Key wrapping / key transport"),"ML-KEM-768 (FIPS 203); hybrid X25519MLKEM768 for TLS 1.3",IF(I170="Mixed or unknown","Both: ML-KEM (FIPS 203) for keys, ML-DSA (FIPS 204) for signatures","Pick the crypto function first")))))</f>
        <v/>
      </c>
      <c r="W170" s="16"/>
      <c r="X170" s="18" t="str">
        <f aca="false">IF(A170="","",IF(R170="No",0,IF(LEFT(T170,7)="AT RISK",Assumptions!$C$13,0)+IF(LEFT(U170,3)="Yes",Assumptions!$C$14,0)+IF(F170="Yes",Assumptions!$C$15,0)+IF(G170="Restricted",Assumptions!$C$16,IF(G170="Confidential",Assumptions!$C$17,IF(G170="Internal",Assumptions!$C$18,0)))+IF(OR(N170="Roadmap - verbal only",N170="No roadmap",N170="Not asked yet",N170=""),Assumptions!$C$19,0)+IF(E170="Production",Assumptions!$C$20,0)+IF(AND(ISNUMBER(P170),N(P170)&gt;=Assumptions!$C$22),Assumptions!$C$21,0)))</f>
        <v/>
      </c>
      <c r="Y170" s="18" t="str">
        <f aca="false">IF(X170="","",IF(R170="No","None",IF(X170&gt;=Assumptions!$C$23,"High",IF(X170&gt;=Assumptions!$C$24,"Medium","Low"))))</f>
        <v/>
      </c>
      <c r="Z170" s="16"/>
      <c r="AA170" s="17"/>
      <c r="AB170" s="16"/>
      <c r="AC170" s="18" t="str">
        <f aca="true">IF(OR(AA170="",AB170="Hybrid deployed",AB170="PQC deployed",AB170="Not required (not vulnerable)",AB170="Risk accepted"),"",IF(AA170&lt;TODAY(),"OVERDUE",""))</f>
        <v/>
      </c>
      <c r="AD170" s="18" t="str">
        <f aca="true">IF(A170="","",IF(B170="","Name the system. ","")&amp;IF(LEFT(R170,7)="Unknown","Algorithm unknown - scan or ask the vendor. ","")&amp;IF(AND(R170&lt;&gt;"No",Assumptions!$C$6=""),"Set Z on Assumptions. ","")&amp;IF(AND(R170&lt;&gt;"No",OR(O170="",P170="")),"Enter X and Y. ","")&amp;IF(LEFT(T170,7)="AT RISK","Mosca: X+Y exceeds Z - migration should already be under way. ","")&amp;IF(AND(LEFT(U170,3)="Yes",OR(AB170="",AB170="Not started")),"Harvest-now-decrypt-later exposure and migration not started. ","")&amp;IF(AND(R170&lt;&gt;"No",OR(W170="",W170="To decide")),"Choose a target algorithm. ","")&amp;IF(AND(R170&lt;&gt;"No",W170="Keep - not quantum-vulnerable"),"Target 'Keep' conflicts with a quantum-vulnerable algorithm. ","")&amp;IF(LEFT(J170,5)="SHA-1","SHA-1 is deprecated - replace (NIST IR 8547). ","")&amp;IF(AND(R170&lt;&gt;"No",OR(N170="Roadmap - verbal only",N170="No roadmap",N170="Not asked yet")),"Get a written PQC roadmap from the vendor. ","")&amp;IF(AND(R170&lt;&gt;"No",N170=""),"Record the vendor PQC roadmap status. ","")&amp;IF(ISNUMBER(M170),IF(M170&lt;TODAY(),"Certificate or key expired. ",IF(M170-TODAY()&lt;=Assumptions!$C$25,"Expires soon - use the renewal to revisit the algorithm. ","")),"")&amp;IF(AC170="OVERDUE","Migration overdue. ","")&amp;IF(AND(R170&lt;&gt;"No",Z170=""),"Assign a migration owner. ",""))</f>
        <v/>
      </c>
    </row>
    <row r="171" customFormat="false" ht="15" hidden="false" customHeight="false" outlineLevel="0" collapsed="false">
      <c r="A171" s="16"/>
      <c r="B171" s="16"/>
      <c r="C171" s="16"/>
      <c r="D171" s="16"/>
      <c r="E171" s="16"/>
      <c r="F171" s="16"/>
      <c r="G171" s="16"/>
      <c r="H171" s="16"/>
      <c r="I171" s="16"/>
      <c r="J171" s="16"/>
      <c r="K171" s="16"/>
      <c r="L171" s="16"/>
      <c r="M171" s="17"/>
      <c r="N171" s="16"/>
      <c r="O171" s="16"/>
      <c r="P171" s="16"/>
      <c r="Q171" s="18" t="str">
        <f aca="false">IF(A171="","",IF(J171="","Unknown",IFERROR(INDEX('Algorithm Reference'!$C$6:$C$41,MATCH(J171,'Algorithm Reference'!$B$6:$B$41,0)),"Not in reference")))</f>
        <v/>
      </c>
      <c r="R171" s="18" t="str">
        <f aca="false">IF(A171="","",IF(J171="","Unknown - investigate",IFERROR(INDEX('Algorithm Reference'!$E$6:$E$41,MATCH(J171,'Algorithm Reference'!$B$6:$B$41,0)),"Unknown - investigate")))</f>
        <v/>
      </c>
      <c r="S171" s="18" t="str">
        <f aca="false">IF(OR(O171="",P171=""),"",O171+P171)</f>
        <v/>
      </c>
      <c r="T171" s="18" t="str">
        <f aca="false">IF(A171="","",IF(R171="No","N/A - not quantum-vulnerable",IF(OR(O171="",P171=""),"Enter X and Y",IF(Assumptions!$C$6="","Set Z on Assumptions",IF(O171+P171&gt;Assumptions!$C$6,"AT RISK (X+Y &gt; Z)","Within Z (X+Y &lt;= Z)")))))</f>
        <v/>
      </c>
      <c r="U171" s="18" t="str">
        <f aca="false">IF(A171="","",IF(AND(R171&lt;&gt;"No",OR(I171="Key establishment / encryption in transit",I171="Key wrapping / key transport",I171="Mixed or unknown",I171=""),OR(N(O171)&gt;0,G171="Confidential",G171="Restricted")),IF(F171="Yes","Yes - internet-facing","Yes"),"No"))</f>
        <v/>
      </c>
      <c r="V171" s="18" t="str">
        <f aca="false">IF(A171="","",IF(R171="No","Keep - not quantum-vulnerable (review key size)",IF(I171="Digital signature / authentication","ML-DSA-65 (FIPS 204); SLH-DSA (FIPS 205) if hash-based is preferred",IF(OR(I171="Key establishment / encryption in transit",I171="Key wrapping / key transport"),"ML-KEM-768 (FIPS 203); hybrid X25519MLKEM768 for TLS 1.3",IF(I171="Mixed or unknown","Both: ML-KEM (FIPS 203) for keys, ML-DSA (FIPS 204) for signatures","Pick the crypto function first")))))</f>
        <v/>
      </c>
      <c r="W171" s="16"/>
      <c r="X171" s="18" t="str">
        <f aca="false">IF(A171="","",IF(R171="No",0,IF(LEFT(T171,7)="AT RISK",Assumptions!$C$13,0)+IF(LEFT(U171,3)="Yes",Assumptions!$C$14,0)+IF(F171="Yes",Assumptions!$C$15,0)+IF(G171="Restricted",Assumptions!$C$16,IF(G171="Confidential",Assumptions!$C$17,IF(G171="Internal",Assumptions!$C$18,0)))+IF(OR(N171="Roadmap - verbal only",N171="No roadmap",N171="Not asked yet",N171=""),Assumptions!$C$19,0)+IF(E171="Production",Assumptions!$C$20,0)+IF(AND(ISNUMBER(P171),N(P171)&gt;=Assumptions!$C$22),Assumptions!$C$21,0)))</f>
        <v/>
      </c>
      <c r="Y171" s="18" t="str">
        <f aca="false">IF(X171="","",IF(R171="No","None",IF(X171&gt;=Assumptions!$C$23,"High",IF(X171&gt;=Assumptions!$C$24,"Medium","Low"))))</f>
        <v/>
      </c>
      <c r="Z171" s="16"/>
      <c r="AA171" s="17"/>
      <c r="AB171" s="16"/>
      <c r="AC171" s="18" t="str">
        <f aca="true">IF(OR(AA171="",AB171="Hybrid deployed",AB171="PQC deployed",AB171="Not required (not vulnerable)",AB171="Risk accepted"),"",IF(AA171&lt;TODAY(),"OVERDUE",""))</f>
        <v/>
      </c>
      <c r="AD171" s="18" t="str">
        <f aca="true">IF(A171="","",IF(B171="","Name the system. ","")&amp;IF(LEFT(R171,7)="Unknown","Algorithm unknown - scan or ask the vendor. ","")&amp;IF(AND(R171&lt;&gt;"No",Assumptions!$C$6=""),"Set Z on Assumptions. ","")&amp;IF(AND(R171&lt;&gt;"No",OR(O171="",P171="")),"Enter X and Y. ","")&amp;IF(LEFT(T171,7)="AT RISK","Mosca: X+Y exceeds Z - migration should already be under way. ","")&amp;IF(AND(LEFT(U171,3)="Yes",OR(AB171="",AB171="Not started")),"Harvest-now-decrypt-later exposure and migration not started. ","")&amp;IF(AND(R171&lt;&gt;"No",OR(W171="",W171="To decide")),"Choose a target algorithm. ","")&amp;IF(AND(R171&lt;&gt;"No",W171="Keep - not quantum-vulnerable"),"Target 'Keep' conflicts with a quantum-vulnerable algorithm. ","")&amp;IF(LEFT(J171,5)="SHA-1","SHA-1 is deprecated - replace (NIST IR 8547). ","")&amp;IF(AND(R171&lt;&gt;"No",OR(N171="Roadmap - verbal only",N171="No roadmap",N171="Not asked yet")),"Get a written PQC roadmap from the vendor. ","")&amp;IF(AND(R171&lt;&gt;"No",N171=""),"Record the vendor PQC roadmap status. ","")&amp;IF(ISNUMBER(M171),IF(M171&lt;TODAY(),"Certificate or key expired. ",IF(M171-TODAY()&lt;=Assumptions!$C$25,"Expires soon - use the renewal to revisit the algorithm. ","")),"")&amp;IF(AC171="OVERDUE","Migration overdue. ","")&amp;IF(AND(R171&lt;&gt;"No",Z171=""),"Assign a migration owner. ",""))</f>
        <v/>
      </c>
    </row>
    <row r="172" customFormat="false" ht="15" hidden="false" customHeight="false" outlineLevel="0" collapsed="false">
      <c r="A172" s="16"/>
      <c r="B172" s="16"/>
      <c r="C172" s="16"/>
      <c r="D172" s="16"/>
      <c r="E172" s="16"/>
      <c r="F172" s="16"/>
      <c r="G172" s="16"/>
      <c r="H172" s="16"/>
      <c r="I172" s="16"/>
      <c r="J172" s="16"/>
      <c r="K172" s="16"/>
      <c r="L172" s="16"/>
      <c r="M172" s="17"/>
      <c r="N172" s="16"/>
      <c r="O172" s="16"/>
      <c r="P172" s="16"/>
      <c r="Q172" s="18" t="str">
        <f aca="false">IF(A172="","",IF(J172="","Unknown",IFERROR(INDEX('Algorithm Reference'!$C$6:$C$41,MATCH(J172,'Algorithm Reference'!$B$6:$B$41,0)),"Not in reference")))</f>
        <v/>
      </c>
      <c r="R172" s="18" t="str">
        <f aca="false">IF(A172="","",IF(J172="","Unknown - investigate",IFERROR(INDEX('Algorithm Reference'!$E$6:$E$41,MATCH(J172,'Algorithm Reference'!$B$6:$B$41,0)),"Unknown - investigate")))</f>
        <v/>
      </c>
      <c r="S172" s="18" t="str">
        <f aca="false">IF(OR(O172="",P172=""),"",O172+P172)</f>
        <v/>
      </c>
      <c r="T172" s="18" t="str">
        <f aca="false">IF(A172="","",IF(R172="No","N/A - not quantum-vulnerable",IF(OR(O172="",P172=""),"Enter X and Y",IF(Assumptions!$C$6="","Set Z on Assumptions",IF(O172+P172&gt;Assumptions!$C$6,"AT RISK (X+Y &gt; Z)","Within Z (X+Y &lt;= Z)")))))</f>
        <v/>
      </c>
      <c r="U172" s="18" t="str">
        <f aca="false">IF(A172="","",IF(AND(R172&lt;&gt;"No",OR(I172="Key establishment / encryption in transit",I172="Key wrapping / key transport",I172="Mixed or unknown",I172=""),OR(N(O172)&gt;0,G172="Confidential",G172="Restricted")),IF(F172="Yes","Yes - internet-facing","Yes"),"No"))</f>
        <v/>
      </c>
      <c r="V172" s="18" t="str">
        <f aca="false">IF(A172="","",IF(R172="No","Keep - not quantum-vulnerable (review key size)",IF(I172="Digital signature / authentication","ML-DSA-65 (FIPS 204); SLH-DSA (FIPS 205) if hash-based is preferred",IF(OR(I172="Key establishment / encryption in transit",I172="Key wrapping / key transport"),"ML-KEM-768 (FIPS 203); hybrid X25519MLKEM768 for TLS 1.3",IF(I172="Mixed or unknown","Both: ML-KEM (FIPS 203) for keys, ML-DSA (FIPS 204) for signatures","Pick the crypto function first")))))</f>
        <v/>
      </c>
      <c r="W172" s="16"/>
      <c r="X172" s="18" t="str">
        <f aca="false">IF(A172="","",IF(R172="No",0,IF(LEFT(T172,7)="AT RISK",Assumptions!$C$13,0)+IF(LEFT(U172,3)="Yes",Assumptions!$C$14,0)+IF(F172="Yes",Assumptions!$C$15,0)+IF(G172="Restricted",Assumptions!$C$16,IF(G172="Confidential",Assumptions!$C$17,IF(G172="Internal",Assumptions!$C$18,0)))+IF(OR(N172="Roadmap - verbal only",N172="No roadmap",N172="Not asked yet",N172=""),Assumptions!$C$19,0)+IF(E172="Production",Assumptions!$C$20,0)+IF(AND(ISNUMBER(P172),N(P172)&gt;=Assumptions!$C$22),Assumptions!$C$21,0)))</f>
        <v/>
      </c>
      <c r="Y172" s="18" t="str">
        <f aca="false">IF(X172="","",IF(R172="No","None",IF(X172&gt;=Assumptions!$C$23,"High",IF(X172&gt;=Assumptions!$C$24,"Medium","Low"))))</f>
        <v/>
      </c>
      <c r="Z172" s="16"/>
      <c r="AA172" s="17"/>
      <c r="AB172" s="16"/>
      <c r="AC172" s="18" t="str">
        <f aca="true">IF(OR(AA172="",AB172="Hybrid deployed",AB172="PQC deployed",AB172="Not required (not vulnerable)",AB172="Risk accepted"),"",IF(AA172&lt;TODAY(),"OVERDUE",""))</f>
        <v/>
      </c>
      <c r="AD172" s="18" t="str">
        <f aca="true">IF(A172="","",IF(B172="","Name the system. ","")&amp;IF(LEFT(R172,7)="Unknown","Algorithm unknown - scan or ask the vendor. ","")&amp;IF(AND(R172&lt;&gt;"No",Assumptions!$C$6=""),"Set Z on Assumptions. ","")&amp;IF(AND(R172&lt;&gt;"No",OR(O172="",P172="")),"Enter X and Y. ","")&amp;IF(LEFT(T172,7)="AT RISK","Mosca: X+Y exceeds Z - migration should already be under way. ","")&amp;IF(AND(LEFT(U172,3)="Yes",OR(AB172="",AB172="Not started")),"Harvest-now-decrypt-later exposure and migration not started. ","")&amp;IF(AND(R172&lt;&gt;"No",OR(W172="",W172="To decide")),"Choose a target algorithm. ","")&amp;IF(AND(R172&lt;&gt;"No",W172="Keep - not quantum-vulnerable"),"Target 'Keep' conflicts with a quantum-vulnerable algorithm. ","")&amp;IF(LEFT(J172,5)="SHA-1","SHA-1 is deprecated - replace (NIST IR 8547). ","")&amp;IF(AND(R172&lt;&gt;"No",OR(N172="Roadmap - verbal only",N172="No roadmap",N172="Not asked yet")),"Get a written PQC roadmap from the vendor. ","")&amp;IF(AND(R172&lt;&gt;"No",N172=""),"Record the vendor PQC roadmap status. ","")&amp;IF(ISNUMBER(M172),IF(M172&lt;TODAY(),"Certificate or key expired. ",IF(M172-TODAY()&lt;=Assumptions!$C$25,"Expires soon - use the renewal to revisit the algorithm. ","")),"")&amp;IF(AC172="OVERDUE","Migration overdue. ","")&amp;IF(AND(R172&lt;&gt;"No",Z172=""),"Assign a migration owner. ",""))</f>
        <v/>
      </c>
    </row>
    <row r="173" customFormat="false" ht="15" hidden="false" customHeight="false" outlineLevel="0" collapsed="false">
      <c r="A173" s="16"/>
      <c r="B173" s="16"/>
      <c r="C173" s="16"/>
      <c r="D173" s="16"/>
      <c r="E173" s="16"/>
      <c r="F173" s="16"/>
      <c r="G173" s="16"/>
      <c r="H173" s="16"/>
      <c r="I173" s="16"/>
      <c r="J173" s="16"/>
      <c r="K173" s="16"/>
      <c r="L173" s="16"/>
      <c r="M173" s="17"/>
      <c r="N173" s="16"/>
      <c r="O173" s="16"/>
      <c r="P173" s="16"/>
      <c r="Q173" s="18" t="str">
        <f aca="false">IF(A173="","",IF(J173="","Unknown",IFERROR(INDEX('Algorithm Reference'!$C$6:$C$41,MATCH(J173,'Algorithm Reference'!$B$6:$B$41,0)),"Not in reference")))</f>
        <v/>
      </c>
      <c r="R173" s="18" t="str">
        <f aca="false">IF(A173="","",IF(J173="","Unknown - investigate",IFERROR(INDEX('Algorithm Reference'!$E$6:$E$41,MATCH(J173,'Algorithm Reference'!$B$6:$B$41,0)),"Unknown - investigate")))</f>
        <v/>
      </c>
      <c r="S173" s="18" t="str">
        <f aca="false">IF(OR(O173="",P173=""),"",O173+P173)</f>
        <v/>
      </c>
      <c r="T173" s="18" t="str">
        <f aca="false">IF(A173="","",IF(R173="No","N/A - not quantum-vulnerable",IF(OR(O173="",P173=""),"Enter X and Y",IF(Assumptions!$C$6="","Set Z on Assumptions",IF(O173+P173&gt;Assumptions!$C$6,"AT RISK (X+Y &gt; Z)","Within Z (X+Y &lt;= Z)")))))</f>
        <v/>
      </c>
      <c r="U173" s="18" t="str">
        <f aca="false">IF(A173="","",IF(AND(R173&lt;&gt;"No",OR(I173="Key establishment / encryption in transit",I173="Key wrapping / key transport",I173="Mixed or unknown",I173=""),OR(N(O173)&gt;0,G173="Confidential",G173="Restricted")),IF(F173="Yes","Yes - internet-facing","Yes"),"No"))</f>
        <v/>
      </c>
      <c r="V173" s="18" t="str">
        <f aca="false">IF(A173="","",IF(R173="No","Keep - not quantum-vulnerable (review key size)",IF(I173="Digital signature / authentication","ML-DSA-65 (FIPS 204); SLH-DSA (FIPS 205) if hash-based is preferred",IF(OR(I173="Key establishment / encryption in transit",I173="Key wrapping / key transport"),"ML-KEM-768 (FIPS 203); hybrid X25519MLKEM768 for TLS 1.3",IF(I173="Mixed or unknown","Both: ML-KEM (FIPS 203) for keys, ML-DSA (FIPS 204) for signatures","Pick the crypto function first")))))</f>
        <v/>
      </c>
      <c r="W173" s="16"/>
      <c r="X173" s="18" t="str">
        <f aca="false">IF(A173="","",IF(R173="No",0,IF(LEFT(T173,7)="AT RISK",Assumptions!$C$13,0)+IF(LEFT(U173,3)="Yes",Assumptions!$C$14,0)+IF(F173="Yes",Assumptions!$C$15,0)+IF(G173="Restricted",Assumptions!$C$16,IF(G173="Confidential",Assumptions!$C$17,IF(G173="Internal",Assumptions!$C$18,0)))+IF(OR(N173="Roadmap - verbal only",N173="No roadmap",N173="Not asked yet",N173=""),Assumptions!$C$19,0)+IF(E173="Production",Assumptions!$C$20,0)+IF(AND(ISNUMBER(P173),N(P173)&gt;=Assumptions!$C$22),Assumptions!$C$21,0)))</f>
        <v/>
      </c>
      <c r="Y173" s="18" t="str">
        <f aca="false">IF(X173="","",IF(R173="No","None",IF(X173&gt;=Assumptions!$C$23,"High",IF(X173&gt;=Assumptions!$C$24,"Medium","Low"))))</f>
        <v/>
      </c>
      <c r="Z173" s="16"/>
      <c r="AA173" s="17"/>
      <c r="AB173" s="16"/>
      <c r="AC173" s="18" t="str">
        <f aca="true">IF(OR(AA173="",AB173="Hybrid deployed",AB173="PQC deployed",AB173="Not required (not vulnerable)",AB173="Risk accepted"),"",IF(AA173&lt;TODAY(),"OVERDUE",""))</f>
        <v/>
      </c>
      <c r="AD173" s="18" t="str">
        <f aca="true">IF(A173="","",IF(B173="","Name the system. ","")&amp;IF(LEFT(R173,7)="Unknown","Algorithm unknown - scan or ask the vendor. ","")&amp;IF(AND(R173&lt;&gt;"No",Assumptions!$C$6=""),"Set Z on Assumptions. ","")&amp;IF(AND(R173&lt;&gt;"No",OR(O173="",P173="")),"Enter X and Y. ","")&amp;IF(LEFT(T173,7)="AT RISK","Mosca: X+Y exceeds Z - migration should already be under way. ","")&amp;IF(AND(LEFT(U173,3)="Yes",OR(AB173="",AB173="Not started")),"Harvest-now-decrypt-later exposure and migration not started. ","")&amp;IF(AND(R173&lt;&gt;"No",OR(W173="",W173="To decide")),"Choose a target algorithm. ","")&amp;IF(AND(R173&lt;&gt;"No",W173="Keep - not quantum-vulnerable"),"Target 'Keep' conflicts with a quantum-vulnerable algorithm. ","")&amp;IF(LEFT(J173,5)="SHA-1","SHA-1 is deprecated - replace (NIST IR 8547). ","")&amp;IF(AND(R173&lt;&gt;"No",OR(N173="Roadmap - verbal only",N173="No roadmap",N173="Not asked yet")),"Get a written PQC roadmap from the vendor. ","")&amp;IF(AND(R173&lt;&gt;"No",N173=""),"Record the vendor PQC roadmap status. ","")&amp;IF(ISNUMBER(M173),IF(M173&lt;TODAY(),"Certificate or key expired. ",IF(M173-TODAY()&lt;=Assumptions!$C$25,"Expires soon - use the renewal to revisit the algorithm. ","")),"")&amp;IF(AC173="OVERDUE","Migration overdue. ","")&amp;IF(AND(R173&lt;&gt;"No",Z173=""),"Assign a migration owner. ",""))</f>
        <v/>
      </c>
    </row>
    <row r="174" customFormat="false" ht="15" hidden="false" customHeight="false" outlineLevel="0" collapsed="false">
      <c r="A174" s="16"/>
      <c r="B174" s="16"/>
      <c r="C174" s="16"/>
      <c r="D174" s="16"/>
      <c r="E174" s="16"/>
      <c r="F174" s="16"/>
      <c r="G174" s="16"/>
      <c r="H174" s="16"/>
      <c r="I174" s="16"/>
      <c r="J174" s="16"/>
      <c r="K174" s="16"/>
      <c r="L174" s="16"/>
      <c r="M174" s="17"/>
      <c r="N174" s="16"/>
      <c r="O174" s="16"/>
      <c r="P174" s="16"/>
      <c r="Q174" s="18" t="str">
        <f aca="false">IF(A174="","",IF(J174="","Unknown",IFERROR(INDEX('Algorithm Reference'!$C$6:$C$41,MATCH(J174,'Algorithm Reference'!$B$6:$B$41,0)),"Not in reference")))</f>
        <v/>
      </c>
      <c r="R174" s="18" t="str">
        <f aca="false">IF(A174="","",IF(J174="","Unknown - investigate",IFERROR(INDEX('Algorithm Reference'!$E$6:$E$41,MATCH(J174,'Algorithm Reference'!$B$6:$B$41,0)),"Unknown - investigate")))</f>
        <v/>
      </c>
      <c r="S174" s="18" t="str">
        <f aca="false">IF(OR(O174="",P174=""),"",O174+P174)</f>
        <v/>
      </c>
      <c r="T174" s="18" t="str">
        <f aca="false">IF(A174="","",IF(R174="No","N/A - not quantum-vulnerable",IF(OR(O174="",P174=""),"Enter X and Y",IF(Assumptions!$C$6="","Set Z on Assumptions",IF(O174+P174&gt;Assumptions!$C$6,"AT RISK (X+Y &gt; Z)","Within Z (X+Y &lt;= Z)")))))</f>
        <v/>
      </c>
      <c r="U174" s="18" t="str">
        <f aca="false">IF(A174="","",IF(AND(R174&lt;&gt;"No",OR(I174="Key establishment / encryption in transit",I174="Key wrapping / key transport",I174="Mixed or unknown",I174=""),OR(N(O174)&gt;0,G174="Confidential",G174="Restricted")),IF(F174="Yes","Yes - internet-facing","Yes"),"No"))</f>
        <v/>
      </c>
      <c r="V174" s="18" t="str">
        <f aca="false">IF(A174="","",IF(R174="No","Keep - not quantum-vulnerable (review key size)",IF(I174="Digital signature / authentication","ML-DSA-65 (FIPS 204); SLH-DSA (FIPS 205) if hash-based is preferred",IF(OR(I174="Key establishment / encryption in transit",I174="Key wrapping / key transport"),"ML-KEM-768 (FIPS 203); hybrid X25519MLKEM768 for TLS 1.3",IF(I174="Mixed or unknown","Both: ML-KEM (FIPS 203) for keys, ML-DSA (FIPS 204) for signatures","Pick the crypto function first")))))</f>
        <v/>
      </c>
      <c r="W174" s="16"/>
      <c r="X174" s="18" t="str">
        <f aca="false">IF(A174="","",IF(R174="No",0,IF(LEFT(T174,7)="AT RISK",Assumptions!$C$13,0)+IF(LEFT(U174,3)="Yes",Assumptions!$C$14,0)+IF(F174="Yes",Assumptions!$C$15,0)+IF(G174="Restricted",Assumptions!$C$16,IF(G174="Confidential",Assumptions!$C$17,IF(G174="Internal",Assumptions!$C$18,0)))+IF(OR(N174="Roadmap - verbal only",N174="No roadmap",N174="Not asked yet",N174=""),Assumptions!$C$19,0)+IF(E174="Production",Assumptions!$C$20,0)+IF(AND(ISNUMBER(P174),N(P174)&gt;=Assumptions!$C$22),Assumptions!$C$21,0)))</f>
        <v/>
      </c>
      <c r="Y174" s="18" t="str">
        <f aca="false">IF(X174="","",IF(R174="No","None",IF(X174&gt;=Assumptions!$C$23,"High",IF(X174&gt;=Assumptions!$C$24,"Medium","Low"))))</f>
        <v/>
      </c>
      <c r="Z174" s="16"/>
      <c r="AA174" s="17"/>
      <c r="AB174" s="16"/>
      <c r="AC174" s="18" t="str">
        <f aca="true">IF(OR(AA174="",AB174="Hybrid deployed",AB174="PQC deployed",AB174="Not required (not vulnerable)",AB174="Risk accepted"),"",IF(AA174&lt;TODAY(),"OVERDUE",""))</f>
        <v/>
      </c>
      <c r="AD174" s="18" t="str">
        <f aca="true">IF(A174="","",IF(B174="","Name the system. ","")&amp;IF(LEFT(R174,7)="Unknown","Algorithm unknown - scan or ask the vendor. ","")&amp;IF(AND(R174&lt;&gt;"No",Assumptions!$C$6=""),"Set Z on Assumptions. ","")&amp;IF(AND(R174&lt;&gt;"No",OR(O174="",P174="")),"Enter X and Y. ","")&amp;IF(LEFT(T174,7)="AT RISK","Mosca: X+Y exceeds Z - migration should already be under way. ","")&amp;IF(AND(LEFT(U174,3)="Yes",OR(AB174="",AB174="Not started")),"Harvest-now-decrypt-later exposure and migration not started. ","")&amp;IF(AND(R174&lt;&gt;"No",OR(W174="",W174="To decide")),"Choose a target algorithm. ","")&amp;IF(AND(R174&lt;&gt;"No",W174="Keep - not quantum-vulnerable"),"Target 'Keep' conflicts with a quantum-vulnerable algorithm. ","")&amp;IF(LEFT(J174,5)="SHA-1","SHA-1 is deprecated - replace (NIST IR 8547). ","")&amp;IF(AND(R174&lt;&gt;"No",OR(N174="Roadmap - verbal only",N174="No roadmap",N174="Not asked yet")),"Get a written PQC roadmap from the vendor. ","")&amp;IF(AND(R174&lt;&gt;"No",N174=""),"Record the vendor PQC roadmap status. ","")&amp;IF(ISNUMBER(M174),IF(M174&lt;TODAY(),"Certificate or key expired. ",IF(M174-TODAY()&lt;=Assumptions!$C$25,"Expires soon - use the renewal to revisit the algorithm. ","")),"")&amp;IF(AC174="OVERDUE","Migration overdue. ","")&amp;IF(AND(R174&lt;&gt;"No",Z174=""),"Assign a migration owner. ",""))</f>
        <v/>
      </c>
    </row>
    <row r="175" customFormat="false" ht="15" hidden="false" customHeight="false" outlineLevel="0" collapsed="false">
      <c r="A175" s="16"/>
      <c r="B175" s="16"/>
      <c r="C175" s="16"/>
      <c r="D175" s="16"/>
      <c r="E175" s="16"/>
      <c r="F175" s="16"/>
      <c r="G175" s="16"/>
      <c r="H175" s="16"/>
      <c r="I175" s="16"/>
      <c r="J175" s="16"/>
      <c r="K175" s="16"/>
      <c r="L175" s="16"/>
      <c r="M175" s="17"/>
      <c r="N175" s="16"/>
      <c r="O175" s="16"/>
      <c r="P175" s="16"/>
      <c r="Q175" s="18" t="str">
        <f aca="false">IF(A175="","",IF(J175="","Unknown",IFERROR(INDEX('Algorithm Reference'!$C$6:$C$41,MATCH(J175,'Algorithm Reference'!$B$6:$B$41,0)),"Not in reference")))</f>
        <v/>
      </c>
      <c r="R175" s="18" t="str">
        <f aca="false">IF(A175="","",IF(J175="","Unknown - investigate",IFERROR(INDEX('Algorithm Reference'!$E$6:$E$41,MATCH(J175,'Algorithm Reference'!$B$6:$B$41,0)),"Unknown - investigate")))</f>
        <v/>
      </c>
      <c r="S175" s="18" t="str">
        <f aca="false">IF(OR(O175="",P175=""),"",O175+P175)</f>
        <v/>
      </c>
      <c r="T175" s="18" t="str">
        <f aca="false">IF(A175="","",IF(R175="No","N/A - not quantum-vulnerable",IF(OR(O175="",P175=""),"Enter X and Y",IF(Assumptions!$C$6="","Set Z on Assumptions",IF(O175+P175&gt;Assumptions!$C$6,"AT RISK (X+Y &gt; Z)","Within Z (X+Y &lt;= Z)")))))</f>
        <v/>
      </c>
      <c r="U175" s="18" t="str">
        <f aca="false">IF(A175="","",IF(AND(R175&lt;&gt;"No",OR(I175="Key establishment / encryption in transit",I175="Key wrapping / key transport",I175="Mixed or unknown",I175=""),OR(N(O175)&gt;0,G175="Confidential",G175="Restricted")),IF(F175="Yes","Yes - internet-facing","Yes"),"No"))</f>
        <v/>
      </c>
      <c r="V175" s="18" t="str">
        <f aca="false">IF(A175="","",IF(R175="No","Keep - not quantum-vulnerable (review key size)",IF(I175="Digital signature / authentication","ML-DSA-65 (FIPS 204); SLH-DSA (FIPS 205) if hash-based is preferred",IF(OR(I175="Key establishment / encryption in transit",I175="Key wrapping / key transport"),"ML-KEM-768 (FIPS 203); hybrid X25519MLKEM768 for TLS 1.3",IF(I175="Mixed or unknown","Both: ML-KEM (FIPS 203) for keys, ML-DSA (FIPS 204) for signatures","Pick the crypto function first")))))</f>
        <v/>
      </c>
      <c r="W175" s="16"/>
      <c r="X175" s="18" t="str">
        <f aca="false">IF(A175="","",IF(R175="No",0,IF(LEFT(T175,7)="AT RISK",Assumptions!$C$13,0)+IF(LEFT(U175,3)="Yes",Assumptions!$C$14,0)+IF(F175="Yes",Assumptions!$C$15,0)+IF(G175="Restricted",Assumptions!$C$16,IF(G175="Confidential",Assumptions!$C$17,IF(G175="Internal",Assumptions!$C$18,0)))+IF(OR(N175="Roadmap - verbal only",N175="No roadmap",N175="Not asked yet",N175=""),Assumptions!$C$19,0)+IF(E175="Production",Assumptions!$C$20,0)+IF(AND(ISNUMBER(P175),N(P175)&gt;=Assumptions!$C$22),Assumptions!$C$21,0)))</f>
        <v/>
      </c>
      <c r="Y175" s="18" t="str">
        <f aca="false">IF(X175="","",IF(R175="No","None",IF(X175&gt;=Assumptions!$C$23,"High",IF(X175&gt;=Assumptions!$C$24,"Medium","Low"))))</f>
        <v/>
      </c>
      <c r="Z175" s="16"/>
      <c r="AA175" s="17"/>
      <c r="AB175" s="16"/>
      <c r="AC175" s="18" t="str">
        <f aca="true">IF(OR(AA175="",AB175="Hybrid deployed",AB175="PQC deployed",AB175="Not required (not vulnerable)",AB175="Risk accepted"),"",IF(AA175&lt;TODAY(),"OVERDUE",""))</f>
        <v/>
      </c>
      <c r="AD175" s="18" t="str">
        <f aca="true">IF(A175="","",IF(B175="","Name the system. ","")&amp;IF(LEFT(R175,7)="Unknown","Algorithm unknown - scan or ask the vendor. ","")&amp;IF(AND(R175&lt;&gt;"No",Assumptions!$C$6=""),"Set Z on Assumptions. ","")&amp;IF(AND(R175&lt;&gt;"No",OR(O175="",P175="")),"Enter X and Y. ","")&amp;IF(LEFT(T175,7)="AT RISK","Mosca: X+Y exceeds Z - migration should already be under way. ","")&amp;IF(AND(LEFT(U175,3)="Yes",OR(AB175="",AB175="Not started")),"Harvest-now-decrypt-later exposure and migration not started. ","")&amp;IF(AND(R175&lt;&gt;"No",OR(W175="",W175="To decide")),"Choose a target algorithm. ","")&amp;IF(AND(R175&lt;&gt;"No",W175="Keep - not quantum-vulnerable"),"Target 'Keep' conflicts with a quantum-vulnerable algorithm. ","")&amp;IF(LEFT(J175,5)="SHA-1","SHA-1 is deprecated - replace (NIST IR 8547). ","")&amp;IF(AND(R175&lt;&gt;"No",OR(N175="Roadmap - verbal only",N175="No roadmap",N175="Not asked yet")),"Get a written PQC roadmap from the vendor. ","")&amp;IF(AND(R175&lt;&gt;"No",N175=""),"Record the vendor PQC roadmap status. ","")&amp;IF(ISNUMBER(M175),IF(M175&lt;TODAY(),"Certificate or key expired. ",IF(M175-TODAY()&lt;=Assumptions!$C$25,"Expires soon - use the renewal to revisit the algorithm. ","")),"")&amp;IF(AC175="OVERDUE","Migration overdue. ","")&amp;IF(AND(R175&lt;&gt;"No",Z175=""),"Assign a migration owner. ",""))</f>
        <v/>
      </c>
    </row>
    <row r="176" customFormat="false" ht="15" hidden="false" customHeight="false" outlineLevel="0" collapsed="false">
      <c r="A176" s="16"/>
      <c r="B176" s="16"/>
      <c r="C176" s="16"/>
      <c r="D176" s="16"/>
      <c r="E176" s="16"/>
      <c r="F176" s="16"/>
      <c r="G176" s="16"/>
      <c r="H176" s="16"/>
      <c r="I176" s="16"/>
      <c r="J176" s="16"/>
      <c r="K176" s="16"/>
      <c r="L176" s="16"/>
      <c r="M176" s="17"/>
      <c r="N176" s="16"/>
      <c r="O176" s="16"/>
      <c r="P176" s="16"/>
      <c r="Q176" s="18" t="str">
        <f aca="false">IF(A176="","",IF(J176="","Unknown",IFERROR(INDEX('Algorithm Reference'!$C$6:$C$41,MATCH(J176,'Algorithm Reference'!$B$6:$B$41,0)),"Not in reference")))</f>
        <v/>
      </c>
      <c r="R176" s="18" t="str">
        <f aca="false">IF(A176="","",IF(J176="","Unknown - investigate",IFERROR(INDEX('Algorithm Reference'!$E$6:$E$41,MATCH(J176,'Algorithm Reference'!$B$6:$B$41,0)),"Unknown - investigate")))</f>
        <v/>
      </c>
      <c r="S176" s="18" t="str">
        <f aca="false">IF(OR(O176="",P176=""),"",O176+P176)</f>
        <v/>
      </c>
      <c r="T176" s="18" t="str">
        <f aca="false">IF(A176="","",IF(R176="No","N/A - not quantum-vulnerable",IF(OR(O176="",P176=""),"Enter X and Y",IF(Assumptions!$C$6="","Set Z on Assumptions",IF(O176+P176&gt;Assumptions!$C$6,"AT RISK (X+Y &gt; Z)","Within Z (X+Y &lt;= Z)")))))</f>
        <v/>
      </c>
      <c r="U176" s="18" t="str">
        <f aca="false">IF(A176="","",IF(AND(R176&lt;&gt;"No",OR(I176="Key establishment / encryption in transit",I176="Key wrapping / key transport",I176="Mixed or unknown",I176=""),OR(N(O176)&gt;0,G176="Confidential",G176="Restricted")),IF(F176="Yes","Yes - internet-facing","Yes"),"No"))</f>
        <v/>
      </c>
      <c r="V176" s="18" t="str">
        <f aca="false">IF(A176="","",IF(R176="No","Keep - not quantum-vulnerable (review key size)",IF(I176="Digital signature / authentication","ML-DSA-65 (FIPS 204); SLH-DSA (FIPS 205) if hash-based is preferred",IF(OR(I176="Key establishment / encryption in transit",I176="Key wrapping / key transport"),"ML-KEM-768 (FIPS 203); hybrid X25519MLKEM768 for TLS 1.3",IF(I176="Mixed or unknown","Both: ML-KEM (FIPS 203) for keys, ML-DSA (FIPS 204) for signatures","Pick the crypto function first")))))</f>
        <v/>
      </c>
      <c r="W176" s="16"/>
      <c r="X176" s="18" t="str">
        <f aca="false">IF(A176="","",IF(R176="No",0,IF(LEFT(T176,7)="AT RISK",Assumptions!$C$13,0)+IF(LEFT(U176,3)="Yes",Assumptions!$C$14,0)+IF(F176="Yes",Assumptions!$C$15,0)+IF(G176="Restricted",Assumptions!$C$16,IF(G176="Confidential",Assumptions!$C$17,IF(G176="Internal",Assumptions!$C$18,0)))+IF(OR(N176="Roadmap - verbal only",N176="No roadmap",N176="Not asked yet",N176=""),Assumptions!$C$19,0)+IF(E176="Production",Assumptions!$C$20,0)+IF(AND(ISNUMBER(P176),N(P176)&gt;=Assumptions!$C$22),Assumptions!$C$21,0)))</f>
        <v/>
      </c>
      <c r="Y176" s="18" t="str">
        <f aca="false">IF(X176="","",IF(R176="No","None",IF(X176&gt;=Assumptions!$C$23,"High",IF(X176&gt;=Assumptions!$C$24,"Medium","Low"))))</f>
        <v/>
      </c>
      <c r="Z176" s="16"/>
      <c r="AA176" s="17"/>
      <c r="AB176" s="16"/>
      <c r="AC176" s="18" t="str">
        <f aca="true">IF(OR(AA176="",AB176="Hybrid deployed",AB176="PQC deployed",AB176="Not required (not vulnerable)",AB176="Risk accepted"),"",IF(AA176&lt;TODAY(),"OVERDUE",""))</f>
        <v/>
      </c>
      <c r="AD176" s="18" t="str">
        <f aca="true">IF(A176="","",IF(B176="","Name the system. ","")&amp;IF(LEFT(R176,7)="Unknown","Algorithm unknown - scan or ask the vendor. ","")&amp;IF(AND(R176&lt;&gt;"No",Assumptions!$C$6=""),"Set Z on Assumptions. ","")&amp;IF(AND(R176&lt;&gt;"No",OR(O176="",P176="")),"Enter X and Y. ","")&amp;IF(LEFT(T176,7)="AT RISK","Mosca: X+Y exceeds Z - migration should already be under way. ","")&amp;IF(AND(LEFT(U176,3)="Yes",OR(AB176="",AB176="Not started")),"Harvest-now-decrypt-later exposure and migration not started. ","")&amp;IF(AND(R176&lt;&gt;"No",OR(W176="",W176="To decide")),"Choose a target algorithm. ","")&amp;IF(AND(R176&lt;&gt;"No",W176="Keep - not quantum-vulnerable"),"Target 'Keep' conflicts with a quantum-vulnerable algorithm. ","")&amp;IF(LEFT(J176,5)="SHA-1","SHA-1 is deprecated - replace (NIST IR 8547). ","")&amp;IF(AND(R176&lt;&gt;"No",OR(N176="Roadmap - verbal only",N176="No roadmap",N176="Not asked yet")),"Get a written PQC roadmap from the vendor. ","")&amp;IF(AND(R176&lt;&gt;"No",N176=""),"Record the vendor PQC roadmap status. ","")&amp;IF(ISNUMBER(M176),IF(M176&lt;TODAY(),"Certificate or key expired. ",IF(M176-TODAY()&lt;=Assumptions!$C$25,"Expires soon - use the renewal to revisit the algorithm. ","")),"")&amp;IF(AC176="OVERDUE","Migration overdue. ","")&amp;IF(AND(R176&lt;&gt;"No",Z176=""),"Assign a migration owner. ",""))</f>
        <v/>
      </c>
    </row>
    <row r="177" customFormat="false" ht="15" hidden="false" customHeight="false" outlineLevel="0" collapsed="false">
      <c r="A177" s="16"/>
      <c r="B177" s="16"/>
      <c r="C177" s="16"/>
      <c r="D177" s="16"/>
      <c r="E177" s="16"/>
      <c r="F177" s="16"/>
      <c r="G177" s="16"/>
      <c r="H177" s="16"/>
      <c r="I177" s="16"/>
      <c r="J177" s="16"/>
      <c r="K177" s="16"/>
      <c r="L177" s="16"/>
      <c r="M177" s="17"/>
      <c r="N177" s="16"/>
      <c r="O177" s="16"/>
      <c r="P177" s="16"/>
      <c r="Q177" s="18" t="str">
        <f aca="false">IF(A177="","",IF(J177="","Unknown",IFERROR(INDEX('Algorithm Reference'!$C$6:$C$41,MATCH(J177,'Algorithm Reference'!$B$6:$B$41,0)),"Not in reference")))</f>
        <v/>
      </c>
      <c r="R177" s="18" t="str">
        <f aca="false">IF(A177="","",IF(J177="","Unknown - investigate",IFERROR(INDEX('Algorithm Reference'!$E$6:$E$41,MATCH(J177,'Algorithm Reference'!$B$6:$B$41,0)),"Unknown - investigate")))</f>
        <v/>
      </c>
      <c r="S177" s="18" t="str">
        <f aca="false">IF(OR(O177="",P177=""),"",O177+P177)</f>
        <v/>
      </c>
      <c r="T177" s="18" t="str">
        <f aca="false">IF(A177="","",IF(R177="No","N/A - not quantum-vulnerable",IF(OR(O177="",P177=""),"Enter X and Y",IF(Assumptions!$C$6="","Set Z on Assumptions",IF(O177+P177&gt;Assumptions!$C$6,"AT RISK (X+Y &gt; Z)","Within Z (X+Y &lt;= Z)")))))</f>
        <v/>
      </c>
      <c r="U177" s="18" t="str">
        <f aca="false">IF(A177="","",IF(AND(R177&lt;&gt;"No",OR(I177="Key establishment / encryption in transit",I177="Key wrapping / key transport",I177="Mixed or unknown",I177=""),OR(N(O177)&gt;0,G177="Confidential",G177="Restricted")),IF(F177="Yes","Yes - internet-facing","Yes"),"No"))</f>
        <v/>
      </c>
      <c r="V177" s="18" t="str">
        <f aca="false">IF(A177="","",IF(R177="No","Keep - not quantum-vulnerable (review key size)",IF(I177="Digital signature / authentication","ML-DSA-65 (FIPS 204); SLH-DSA (FIPS 205) if hash-based is preferred",IF(OR(I177="Key establishment / encryption in transit",I177="Key wrapping / key transport"),"ML-KEM-768 (FIPS 203); hybrid X25519MLKEM768 for TLS 1.3",IF(I177="Mixed or unknown","Both: ML-KEM (FIPS 203) for keys, ML-DSA (FIPS 204) for signatures","Pick the crypto function first")))))</f>
        <v/>
      </c>
      <c r="W177" s="16"/>
      <c r="X177" s="18" t="str">
        <f aca="false">IF(A177="","",IF(R177="No",0,IF(LEFT(T177,7)="AT RISK",Assumptions!$C$13,0)+IF(LEFT(U177,3)="Yes",Assumptions!$C$14,0)+IF(F177="Yes",Assumptions!$C$15,0)+IF(G177="Restricted",Assumptions!$C$16,IF(G177="Confidential",Assumptions!$C$17,IF(G177="Internal",Assumptions!$C$18,0)))+IF(OR(N177="Roadmap - verbal only",N177="No roadmap",N177="Not asked yet",N177=""),Assumptions!$C$19,0)+IF(E177="Production",Assumptions!$C$20,0)+IF(AND(ISNUMBER(P177),N(P177)&gt;=Assumptions!$C$22),Assumptions!$C$21,0)))</f>
        <v/>
      </c>
      <c r="Y177" s="18" t="str">
        <f aca="false">IF(X177="","",IF(R177="No","None",IF(X177&gt;=Assumptions!$C$23,"High",IF(X177&gt;=Assumptions!$C$24,"Medium","Low"))))</f>
        <v/>
      </c>
      <c r="Z177" s="16"/>
      <c r="AA177" s="17"/>
      <c r="AB177" s="16"/>
      <c r="AC177" s="18" t="str">
        <f aca="true">IF(OR(AA177="",AB177="Hybrid deployed",AB177="PQC deployed",AB177="Not required (not vulnerable)",AB177="Risk accepted"),"",IF(AA177&lt;TODAY(),"OVERDUE",""))</f>
        <v/>
      </c>
      <c r="AD177" s="18" t="str">
        <f aca="true">IF(A177="","",IF(B177="","Name the system. ","")&amp;IF(LEFT(R177,7)="Unknown","Algorithm unknown - scan or ask the vendor. ","")&amp;IF(AND(R177&lt;&gt;"No",Assumptions!$C$6=""),"Set Z on Assumptions. ","")&amp;IF(AND(R177&lt;&gt;"No",OR(O177="",P177="")),"Enter X and Y. ","")&amp;IF(LEFT(T177,7)="AT RISK","Mosca: X+Y exceeds Z - migration should already be under way. ","")&amp;IF(AND(LEFT(U177,3)="Yes",OR(AB177="",AB177="Not started")),"Harvest-now-decrypt-later exposure and migration not started. ","")&amp;IF(AND(R177&lt;&gt;"No",OR(W177="",W177="To decide")),"Choose a target algorithm. ","")&amp;IF(AND(R177&lt;&gt;"No",W177="Keep - not quantum-vulnerable"),"Target 'Keep' conflicts with a quantum-vulnerable algorithm. ","")&amp;IF(LEFT(J177,5)="SHA-1","SHA-1 is deprecated - replace (NIST IR 8547). ","")&amp;IF(AND(R177&lt;&gt;"No",OR(N177="Roadmap - verbal only",N177="No roadmap",N177="Not asked yet")),"Get a written PQC roadmap from the vendor. ","")&amp;IF(AND(R177&lt;&gt;"No",N177=""),"Record the vendor PQC roadmap status. ","")&amp;IF(ISNUMBER(M177),IF(M177&lt;TODAY(),"Certificate or key expired. ",IF(M177-TODAY()&lt;=Assumptions!$C$25,"Expires soon - use the renewal to revisit the algorithm. ","")),"")&amp;IF(AC177="OVERDUE","Migration overdue. ","")&amp;IF(AND(R177&lt;&gt;"No",Z177=""),"Assign a migration owner. ",""))</f>
        <v/>
      </c>
    </row>
    <row r="178" customFormat="false" ht="15" hidden="false" customHeight="false" outlineLevel="0" collapsed="false">
      <c r="A178" s="16"/>
      <c r="B178" s="16"/>
      <c r="C178" s="16"/>
      <c r="D178" s="16"/>
      <c r="E178" s="16"/>
      <c r="F178" s="16"/>
      <c r="G178" s="16"/>
      <c r="H178" s="16"/>
      <c r="I178" s="16"/>
      <c r="J178" s="16"/>
      <c r="K178" s="16"/>
      <c r="L178" s="16"/>
      <c r="M178" s="17"/>
      <c r="N178" s="16"/>
      <c r="O178" s="16"/>
      <c r="P178" s="16"/>
      <c r="Q178" s="18" t="str">
        <f aca="false">IF(A178="","",IF(J178="","Unknown",IFERROR(INDEX('Algorithm Reference'!$C$6:$C$41,MATCH(J178,'Algorithm Reference'!$B$6:$B$41,0)),"Not in reference")))</f>
        <v/>
      </c>
      <c r="R178" s="18" t="str">
        <f aca="false">IF(A178="","",IF(J178="","Unknown - investigate",IFERROR(INDEX('Algorithm Reference'!$E$6:$E$41,MATCH(J178,'Algorithm Reference'!$B$6:$B$41,0)),"Unknown - investigate")))</f>
        <v/>
      </c>
      <c r="S178" s="18" t="str">
        <f aca="false">IF(OR(O178="",P178=""),"",O178+P178)</f>
        <v/>
      </c>
      <c r="T178" s="18" t="str">
        <f aca="false">IF(A178="","",IF(R178="No","N/A - not quantum-vulnerable",IF(OR(O178="",P178=""),"Enter X and Y",IF(Assumptions!$C$6="","Set Z on Assumptions",IF(O178+P178&gt;Assumptions!$C$6,"AT RISK (X+Y &gt; Z)","Within Z (X+Y &lt;= Z)")))))</f>
        <v/>
      </c>
      <c r="U178" s="18" t="str">
        <f aca="false">IF(A178="","",IF(AND(R178&lt;&gt;"No",OR(I178="Key establishment / encryption in transit",I178="Key wrapping / key transport",I178="Mixed or unknown",I178=""),OR(N(O178)&gt;0,G178="Confidential",G178="Restricted")),IF(F178="Yes","Yes - internet-facing","Yes"),"No"))</f>
        <v/>
      </c>
      <c r="V178" s="18" t="str">
        <f aca="false">IF(A178="","",IF(R178="No","Keep - not quantum-vulnerable (review key size)",IF(I178="Digital signature / authentication","ML-DSA-65 (FIPS 204); SLH-DSA (FIPS 205) if hash-based is preferred",IF(OR(I178="Key establishment / encryption in transit",I178="Key wrapping / key transport"),"ML-KEM-768 (FIPS 203); hybrid X25519MLKEM768 for TLS 1.3",IF(I178="Mixed or unknown","Both: ML-KEM (FIPS 203) for keys, ML-DSA (FIPS 204) for signatures","Pick the crypto function first")))))</f>
        <v/>
      </c>
      <c r="W178" s="16"/>
      <c r="X178" s="18" t="str">
        <f aca="false">IF(A178="","",IF(R178="No",0,IF(LEFT(T178,7)="AT RISK",Assumptions!$C$13,0)+IF(LEFT(U178,3)="Yes",Assumptions!$C$14,0)+IF(F178="Yes",Assumptions!$C$15,0)+IF(G178="Restricted",Assumptions!$C$16,IF(G178="Confidential",Assumptions!$C$17,IF(G178="Internal",Assumptions!$C$18,0)))+IF(OR(N178="Roadmap - verbal only",N178="No roadmap",N178="Not asked yet",N178=""),Assumptions!$C$19,0)+IF(E178="Production",Assumptions!$C$20,0)+IF(AND(ISNUMBER(P178),N(P178)&gt;=Assumptions!$C$22),Assumptions!$C$21,0)))</f>
        <v/>
      </c>
      <c r="Y178" s="18" t="str">
        <f aca="false">IF(X178="","",IF(R178="No","None",IF(X178&gt;=Assumptions!$C$23,"High",IF(X178&gt;=Assumptions!$C$24,"Medium","Low"))))</f>
        <v/>
      </c>
      <c r="Z178" s="16"/>
      <c r="AA178" s="17"/>
      <c r="AB178" s="16"/>
      <c r="AC178" s="18" t="str">
        <f aca="true">IF(OR(AA178="",AB178="Hybrid deployed",AB178="PQC deployed",AB178="Not required (not vulnerable)",AB178="Risk accepted"),"",IF(AA178&lt;TODAY(),"OVERDUE",""))</f>
        <v/>
      </c>
      <c r="AD178" s="18" t="str">
        <f aca="true">IF(A178="","",IF(B178="","Name the system. ","")&amp;IF(LEFT(R178,7)="Unknown","Algorithm unknown - scan or ask the vendor. ","")&amp;IF(AND(R178&lt;&gt;"No",Assumptions!$C$6=""),"Set Z on Assumptions. ","")&amp;IF(AND(R178&lt;&gt;"No",OR(O178="",P178="")),"Enter X and Y. ","")&amp;IF(LEFT(T178,7)="AT RISK","Mosca: X+Y exceeds Z - migration should already be under way. ","")&amp;IF(AND(LEFT(U178,3)="Yes",OR(AB178="",AB178="Not started")),"Harvest-now-decrypt-later exposure and migration not started. ","")&amp;IF(AND(R178&lt;&gt;"No",OR(W178="",W178="To decide")),"Choose a target algorithm. ","")&amp;IF(AND(R178&lt;&gt;"No",W178="Keep - not quantum-vulnerable"),"Target 'Keep' conflicts with a quantum-vulnerable algorithm. ","")&amp;IF(LEFT(J178,5)="SHA-1","SHA-1 is deprecated - replace (NIST IR 8547). ","")&amp;IF(AND(R178&lt;&gt;"No",OR(N178="Roadmap - verbal only",N178="No roadmap",N178="Not asked yet")),"Get a written PQC roadmap from the vendor. ","")&amp;IF(AND(R178&lt;&gt;"No",N178=""),"Record the vendor PQC roadmap status. ","")&amp;IF(ISNUMBER(M178),IF(M178&lt;TODAY(),"Certificate or key expired. ",IF(M178-TODAY()&lt;=Assumptions!$C$25,"Expires soon - use the renewal to revisit the algorithm. ","")),"")&amp;IF(AC178="OVERDUE","Migration overdue. ","")&amp;IF(AND(R178&lt;&gt;"No",Z178=""),"Assign a migration owner. ",""))</f>
        <v/>
      </c>
    </row>
    <row r="179" customFormat="false" ht="15" hidden="false" customHeight="false" outlineLevel="0" collapsed="false">
      <c r="A179" s="16"/>
      <c r="B179" s="16"/>
      <c r="C179" s="16"/>
      <c r="D179" s="16"/>
      <c r="E179" s="16"/>
      <c r="F179" s="16"/>
      <c r="G179" s="16"/>
      <c r="H179" s="16"/>
      <c r="I179" s="16"/>
      <c r="J179" s="16"/>
      <c r="K179" s="16"/>
      <c r="L179" s="16"/>
      <c r="M179" s="17"/>
      <c r="N179" s="16"/>
      <c r="O179" s="16"/>
      <c r="P179" s="16"/>
      <c r="Q179" s="18" t="str">
        <f aca="false">IF(A179="","",IF(J179="","Unknown",IFERROR(INDEX('Algorithm Reference'!$C$6:$C$41,MATCH(J179,'Algorithm Reference'!$B$6:$B$41,0)),"Not in reference")))</f>
        <v/>
      </c>
      <c r="R179" s="18" t="str">
        <f aca="false">IF(A179="","",IF(J179="","Unknown - investigate",IFERROR(INDEX('Algorithm Reference'!$E$6:$E$41,MATCH(J179,'Algorithm Reference'!$B$6:$B$41,0)),"Unknown - investigate")))</f>
        <v/>
      </c>
      <c r="S179" s="18" t="str">
        <f aca="false">IF(OR(O179="",P179=""),"",O179+P179)</f>
        <v/>
      </c>
      <c r="T179" s="18" t="str">
        <f aca="false">IF(A179="","",IF(R179="No","N/A - not quantum-vulnerable",IF(OR(O179="",P179=""),"Enter X and Y",IF(Assumptions!$C$6="","Set Z on Assumptions",IF(O179+P179&gt;Assumptions!$C$6,"AT RISK (X+Y &gt; Z)","Within Z (X+Y &lt;= Z)")))))</f>
        <v/>
      </c>
      <c r="U179" s="18" t="str">
        <f aca="false">IF(A179="","",IF(AND(R179&lt;&gt;"No",OR(I179="Key establishment / encryption in transit",I179="Key wrapping / key transport",I179="Mixed or unknown",I179=""),OR(N(O179)&gt;0,G179="Confidential",G179="Restricted")),IF(F179="Yes","Yes - internet-facing","Yes"),"No"))</f>
        <v/>
      </c>
      <c r="V179" s="18" t="str">
        <f aca="false">IF(A179="","",IF(R179="No","Keep - not quantum-vulnerable (review key size)",IF(I179="Digital signature / authentication","ML-DSA-65 (FIPS 204); SLH-DSA (FIPS 205) if hash-based is preferred",IF(OR(I179="Key establishment / encryption in transit",I179="Key wrapping / key transport"),"ML-KEM-768 (FIPS 203); hybrid X25519MLKEM768 for TLS 1.3",IF(I179="Mixed or unknown","Both: ML-KEM (FIPS 203) for keys, ML-DSA (FIPS 204) for signatures","Pick the crypto function first")))))</f>
        <v/>
      </c>
      <c r="W179" s="16"/>
      <c r="X179" s="18" t="str">
        <f aca="false">IF(A179="","",IF(R179="No",0,IF(LEFT(T179,7)="AT RISK",Assumptions!$C$13,0)+IF(LEFT(U179,3)="Yes",Assumptions!$C$14,0)+IF(F179="Yes",Assumptions!$C$15,0)+IF(G179="Restricted",Assumptions!$C$16,IF(G179="Confidential",Assumptions!$C$17,IF(G179="Internal",Assumptions!$C$18,0)))+IF(OR(N179="Roadmap - verbal only",N179="No roadmap",N179="Not asked yet",N179=""),Assumptions!$C$19,0)+IF(E179="Production",Assumptions!$C$20,0)+IF(AND(ISNUMBER(P179),N(P179)&gt;=Assumptions!$C$22),Assumptions!$C$21,0)))</f>
        <v/>
      </c>
      <c r="Y179" s="18" t="str">
        <f aca="false">IF(X179="","",IF(R179="No","None",IF(X179&gt;=Assumptions!$C$23,"High",IF(X179&gt;=Assumptions!$C$24,"Medium","Low"))))</f>
        <v/>
      </c>
      <c r="Z179" s="16"/>
      <c r="AA179" s="17"/>
      <c r="AB179" s="16"/>
      <c r="AC179" s="18" t="str">
        <f aca="true">IF(OR(AA179="",AB179="Hybrid deployed",AB179="PQC deployed",AB179="Not required (not vulnerable)",AB179="Risk accepted"),"",IF(AA179&lt;TODAY(),"OVERDUE",""))</f>
        <v/>
      </c>
      <c r="AD179" s="18" t="str">
        <f aca="true">IF(A179="","",IF(B179="","Name the system. ","")&amp;IF(LEFT(R179,7)="Unknown","Algorithm unknown - scan or ask the vendor. ","")&amp;IF(AND(R179&lt;&gt;"No",Assumptions!$C$6=""),"Set Z on Assumptions. ","")&amp;IF(AND(R179&lt;&gt;"No",OR(O179="",P179="")),"Enter X and Y. ","")&amp;IF(LEFT(T179,7)="AT RISK","Mosca: X+Y exceeds Z - migration should already be under way. ","")&amp;IF(AND(LEFT(U179,3)="Yes",OR(AB179="",AB179="Not started")),"Harvest-now-decrypt-later exposure and migration not started. ","")&amp;IF(AND(R179&lt;&gt;"No",OR(W179="",W179="To decide")),"Choose a target algorithm. ","")&amp;IF(AND(R179&lt;&gt;"No",W179="Keep - not quantum-vulnerable"),"Target 'Keep' conflicts with a quantum-vulnerable algorithm. ","")&amp;IF(LEFT(J179,5)="SHA-1","SHA-1 is deprecated - replace (NIST IR 8547). ","")&amp;IF(AND(R179&lt;&gt;"No",OR(N179="Roadmap - verbal only",N179="No roadmap",N179="Not asked yet")),"Get a written PQC roadmap from the vendor. ","")&amp;IF(AND(R179&lt;&gt;"No",N179=""),"Record the vendor PQC roadmap status. ","")&amp;IF(ISNUMBER(M179),IF(M179&lt;TODAY(),"Certificate or key expired. ",IF(M179-TODAY()&lt;=Assumptions!$C$25,"Expires soon - use the renewal to revisit the algorithm. ","")),"")&amp;IF(AC179="OVERDUE","Migration overdue. ","")&amp;IF(AND(R179&lt;&gt;"No",Z179=""),"Assign a migration owner. ",""))</f>
        <v/>
      </c>
    </row>
    <row r="180" customFormat="false" ht="15" hidden="false" customHeight="false" outlineLevel="0" collapsed="false">
      <c r="A180" s="16"/>
      <c r="B180" s="16"/>
      <c r="C180" s="16"/>
      <c r="D180" s="16"/>
      <c r="E180" s="16"/>
      <c r="F180" s="16"/>
      <c r="G180" s="16"/>
      <c r="H180" s="16"/>
      <c r="I180" s="16"/>
      <c r="J180" s="16"/>
      <c r="K180" s="16"/>
      <c r="L180" s="16"/>
      <c r="M180" s="17"/>
      <c r="N180" s="16"/>
      <c r="O180" s="16"/>
      <c r="P180" s="16"/>
      <c r="Q180" s="18" t="str">
        <f aca="false">IF(A180="","",IF(J180="","Unknown",IFERROR(INDEX('Algorithm Reference'!$C$6:$C$41,MATCH(J180,'Algorithm Reference'!$B$6:$B$41,0)),"Not in reference")))</f>
        <v/>
      </c>
      <c r="R180" s="18" t="str">
        <f aca="false">IF(A180="","",IF(J180="","Unknown - investigate",IFERROR(INDEX('Algorithm Reference'!$E$6:$E$41,MATCH(J180,'Algorithm Reference'!$B$6:$B$41,0)),"Unknown - investigate")))</f>
        <v/>
      </c>
      <c r="S180" s="18" t="str">
        <f aca="false">IF(OR(O180="",P180=""),"",O180+P180)</f>
        <v/>
      </c>
      <c r="T180" s="18" t="str">
        <f aca="false">IF(A180="","",IF(R180="No","N/A - not quantum-vulnerable",IF(OR(O180="",P180=""),"Enter X and Y",IF(Assumptions!$C$6="","Set Z on Assumptions",IF(O180+P180&gt;Assumptions!$C$6,"AT RISK (X+Y &gt; Z)","Within Z (X+Y &lt;= Z)")))))</f>
        <v/>
      </c>
      <c r="U180" s="18" t="str">
        <f aca="false">IF(A180="","",IF(AND(R180&lt;&gt;"No",OR(I180="Key establishment / encryption in transit",I180="Key wrapping / key transport",I180="Mixed or unknown",I180=""),OR(N(O180)&gt;0,G180="Confidential",G180="Restricted")),IF(F180="Yes","Yes - internet-facing","Yes"),"No"))</f>
        <v/>
      </c>
      <c r="V180" s="18" t="str">
        <f aca="false">IF(A180="","",IF(R180="No","Keep - not quantum-vulnerable (review key size)",IF(I180="Digital signature / authentication","ML-DSA-65 (FIPS 204); SLH-DSA (FIPS 205) if hash-based is preferred",IF(OR(I180="Key establishment / encryption in transit",I180="Key wrapping / key transport"),"ML-KEM-768 (FIPS 203); hybrid X25519MLKEM768 for TLS 1.3",IF(I180="Mixed or unknown","Both: ML-KEM (FIPS 203) for keys, ML-DSA (FIPS 204) for signatures","Pick the crypto function first")))))</f>
        <v/>
      </c>
      <c r="W180" s="16"/>
      <c r="X180" s="18" t="str">
        <f aca="false">IF(A180="","",IF(R180="No",0,IF(LEFT(T180,7)="AT RISK",Assumptions!$C$13,0)+IF(LEFT(U180,3)="Yes",Assumptions!$C$14,0)+IF(F180="Yes",Assumptions!$C$15,0)+IF(G180="Restricted",Assumptions!$C$16,IF(G180="Confidential",Assumptions!$C$17,IF(G180="Internal",Assumptions!$C$18,0)))+IF(OR(N180="Roadmap - verbal only",N180="No roadmap",N180="Not asked yet",N180=""),Assumptions!$C$19,0)+IF(E180="Production",Assumptions!$C$20,0)+IF(AND(ISNUMBER(P180),N(P180)&gt;=Assumptions!$C$22),Assumptions!$C$21,0)))</f>
        <v/>
      </c>
      <c r="Y180" s="18" t="str">
        <f aca="false">IF(X180="","",IF(R180="No","None",IF(X180&gt;=Assumptions!$C$23,"High",IF(X180&gt;=Assumptions!$C$24,"Medium","Low"))))</f>
        <v/>
      </c>
      <c r="Z180" s="16"/>
      <c r="AA180" s="17"/>
      <c r="AB180" s="16"/>
      <c r="AC180" s="18" t="str">
        <f aca="true">IF(OR(AA180="",AB180="Hybrid deployed",AB180="PQC deployed",AB180="Not required (not vulnerable)",AB180="Risk accepted"),"",IF(AA180&lt;TODAY(),"OVERDUE",""))</f>
        <v/>
      </c>
      <c r="AD180" s="18" t="str">
        <f aca="true">IF(A180="","",IF(B180="","Name the system. ","")&amp;IF(LEFT(R180,7)="Unknown","Algorithm unknown - scan or ask the vendor. ","")&amp;IF(AND(R180&lt;&gt;"No",Assumptions!$C$6=""),"Set Z on Assumptions. ","")&amp;IF(AND(R180&lt;&gt;"No",OR(O180="",P180="")),"Enter X and Y. ","")&amp;IF(LEFT(T180,7)="AT RISK","Mosca: X+Y exceeds Z - migration should already be under way. ","")&amp;IF(AND(LEFT(U180,3)="Yes",OR(AB180="",AB180="Not started")),"Harvest-now-decrypt-later exposure and migration not started. ","")&amp;IF(AND(R180&lt;&gt;"No",OR(W180="",W180="To decide")),"Choose a target algorithm. ","")&amp;IF(AND(R180&lt;&gt;"No",W180="Keep - not quantum-vulnerable"),"Target 'Keep' conflicts with a quantum-vulnerable algorithm. ","")&amp;IF(LEFT(J180,5)="SHA-1","SHA-1 is deprecated - replace (NIST IR 8547). ","")&amp;IF(AND(R180&lt;&gt;"No",OR(N180="Roadmap - verbal only",N180="No roadmap",N180="Not asked yet")),"Get a written PQC roadmap from the vendor. ","")&amp;IF(AND(R180&lt;&gt;"No",N180=""),"Record the vendor PQC roadmap status. ","")&amp;IF(ISNUMBER(M180),IF(M180&lt;TODAY(),"Certificate or key expired. ",IF(M180-TODAY()&lt;=Assumptions!$C$25,"Expires soon - use the renewal to revisit the algorithm. ","")),"")&amp;IF(AC180="OVERDUE","Migration overdue. ","")&amp;IF(AND(R180&lt;&gt;"No",Z180=""),"Assign a migration owner. ",""))</f>
        <v/>
      </c>
    </row>
    <row r="181" customFormat="false" ht="15" hidden="false" customHeight="false" outlineLevel="0" collapsed="false">
      <c r="A181" s="16"/>
      <c r="B181" s="16"/>
      <c r="C181" s="16"/>
      <c r="D181" s="16"/>
      <c r="E181" s="16"/>
      <c r="F181" s="16"/>
      <c r="G181" s="16"/>
      <c r="H181" s="16"/>
      <c r="I181" s="16"/>
      <c r="J181" s="16"/>
      <c r="K181" s="16"/>
      <c r="L181" s="16"/>
      <c r="M181" s="17"/>
      <c r="N181" s="16"/>
      <c r="O181" s="16"/>
      <c r="P181" s="16"/>
      <c r="Q181" s="18" t="str">
        <f aca="false">IF(A181="","",IF(J181="","Unknown",IFERROR(INDEX('Algorithm Reference'!$C$6:$C$41,MATCH(J181,'Algorithm Reference'!$B$6:$B$41,0)),"Not in reference")))</f>
        <v/>
      </c>
      <c r="R181" s="18" t="str">
        <f aca="false">IF(A181="","",IF(J181="","Unknown - investigate",IFERROR(INDEX('Algorithm Reference'!$E$6:$E$41,MATCH(J181,'Algorithm Reference'!$B$6:$B$41,0)),"Unknown - investigate")))</f>
        <v/>
      </c>
      <c r="S181" s="18" t="str">
        <f aca="false">IF(OR(O181="",P181=""),"",O181+P181)</f>
        <v/>
      </c>
      <c r="T181" s="18" t="str">
        <f aca="false">IF(A181="","",IF(R181="No","N/A - not quantum-vulnerable",IF(OR(O181="",P181=""),"Enter X and Y",IF(Assumptions!$C$6="","Set Z on Assumptions",IF(O181+P181&gt;Assumptions!$C$6,"AT RISK (X+Y &gt; Z)","Within Z (X+Y &lt;= Z)")))))</f>
        <v/>
      </c>
      <c r="U181" s="18" t="str">
        <f aca="false">IF(A181="","",IF(AND(R181&lt;&gt;"No",OR(I181="Key establishment / encryption in transit",I181="Key wrapping / key transport",I181="Mixed or unknown",I181=""),OR(N(O181)&gt;0,G181="Confidential",G181="Restricted")),IF(F181="Yes","Yes - internet-facing","Yes"),"No"))</f>
        <v/>
      </c>
      <c r="V181" s="18" t="str">
        <f aca="false">IF(A181="","",IF(R181="No","Keep - not quantum-vulnerable (review key size)",IF(I181="Digital signature / authentication","ML-DSA-65 (FIPS 204); SLH-DSA (FIPS 205) if hash-based is preferred",IF(OR(I181="Key establishment / encryption in transit",I181="Key wrapping / key transport"),"ML-KEM-768 (FIPS 203); hybrid X25519MLKEM768 for TLS 1.3",IF(I181="Mixed or unknown","Both: ML-KEM (FIPS 203) for keys, ML-DSA (FIPS 204) for signatures","Pick the crypto function first")))))</f>
        <v/>
      </c>
      <c r="W181" s="16"/>
      <c r="X181" s="18" t="str">
        <f aca="false">IF(A181="","",IF(R181="No",0,IF(LEFT(T181,7)="AT RISK",Assumptions!$C$13,0)+IF(LEFT(U181,3)="Yes",Assumptions!$C$14,0)+IF(F181="Yes",Assumptions!$C$15,0)+IF(G181="Restricted",Assumptions!$C$16,IF(G181="Confidential",Assumptions!$C$17,IF(G181="Internal",Assumptions!$C$18,0)))+IF(OR(N181="Roadmap - verbal only",N181="No roadmap",N181="Not asked yet",N181=""),Assumptions!$C$19,0)+IF(E181="Production",Assumptions!$C$20,0)+IF(AND(ISNUMBER(P181),N(P181)&gt;=Assumptions!$C$22),Assumptions!$C$21,0)))</f>
        <v/>
      </c>
      <c r="Y181" s="18" t="str">
        <f aca="false">IF(X181="","",IF(R181="No","None",IF(X181&gt;=Assumptions!$C$23,"High",IF(X181&gt;=Assumptions!$C$24,"Medium","Low"))))</f>
        <v/>
      </c>
      <c r="Z181" s="16"/>
      <c r="AA181" s="17"/>
      <c r="AB181" s="16"/>
      <c r="AC181" s="18" t="str">
        <f aca="true">IF(OR(AA181="",AB181="Hybrid deployed",AB181="PQC deployed",AB181="Not required (not vulnerable)",AB181="Risk accepted"),"",IF(AA181&lt;TODAY(),"OVERDUE",""))</f>
        <v/>
      </c>
      <c r="AD181" s="18" t="str">
        <f aca="true">IF(A181="","",IF(B181="","Name the system. ","")&amp;IF(LEFT(R181,7)="Unknown","Algorithm unknown - scan or ask the vendor. ","")&amp;IF(AND(R181&lt;&gt;"No",Assumptions!$C$6=""),"Set Z on Assumptions. ","")&amp;IF(AND(R181&lt;&gt;"No",OR(O181="",P181="")),"Enter X and Y. ","")&amp;IF(LEFT(T181,7)="AT RISK","Mosca: X+Y exceeds Z - migration should already be under way. ","")&amp;IF(AND(LEFT(U181,3)="Yes",OR(AB181="",AB181="Not started")),"Harvest-now-decrypt-later exposure and migration not started. ","")&amp;IF(AND(R181&lt;&gt;"No",OR(W181="",W181="To decide")),"Choose a target algorithm. ","")&amp;IF(AND(R181&lt;&gt;"No",W181="Keep - not quantum-vulnerable"),"Target 'Keep' conflicts with a quantum-vulnerable algorithm. ","")&amp;IF(LEFT(J181,5)="SHA-1","SHA-1 is deprecated - replace (NIST IR 8547). ","")&amp;IF(AND(R181&lt;&gt;"No",OR(N181="Roadmap - verbal only",N181="No roadmap",N181="Not asked yet")),"Get a written PQC roadmap from the vendor. ","")&amp;IF(AND(R181&lt;&gt;"No",N181=""),"Record the vendor PQC roadmap status. ","")&amp;IF(ISNUMBER(M181),IF(M181&lt;TODAY(),"Certificate or key expired. ",IF(M181-TODAY()&lt;=Assumptions!$C$25,"Expires soon - use the renewal to revisit the algorithm. ","")),"")&amp;IF(AC181="OVERDUE","Migration overdue. ","")&amp;IF(AND(R181&lt;&gt;"No",Z181=""),"Assign a migration owner. ",""))</f>
        <v/>
      </c>
    </row>
    <row r="182" customFormat="false" ht="15" hidden="false" customHeight="false" outlineLevel="0" collapsed="false">
      <c r="A182" s="16"/>
      <c r="B182" s="16"/>
      <c r="C182" s="16"/>
      <c r="D182" s="16"/>
      <c r="E182" s="16"/>
      <c r="F182" s="16"/>
      <c r="G182" s="16"/>
      <c r="H182" s="16"/>
      <c r="I182" s="16"/>
      <c r="J182" s="16"/>
      <c r="K182" s="16"/>
      <c r="L182" s="16"/>
      <c r="M182" s="17"/>
      <c r="N182" s="16"/>
      <c r="O182" s="16"/>
      <c r="P182" s="16"/>
      <c r="Q182" s="18" t="str">
        <f aca="false">IF(A182="","",IF(J182="","Unknown",IFERROR(INDEX('Algorithm Reference'!$C$6:$C$41,MATCH(J182,'Algorithm Reference'!$B$6:$B$41,0)),"Not in reference")))</f>
        <v/>
      </c>
      <c r="R182" s="18" t="str">
        <f aca="false">IF(A182="","",IF(J182="","Unknown - investigate",IFERROR(INDEX('Algorithm Reference'!$E$6:$E$41,MATCH(J182,'Algorithm Reference'!$B$6:$B$41,0)),"Unknown - investigate")))</f>
        <v/>
      </c>
      <c r="S182" s="18" t="str">
        <f aca="false">IF(OR(O182="",P182=""),"",O182+P182)</f>
        <v/>
      </c>
      <c r="T182" s="18" t="str">
        <f aca="false">IF(A182="","",IF(R182="No","N/A - not quantum-vulnerable",IF(OR(O182="",P182=""),"Enter X and Y",IF(Assumptions!$C$6="","Set Z on Assumptions",IF(O182+P182&gt;Assumptions!$C$6,"AT RISK (X+Y &gt; Z)","Within Z (X+Y &lt;= Z)")))))</f>
        <v/>
      </c>
      <c r="U182" s="18" t="str">
        <f aca="false">IF(A182="","",IF(AND(R182&lt;&gt;"No",OR(I182="Key establishment / encryption in transit",I182="Key wrapping / key transport",I182="Mixed or unknown",I182=""),OR(N(O182)&gt;0,G182="Confidential",G182="Restricted")),IF(F182="Yes","Yes - internet-facing","Yes"),"No"))</f>
        <v/>
      </c>
      <c r="V182" s="18" t="str">
        <f aca="false">IF(A182="","",IF(R182="No","Keep - not quantum-vulnerable (review key size)",IF(I182="Digital signature / authentication","ML-DSA-65 (FIPS 204); SLH-DSA (FIPS 205) if hash-based is preferred",IF(OR(I182="Key establishment / encryption in transit",I182="Key wrapping / key transport"),"ML-KEM-768 (FIPS 203); hybrid X25519MLKEM768 for TLS 1.3",IF(I182="Mixed or unknown","Both: ML-KEM (FIPS 203) for keys, ML-DSA (FIPS 204) for signatures","Pick the crypto function first")))))</f>
        <v/>
      </c>
      <c r="W182" s="16"/>
      <c r="X182" s="18" t="str">
        <f aca="false">IF(A182="","",IF(R182="No",0,IF(LEFT(T182,7)="AT RISK",Assumptions!$C$13,0)+IF(LEFT(U182,3)="Yes",Assumptions!$C$14,0)+IF(F182="Yes",Assumptions!$C$15,0)+IF(G182="Restricted",Assumptions!$C$16,IF(G182="Confidential",Assumptions!$C$17,IF(G182="Internal",Assumptions!$C$18,0)))+IF(OR(N182="Roadmap - verbal only",N182="No roadmap",N182="Not asked yet",N182=""),Assumptions!$C$19,0)+IF(E182="Production",Assumptions!$C$20,0)+IF(AND(ISNUMBER(P182),N(P182)&gt;=Assumptions!$C$22),Assumptions!$C$21,0)))</f>
        <v/>
      </c>
      <c r="Y182" s="18" t="str">
        <f aca="false">IF(X182="","",IF(R182="No","None",IF(X182&gt;=Assumptions!$C$23,"High",IF(X182&gt;=Assumptions!$C$24,"Medium","Low"))))</f>
        <v/>
      </c>
      <c r="Z182" s="16"/>
      <c r="AA182" s="17"/>
      <c r="AB182" s="16"/>
      <c r="AC182" s="18" t="str">
        <f aca="true">IF(OR(AA182="",AB182="Hybrid deployed",AB182="PQC deployed",AB182="Not required (not vulnerable)",AB182="Risk accepted"),"",IF(AA182&lt;TODAY(),"OVERDUE",""))</f>
        <v/>
      </c>
      <c r="AD182" s="18" t="str">
        <f aca="true">IF(A182="","",IF(B182="","Name the system. ","")&amp;IF(LEFT(R182,7)="Unknown","Algorithm unknown - scan or ask the vendor. ","")&amp;IF(AND(R182&lt;&gt;"No",Assumptions!$C$6=""),"Set Z on Assumptions. ","")&amp;IF(AND(R182&lt;&gt;"No",OR(O182="",P182="")),"Enter X and Y. ","")&amp;IF(LEFT(T182,7)="AT RISK","Mosca: X+Y exceeds Z - migration should already be under way. ","")&amp;IF(AND(LEFT(U182,3)="Yes",OR(AB182="",AB182="Not started")),"Harvest-now-decrypt-later exposure and migration not started. ","")&amp;IF(AND(R182&lt;&gt;"No",OR(W182="",W182="To decide")),"Choose a target algorithm. ","")&amp;IF(AND(R182&lt;&gt;"No",W182="Keep - not quantum-vulnerable"),"Target 'Keep' conflicts with a quantum-vulnerable algorithm. ","")&amp;IF(LEFT(J182,5)="SHA-1","SHA-1 is deprecated - replace (NIST IR 8547). ","")&amp;IF(AND(R182&lt;&gt;"No",OR(N182="Roadmap - verbal only",N182="No roadmap",N182="Not asked yet")),"Get a written PQC roadmap from the vendor. ","")&amp;IF(AND(R182&lt;&gt;"No",N182=""),"Record the vendor PQC roadmap status. ","")&amp;IF(ISNUMBER(M182),IF(M182&lt;TODAY(),"Certificate or key expired. ",IF(M182-TODAY()&lt;=Assumptions!$C$25,"Expires soon - use the renewal to revisit the algorithm. ","")),"")&amp;IF(AC182="OVERDUE","Migration overdue. ","")&amp;IF(AND(R182&lt;&gt;"No",Z182=""),"Assign a migration owner. ",""))</f>
        <v/>
      </c>
    </row>
    <row r="183" customFormat="false" ht="15" hidden="false" customHeight="false" outlineLevel="0" collapsed="false">
      <c r="A183" s="16"/>
      <c r="B183" s="16"/>
      <c r="C183" s="16"/>
      <c r="D183" s="16"/>
      <c r="E183" s="16"/>
      <c r="F183" s="16"/>
      <c r="G183" s="16"/>
      <c r="H183" s="16"/>
      <c r="I183" s="16"/>
      <c r="J183" s="16"/>
      <c r="K183" s="16"/>
      <c r="L183" s="16"/>
      <c r="M183" s="17"/>
      <c r="N183" s="16"/>
      <c r="O183" s="16"/>
      <c r="P183" s="16"/>
      <c r="Q183" s="18" t="str">
        <f aca="false">IF(A183="","",IF(J183="","Unknown",IFERROR(INDEX('Algorithm Reference'!$C$6:$C$41,MATCH(J183,'Algorithm Reference'!$B$6:$B$41,0)),"Not in reference")))</f>
        <v/>
      </c>
      <c r="R183" s="18" t="str">
        <f aca="false">IF(A183="","",IF(J183="","Unknown - investigate",IFERROR(INDEX('Algorithm Reference'!$E$6:$E$41,MATCH(J183,'Algorithm Reference'!$B$6:$B$41,0)),"Unknown - investigate")))</f>
        <v/>
      </c>
      <c r="S183" s="18" t="str">
        <f aca="false">IF(OR(O183="",P183=""),"",O183+P183)</f>
        <v/>
      </c>
      <c r="T183" s="18" t="str">
        <f aca="false">IF(A183="","",IF(R183="No","N/A - not quantum-vulnerable",IF(OR(O183="",P183=""),"Enter X and Y",IF(Assumptions!$C$6="","Set Z on Assumptions",IF(O183+P183&gt;Assumptions!$C$6,"AT RISK (X+Y &gt; Z)","Within Z (X+Y &lt;= Z)")))))</f>
        <v/>
      </c>
      <c r="U183" s="18" t="str">
        <f aca="false">IF(A183="","",IF(AND(R183&lt;&gt;"No",OR(I183="Key establishment / encryption in transit",I183="Key wrapping / key transport",I183="Mixed or unknown",I183=""),OR(N(O183)&gt;0,G183="Confidential",G183="Restricted")),IF(F183="Yes","Yes - internet-facing","Yes"),"No"))</f>
        <v/>
      </c>
      <c r="V183" s="18" t="str">
        <f aca="false">IF(A183="","",IF(R183="No","Keep - not quantum-vulnerable (review key size)",IF(I183="Digital signature / authentication","ML-DSA-65 (FIPS 204); SLH-DSA (FIPS 205) if hash-based is preferred",IF(OR(I183="Key establishment / encryption in transit",I183="Key wrapping / key transport"),"ML-KEM-768 (FIPS 203); hybrid X25519MLKEM768 for TLS 1.3",IF(I183="Mixed or unknown","Both: ML-KEM (FIPS 203) for keys, ML-DSA (FIPS 204) for signatures","Pick the crypto function first")))))</f>
        <v/>
      </c>
      <c r="W183" s="16"/>
      <c r="X183" s="18" t="str">
        <f aca="false">IF(A183="","",IF(R183="No",0,IF(LEFT(T183,7)="AT RISK",Assumptions!$C$13,0)+IF(LEFT(U183,3)="Yes",Assumptions!$C$14,0)+IF(F183="Yes",Assumptions!$C$15,0)+IF(G183="Restricted",Assumptions!$C$16,IF(G183="Confidential",Assumptions!$C$17,IF(G183="Internal",Assumptions!$C$18,0)))+IF(OR(N183="Roadmap - verbal only",N183="No roadmap",N183="Not asked yet",N183=""),Assumptions!$C$19,0)+IF(E183="Production",Assumptions!$C$20,0)+IF(AND(ISNUMBER(P183),N(P183)&gt;=Assumptions!$C$22),Assumptions!$C$21,0)))</f>
        <v/>
      </c>
      <c r="Y183" s="18" t="str">
        <f aca="false">IF(X183="","",IF(R183="No","None",IF(X183&gt;=Assumptions!$C$23,"High",IF(X183&gt;=Assumptions!$C$24,"Medium","Low"))))</f>
        <v/>
      </c>
      <c r="Z183" s="16"/>
      <c r="AA183" s="17"/>
      <c r="AB183" s="16"/>
      <c r="AC183" s="18" t="str">
        <f aca="true">IF(OR(AA183="",AB183="Hybrid deployed",AB183="PQC deployed",AB183="Not required (not vulnerable)",AB183="Risk accepted"),"",IF(AA183&lt;TODAY(),"OVERDUE",""))</f>
        <v/>
      </c>
      <c r="AD183" s="18" t="str">
        <f aca="true">IF(A183="","",IF(B183="","Name the system. ","")&amp;IF(LEFT(R183,7)="Unknown","Algorithm unknown - scan or ask the vendor. ","")&amp;IF(AND(R183&lt;&gt;"No",Assumptions!$C$6=""),"Set Z on Assumptions. ","")&amp;IF(AND(R183&lt;&gt;"No",OR(O183="",P183="")),"Enter X and Y. ","")&amp;IF(LEFT(T183,7)="AT RISK","Mosca: X+Y exceeds Z - migration should already be under way. ","")&amp;IF(AND(LEFT(U183,3)="Yes",OR(AB183="",AB183="Not started")),"Harvest-now-decrypt-later exposure and migration not started. ","")&amp;IF(AND(R183&lt;&gt;"No",OR(W183="",W183="To decide")),"Choose a target algorithm. ","")&amp;IF(AND(R183&lt;&gt;"No",W183="Keep - not quantum-vulnerable"),"Target 'Keep' conflicts with a quantum-vulnerable algorithm. ","")&amp;IF(LEFT(J183,5)="SHA-1","SHA-1 is deprecated - replace (NIST IR 8547). ","")&amp;IF(AND(R183&lt;&gt;"No",OR(N183="Roadmap - verbal only",N183="No roadmap",N183="Not asked yet")),"Get a written PQC roadmap from the vendor. ","")&amp;IF(AND(R183&lt;&gt;"No",N183=""),"Record the vendor PQC roadmap status. ","")&amp;IF(ISNUMBER(M183),IF(M183&lt;TODAY(),"Certificate or key expired. ",IF(M183-TODAY()&lt;=Assumptions!$C$25,"Expires soon - use the renewal to revisit the algorithm. ","")),"")&amp;IF(AC183="OVERDUE","Migration overdue. ","")&amp;IF(AND(R183&lt;&gt;"No",Z183=""),"Assign a migration owner. ",""))</f>
        <v/>
      </c>
    </row>
    <row r="184" customFormat="false" ht="15" hidden="false" customHeight="false" outlineLevel="0" collapsed="false">
      <c r="A184" s="16"/>
      <c r="B184" s="16"/>
      <c r="C184" s="16"/>
      <c r="D184" s="16"/>
      <c r="E184" s="16"/>
      <c r="F184" s="16"/>
      <c r="G184" s="16"/>
      <c r="H184" s="16"/>
      <c r="I184" s="16"/>
      <c r="J184" s="16"/>
      <c r="K184" s="16"/>
      <c r="L184" s="16"/>
      <c r="M184" s="17"/>
      <c r="N184" s="16"/>
      <c r="O184" s="16"/>
      <c r="P184" s="16"/>
      <c r="Q184" s="18" t="str">
        <f aca="false">IF(A184="","",IF(J184="","Unknown",IFERROR(INDEX('Algorithm Reference'!$C$6:$C$41,MATCH(J184,'Algorithm Reference'!$B$6:$B$41,0)),"Not in reference")))</f>
        <v/>
      </c>
      <c r="R184" s="18" t="str">
        <f aca="false">IF(A184="","",IF(J184="","Unknown - investigate",IFERROR(INDEX('Algorithm Reference'!$E$6:$E$41,MATCH(J184,'Algorithm Reference'!$B$6:$B$41,0)),"Unknown - investigate")))</f>
        <v/>
      </c>
      <c r="S184" s="18" t="str">
        <f aca="false">IF(OR(O184="",P184=""),"",O184+P184)</f>
        <v/>
      </c>
      <c r="T184" s="18" t="str">
        <f aca="false">IF(A184="","",IF(R184="No","N/A - not quantum-vulnerable",IF(OR(O184="",P184=""),"Enter X and Y",IF(Assumptions!$C$6="","Set Z on Assumptions",IF(O184+P184&gt;Assumptions!$C$6,"AT RISK (X+Y &gt; Z)","Within Z (X+Y &lt;= Z)")))))</f>
        <v/>
      </c>
      <c r="U184" s="18" t="str">
        <f aca="false">IF(A184="","",IF(AND(R184&lt;&gt;"No",OR(I184="Key establishment / encryption in transit",I184="Key wrapping / key transport",I184="Mixed or unknown",I184=""),OR(N(O184)&gt;0,G184="Confidential",G184="Restricted")),IF(F184="Yes","Yes - internet-facing","Yes"),"No"))</f>
        <v/>
      </c>
      <c r="V184" s="18" t="str">
        <f aca="false">IF(A184="","",IF(R184="No","Keep - not quantum-vulnerable (review key size)",IF(I184="Digital signature / authentication","ML-DSA-65 (FIPS 204); SLH-DSA (FIPS 205) if hash-based is preferred",IF(OR(I184="Key establishment / encryption in transit",I184="Key wrapping / key transport"),"ML-KEM-768 (FIPS 203); hybrid X25519MLKEM768 for TLS 1.3",IF(I184="Mixed or unknown","Both: ML-KEM (FIPS 203) for keys, ML-DSA (FIPS 204) for signatures","Pick the crypto function first")))))</f>
        <v/>
      </c>
      <c r="W184" s="16"/>
      <c r="X184" s="18" t="str">
        <f aca="false">IF(A184="","",IF(R184="No",0,IF(LEFT(T184,7)="AT RISK",Assumptions!$C$13,0)+IF(LEFT(U184,3)="Yes",Assumptions!$C$14,0)+IF(F184="Yes",Assumptions!$C$15,0)+IF(G184="Restricted",Assumptions!$C$16,IF(G184="Confidential",Assumptions!$C$17,IF(G184="Internal",Assumptions!$C$18,0)))+IF(OR(N184="Roadmap - verbal only",N184="No roadmap",N184="Not asked yet",N184=""),Assumptions!$C$19,0)+IF(E184="Production",Assumptions!$C$20,0)+IF(AND(ISNUMBER(P184),N(P184)&gt;=Assumptions!$C$22),Assumptions!$C$21,0)))</f>
        <v/>
      </c>
      <c r="Y184" s="18" t="str">
        <f aca="false">IF(X184="","",IF(R184="No","None",IF(X184&gt;=Assumptions!$C$23,"High",IF(X184&gt;=Assumptions!$C$24,"Medium","Low"))))</f>
        <v/>
      </c>
      <c r="Z184" s="16"/>
      <c r="AA184" s="17"/>
      <c r="AB184" s="16"/>
      <c r="AC184" s="18" t="str">
        <f aca="true">IF(OR(AA184="",AB184="Hybrid deployed",AB184="PQC deployed",AB184="Not required (not vulnerable)",AB184="Risk accepted"),"",IF(AA184&lt;TODAY(),"OVERDUE",""))</f>
        <v/>
      </c>
      <c r="AD184" s="18" t="str">
        <f aca="true">IF(A184="","",IF(B184="","Name the system. ","")&amp;IF(LEFT(R184,7)="Unknown","Algorithm unknown - scan or ask the vendor. ","")&amp;IF(AND(R184&lt;&gt;"No",Assumptions!$C$6=""),"Set Z on Assumptions. ","")&amp;IF(AND(R184&lt;&gt;"No",OR(O184="",P184="")),"Enter X and Y. ","")&amp;IF(LEFT(T184,7)="AT RISK","Mosca: X+Y exceeds Z - migration should already be under way. ","")&amp;IF(AND(LEFT(U184,3)="Yes",OR(AB184="",AB184="Not started")),"Harvest-now-decrypt-later exposure and migration not started. ","")&amp;IF(AND(R184&lt;&gt;"No",OR(W184="",W184="To decide")),"Choose a target algorithm. ","")&amp;IF(AND(R184&lt;&gt;"No",W184="Keep - not quantum-vulnerable"),"Target 'Keep' conflicts with a quantum-vulnerable algorithm. ","")&amp;IF(LEFT(J184,5)="SHA-1","SHA-1 is deprecated - replace (NIST IR 8547). ","")&amp;IF(AND(R184&lt;&gt;"No",OR(N184="Roadmap - verbal only",N184="No roadmap",N184="Not asked yet")),"Get a written PQC roadmap from the vendor. ","")&amp;IF(AND(R184&lt;&gt;"No",N184=""),"Record the vendor PQC roadmap status. ","")&amp;IF(ISNUMBER(M184),IF(M184&lt;TODAY(),"Certificate or key expired. ",IF(M184-TODAY()&lt;=Assumptions!$C$25,"Expires soon - use the renewal to revisit the algorithm. ","")),"")&amp;IF(AC184="OVERDUE","Migration overdue. ","")&amp;IF(AND(R184&lt;&gt;"No",Z184=""),"Assign a migration owner. ",""))</f>
        <v/>
      </c>
    </row>
    <row r="185" customFormat="false" ht="15" hidden="false" customHeight="false" outlineLevel="0" collapsed="false">
      <c r="A185" s="16"/>
      <c r="B185" s="16"/>
      <c r="C185" s="16"/>
      <c r="D185" s="16"/>
      <c r="E185" s="16"/>
      <c r="F185" s="16"/>
      <c r="G185" s="16"/>
      <c r="H185" s="16"/>
      <c r="I185" s="16"/>
      <c r="J185" s="16"/>
      <c r="K185" s="16"/>
      <c r="L185" s="16"/>
      <c r="M185" s="17"/>
      <c r="N185" s="16"/>
      <c r="O185" s="16"/>
      <c r="P185" s="16"/>
      <c r="Q185" s="18" t="str">
        <f aca="false">IF(A185="","",IF(J185="","Unknown",IFERROR(INDEX('Algorithm Reference'!$C$6:$C$41,MATCH(J185,'Algorithm Reference'!$B$6:$B$41,0)),"Not in reference")))</f>
        <v/>
      </c>
      <c r="R185" s="18" t="str">
        <f aca="false">IF(A185="","",IF(J185="","Unknown - investigate",IFERROR(INDEX('Algorithm Reference'!$E$6:$E$41,MATCH(J185,'Algorithm Reference'!$B$6:$B$41,0)),"Unknown - investigate")))</f>
        <v/>
      </c>
      <c r="S185" s="18" t="str">
        <f aca="false">IF(OR(O185="",P185=""),"",O185+P185)</f>
        <v/>
      </c>
      <c r="T185" s="18" t="str">
        <f aca="false">IF(A185="","",IF(R185="No","N/A - not quantum-vulnerable",IF(OR(O185="",P185=""),"Enter X and Y",IF(Assumptions!$C$6="","Set Z on Assumptions",IF(O185+P185&gt;Assumptions!$C$6,"AT RISK (X+Y &gt; Z)","Within Z (X+Y &lt;= Z)")))))</f>
        <v/>
      </c>
      <c r="U185" s="18" t="str">
        <f aca="false">IF(A185="","",IF(AND(R185&lt;&gt;"No",OR(I185="Key establishment / encryption in transit",I185="Key wrapping / key transport",I185="Mixed or unknown",I185=""),OR(N(O185)&gt;0,G185="Confidential",G185="Restricted")),IF(F185="Yes","Yes - internet-facing","Yes"),"No"))</f>
        <v/>
      </c>
      <c r="V185" s="18" t="str">
        <f aca="false">IF(A185="","",IF(R185="No","Keep - not quantum-vulnerable (review key size)",IF(I185="Digital signature / authentication","ML-DSA-65 (FIPS 204); SLH-DSA (FIPS 205) if hash-based is preferred",IF(OR(I185="Key establishment / encryption in transit",I185="Key wrapping / key transport"),"ML-KEM-768 (FIPS 203); hybrid X25519MLKEM768 for TLS 1.3",IF(I185="Mixed or unknown","Both: ML-KEM (FIPS 203) for keys, ML-DSA (FIPS 204) for signatures","Pick the crypto function first")))))</f>
        <v/>
      </c>
      <c r="W185" s="16"/>
      <c r="X185" s="18" t="str">
        <f aca="false">IF(A185="","",IF(R185="No",0,IF(LEFT(T185,7)="AT RISK",Assumptions!$C$13,0)+IF(LEFT(U185,3)="Yes",Assumptions!$C$14,0)+IF(F185="Yes",Assumptions!$C$15,0)+IF(G185="Restricted",Assumptions!$C$16,IF(G185="Confidential",Assumptions!$C$17,IF(G185="Internal",Assumptions!$C$18,0)))+IF(OR(N185="Roadmap - verbal only",N185="No roadmap",N185="Not asked yet",N185=""),Assumptions!$C$19,0)+IF(E185="Production",Assumptions!$C$20,0)+IF(AND(ISNUMBER(P185),N(P185)&gt;=Assumptions!$C$22),Assumptions!$C$21,0)))</f>
        <v/>
      </c>
      <c r="Y185" s="18" t="str">
        <f aca="false">IF(X185="","",IF(R185="No","None",IF(X185&gt;=Assumptions!$C$23,"High",IF(X185&gt;=Assumptions!$C$24,"Medium","Low"))))</f>
        <v/>
      </c>
      <c r="Z185" s="16"/>
      <c r="AA185" s="17"/>
      <c r="AB185" s="16"/>
      <c r="AC185" s="18" t="str">
        <f aca="true">IF(OR(AA185="",AB185="Hybrid deployed",AB185="PQC deployed",AB185="Not required (not vulnerable)",AB185="Risk accepted"),"",IF(AA185&lt;TODAY(),"OVERDUE",""))</f>
        <v/>
      </c>
      <c r="AD185" s="18" t="str">
        <f aca="true">IF(A185="","",IF(B185="","Name the system. ","")&amp;IF(LEFT(R185,7)="Unknown","Algorithm unknown - scan or ask the vendor. ","")&amp;IF(AND(R185&lt;&gt;"No",Assumptions!$C$6=""),"Set Z on Assumptions. ","")&amp;IF(AND(R185&lt;&gt;"No",OR(O185="",P185="")),"Enter X and Y. ","")&amp;IF(LEFT(T185,7)="AT RISK","Mosca: X+Y exceeds Z - migration should already be under way. ","")&amp;IF(AND(LEFT(U185,3)="Yes",OR(AB185="",AB185="Not started")),"Harvest-now-decrypt-later exposure and migration not started. ","")&amp;IF(AND(R185&lt;&gt;"No",OR(W185="",W185="To decide")),"Choose a target algorithm. ","")&amp;IF(AND(R185&lt;&gt;"No",W185="Keep - not quantum-vulnerable"),"Target 'Keep' conflicts with a quantum-vulnerable algorithm. ","")&amp;IF(LEFT(J185,5)="SHA-1","SHA-1 is deprecated - replace (NIST IR 8547). ","")&amp;IF(AND(R185&lt;&gt;"No",OR(N185="Roadmap - verbal only",N185="No roadmap",N185="Not asked yet")),"Get a written PQC roadmap from the vendor. ","")&amp;IF(AND(R185&lt;&gt;"No",N185=""),"Record the vendor PQC roadmap status. ","")&amp;IF(ISNUMBER(M185),IF(M185&lt;TODAY(),"Certificate or key expired. ",IF(M185-TODAY()&lt;=Assumptions!$C$25,"Expires soon - use the renewal to revisit the algorithm. ","")),"")&amp;IF(AC185="OVERDUE","Migration overdue. ","")&amp;IF(AND(R185&lt;&gt;"No",Z185=""),"Assign a migration owner. ",""))</f>
        <v/>
      </c>
    </row>
    <row r="186" customFormat="false" ht="15" hidden="false" customHeight="false" outlineLevel="0" collapsed="false">
      <c r="A186" s="16"/>
      <c r="B186" s="16"/>
      <c r="C186" s="16"/>
      <c r="D186" s="16"/>
      <c r="E186" s="16"/>
      <c r="F186" s="16"/>
      <c r="G186" s="16"/>
      <c r="H186" s="16"/>
      <c r="I186" s="16"/>
      <c r="J186" s="16"/>
      <c r="K186" s="16"/>
      <c r="L186" s="16"/>
      <c r="M186" s="17"/>
      <c r="N186" s="16"/>
      <c r="O186" s="16"/>
      <c r="P186" s="16"/>
      <c r="Q186" s="18" t="str">
        <f aca="false">IF(A186="","",IF(J186="","Unknown",IFERROR(INDEX('Algorithm Reference'!$C$6:$C$41,MATCH(J186,'Algorithm Reference'!$B$6:$B$41,0)),"Not in reference")))</f>
        <v/>
      </c>
      <c r="R186" s="18" t="str">
        <f aca="false">IF(A186="","",IF(J186="","Unknown - investigate",IFERROR(INDEX('Algorithm Reference'!$E$6:$E$41,MATCH(J186,'Algorithm Reference'!$B$6:$B$41,0)),"Unknown - investigate")))</f>
        <v/>
      </c>
      <c r="S186" s="18" t="str">
        <f aca="false">IF(OR(O186="",P186=""),"",O186+P186)</f>
        <v/>
      </c>
      <c r="T186" s="18" t="str">
        <f aca="false">IF(A186="","",IF(R186="No","N/A - not quantum-vulnerable",IF(OR(O186="",P186=""),"Enter X and Y",IF(Assumptions!$C$6="","Set Z on Assumptions",IF(O186+P186&gt;Assumptions!$C$6,"AT RISK (X+Y &gt; Z)","Within Z (X+Y &lt;= Z)")))))</f>
        <v/>
      </c>
      <c r="U186" s="18" t="str">
        <f aca="false">IF(A186="","",IF(AND(R186&lt;&gt;"No",OR(I186="Key establishment / encryption in transit",I186="Key wrapping / key transport",I186="Mixed or unknown",I186=""),OR(N(O186)&gt;0,G186="Confidential",G186="Restricted")),IF(F186="Yes","Yes - internet-facing","Yes"),"No"))</f>
        <v/>
      </c>
      <c r="V186" s="18" t="str">
        <f aca="false">IF(A186="","",IF(R186="No","Keep - not quantum-vulnerable (review key size)",IF(I186="Digital signature / authentication","ML-DSA-65 (FIPS 204); SLH-DSA (FIPS 205) if hash-based is preferred",IF(OR(I186="Key establishment / encryption in transit",I186="Key wrapping / key transport"),"ML-KEM-768 (FIPS 203); hybrid X25519MLKEM768 for TLS 1.3",IF(I186="Mixed or unknown","Both: ML-KEM (FIPS 203) for keys, ML-DSA (FIPS 204) for signatures","Pick the crypto function first")))))</f>
        <v/>
      </c>
      <c r="W186" s="16"/>
      <c r="X186" s="18" t="str">
        <f aca="false">IF(A186="","",IF(R186="No",0,IF(LEFT(T186,7)="AT RISK",Assumptions!$C$13,0)+IF(LEFT(U186,3)="Yes",Assumptions!$C$14,0)+IF(F186="Yes",Assumptions!$C$15,0)+IF(G186="Restricted",Assumptions!$C$16,IF(G186="Confidential",Assumptions!$C$17,IF(G186="Internal",Assumptions!$C$18,0)))+IF(OR(N186="Roadmap - verbal only",N186="No roadmap",N186="Not asked yet",N186=""),Assumptions!$C$19,0)+IF(E186="Production",Assumptions!$C$20,0)+IF(AND(ISNUMBER(P186),N(P186)&gt;=Assumptions!$C$22),Assumptions!$C$21,0)))</f>
        <v/>
      </c>
      <c r="Y186" s="18" t="str">
        <f aca="false">IF(X186="","",IF(R186="No","None",IF(X186&gt;=Assumptions!$C$23,"High",IF(X186&gt;=Assumptions!$C$24,"Medium","Low"))))</f>
        <v/>
      </c>
      <c r="Z186" s="16"/>
      <c r="AA186" s="17"/>
      <c r="AB186" s="16"/>
      <c r="AC186" s="18" t="str">
        <f aca="true">IF(OR(AA186="",AB186="Hybrid deployed",AB186="PQC deployed",AB186="Not required (not vulnerable)",AB186="Risk accepted"),"",IF(AA186&lt;TODAY(),"OVERDUE",""))</f>
        <v/>
      </c>
      <c r="AD186" s="18" t="str">
        <f aca="true">IF(A186="","",IF(B186="","Name the system. ","")&amp;IF(LEFT(R186,7)="Unknown","Algorithm unknown - scan or ask the vendor. ","")&amp;IF(AND(R186&lt;&gt;"No",Assumptions!$C$6=""),"Set Z on Assumptions. ","")&amp;IF(AND(R186&lt;&gt;"No",OR(O186="",P186="")),"Enter X and Y. ","")&amp;IF(LEFT(T186,7)="AT RISK","Mosca: X+Y exceeds Z - migration should already be under way. ","")&amp;IF(AND(LEFT(U186,3)="Yes",OR(AB186="",AB186="Not started")),"Harvest-now-decrypt-later exposure and migration not started. ","")&amp;IF(AND(R186&lt;&gt;"No",OR(W186="",W186="To decide")),"Choose a target algorithm. ","")&amp;IF(AND(R186&lt;&gt;"No",W186="Keep - not quantum-vulnerable"),"Target 'Keep' conflicts with a quantum-vulnerable algorithm. ","")&amp;IF(LEFT(J186,5)="SHA-1","SHA-1 is deprecated - replace (NIST IR 8547). ","")&amp;IF(AND(R186&lt;&gt;"No",OR(N186="Roadmap - verbal only",N186="No roadmap",N186="Not asked yet")),"Get a written PQC roadmap from the vendor. ","")&amp;IF(AND(R186&lt;&gt;"No",N186=""),"Record the vendor PQC roadmap status. ","")&amp;IF(ISNUMBER(M186),IF(M186&lt;TODAY(),"Certificate or key expired. ",IF(M186-TODAY()&lt;=Assumptions!$C$25,"Expires soon - use the renewal to revisit the algorithm. ","")),"")&amp;IF(AC186="OVERDUE","Migration overdue. ","")&amp;IF(AND(R186&lt;&gt;"No",Z186=""),"Assign a migration owner. ",""))</f>
        <v/>
      </c>
    </row>
    <row r="187" customFormat="false" ht="15" hidden="false" customHeight="false" outlineLevel="0" collapsed="false">
      <c r="A187" s="16"/>
      <c r="B187" s="16"/>
      <c r="C187" s="16"/>
      <c r="D187" s="16"/>
      <c r="E187" s="16"/>
      <c r="F187" s="16"/>
      <c r="G187" s="16"/>
      <c r="H187" s="16"/>
      <c r="I187" s="16"/>
      <c r="J187" s="16"/>
      <c r="K187" s="16"/>
      <c r="L187" s="16"/>
      <c r="M187" s="17"/>
      <c r="N187" s="16"/>
      <c r="O187" s="16"/>
      <c r="P187" s="16"/>
      <c r="Q187" s="18" t="str">
        <f aca="false">IF(A187="","",IF(J187="","Unknown",IFERROR(INDEX('Algorithm Reference'!$C$6:$C$41,MATCH(J187,'Algorithm Reference'!$B$6:$B$41,0)),"Not in reference")))</f>
        <v/>
      </c>
      <c r="R187" s="18" t="str">
        <f aca="false">IF(A187="","",IF(J187="","Unknown - investigate",IFERROR(INDEX('Algorithm Reference'!$E$6:$E$41,MATCH(J187,'Algorithm Reference'!$B$6:$B$41,0)),"Unknown - investigate")))</f>
        <v/>
      </c>
      <c r="S187" s="18" t="str">
        <f aca="false">IF(OR(O187="",P187=""),"",O187+P187)</f>
        <v/>
      </c>
      <c r="T187" s="18" t="str">
        <f aca="false">IF(A187="","",IF(R187="No","N/A - not quantum-vulnerable",IF(OR(O187="",P187=""),"Enter X and Y",IF(Assumptions!$C$6="","Set Z on Assumptions",IF(O187+P187&gt;Assumptions!$C$6,"AT RISK (X+Y &gt; Z)","Within Z (X+Y &lt;= Z)")))))</f>
        <v/>
      </c>
      <c r="U187" s="18" t="str">
        <f aca="false">IF(A187="","",IF(AND(R187&lt;&gt;"No",OR(I187="Key establishment / encryption in transit",I187="Key wrapping / key transport",I187="Mixed or unknown",I187=""),OR(N(O187)&gt;0,G187="Confidential",G187="Restricted")),IF(F187="Yes","Yes - internet-facing","Yes"),"No"))</f>
        <v/>
      </c>
      <c r="V187" s="18" t="str">
        <f aca="false">IF(A187="","",IF(R187="No","Keep - not quantum-vulnerable (review key size)",IF(I187="Digital signature / authentication","ML-DSA-65 (FIPS 204); SLH-DSA (FIPS 205) if hash-based is preferred",IF(OR(I187="Key establishment / encryption in transit",I187="Key wrapping / key transport"),"ML-KEM-768 (FIPS 203); hybrid X25519MLKEM768 for TLS 1.3",IF(I187="Mixed or unknown","Both: ML-KEM (FIPS 203) for keys, ML-DSA (FIPS 204) for signatures","Pick the crypto function first")))))</f>
        <v/>
      </c>
      <c r="W187" s="16"/>
      <c r="X187" s="18" t="str">
        <f aca="false">IF(A187="","",IF(R187="No",0,IF(LEFT(T187,7)="AT RISK",Assumptions!$C$13,0)+IF(LEFT(U187,3)="Yes",Assumptions!$C$14,0)+IF(F187="Yes",Assumptions!$C$15,0)+IF(G187="Restricted",Assumptions!$C$16,IF(G187="Confidential",Assumptions!$C$17,IF(G187="Internal",Assumptions!$C$18,0)))+IF(OR(N187="Roadmap - verbal only",N187="No roadmap",N187="Not asked yet",N187=""),Assumptions!$C$19,0)+IF(E187="Production",Assumptions!$C$20,0)+IF(AND(ISNUMBER(P187),N(P187)&gt;=Assumptions!$C$22),Assumptions!$C$21,0)))</f>
        <v/>
      </c>
      <c r="Y187" s="18" t="str">
        <f aca="false">IF(X187="","",IF(R187="No","None",IF(X187&gt;=Assumptions!$C$23,"High",IF(X187&gt;=Assumptions!$C$24,"Medium","Low"))))</f>
        <v/>
      </c>
      <c r="Z187" s="16"/>
      <c r="AA187" s="17"/>
      <c r="AB187" s="16"/>
      <c r="AC187" s="18" t="str">
        <f aca="true">IF(OR(AA187="",AB187="Hybrid deployed",AB187="PQC deployed",AB187="Not required (not vulnerable)",AB187="Risk accepted"),"",IF(AA187&lt;TODAY(),"OVERDUE",""))</f>
        <v/>
      </c>
      <c r="AD187" s="18" t="str">
        <f aca="true">IF(A187="","",IF(B187="","Name the system. ","")&amp;IF(LEFT(R187,7)="Unknown","Algorithm unknown - scan or ask the vendor. ","")&amp;IF(AND(R187&lt;&gt;"No",Assumptions!$C$6=""),"Set Z on Assumptions. ","")&amp;IF(AND(R187&lt;&gt;"No",OR(O187="",P187="")),"Enter X and Y. ","")&amp;IF(LEFT(T187,7)="AT RISK","Mosca: X+Y exceeds Z - migration should already be under way. ","")&amp;IF(AND(LEFT(U187,3)="Yes",OR(AB187="",AB187="Not started")),"Harvest-now-decrypt-later exposure and migration not started. ","")&amp;IF(AND(R187&lt;&gt;"No",OR(W187="",W187="To decide")),"Choose a target algorithm. ","")&amp;IF(AND(R187&lt;&gt;"No",W187="Keep - not quantum-vulnerable"),"Target 'Keep' conflicts with a quantum-vulnerable algorithm. ","")&amp;IF(LEFT(J187,5)="SHA-1","SHA-1 is deprecated - replace (NIST IR 8547). ","")&amp;IF(AND(R187&lt;&gt;"No",OR(N187="Roadmap - verbal only",N187="No roadmap",N187="Not asked yet")),"Get a written PQC roadmap from the vendor. ","")&amp;IF(AND(R187&lt;&gt;"No",N187=""),"Record the vendor PQC roadmap status. ","")&amp;IF(ISNUMBER(M187),IF(M187&lt;TODAY(),"Certificate or key expired. ",IF(M187-TODAY()&lt;=Assumptions!$C$25,"Expires soon - use the renewal to revisit the algorithm. ","")),"")&amp;IF(AC187="OVERDUE","Migration overdue. ","")&amp;IF(AND(R187&lt;&gt;"No",Z187=""),"Assign a migration owner. ",""))</f>
        <v/>
      </c>
    </row>
    <row r="188" customFormat="false" ht="15" hidden="false" customHeight="false" outlineLevel="0" collapsed="false">
      <c r="A188" s="16"/>
      <c r="B188" s="16"/>
      <c r="C188" s="16"/>
      <c r="D188" s="16"/>
      <c r="E188" s="16"/>
      <c r="F188" s="16"/>
      <c r="G188" s="16"/>
      <c r="H188" s="16"/>
      <c r="I188" s="16"/>
      <c r="J188" s="16"/>
      <c r="K188" s="16"/>
      <c r="L188" s="16"/>
      <c r="M188" s="17"/>
      <c r="N188" s="16"/>
      <c r="O188" s="16"/>
      <c r="P188" s="16"/>
      <c r="Q188" s="18" t="str">
        <f aca="false">IF(A188="","",IF(J188="","Unknown",IFERROR(INDEX('Algorithm Reference'!$C$6:$C$41,MATCH(J188,'Algorithm Reference'!$B$6:$B$41,0)),"Not in reference")))</f>
        <v/>
      </c>
      <c r="R188" s="18" t="str">
        <f aca="false">IF(A188="","",IF(J188="","Unknown - investigate",IFERROR(INDEX('Algorithm Reference'!$E$6:$E$41,MATCH(J188,'Algorithm Reference'!$B$6:$B$41,0)),"Unknown - investigate")))</f>
        <v/>
      </c>
      <c r="S188" s="18" t="str">
        <f aca="false">IF(OR(O188="",P188=""),"",O188+P188)</f>
        <v/>
      </c>
      <c r="T188" s="18" t="str">
        <f aca="false">IF(A188="","",IF(R188="No","N/A - not quantum-vulnerable",IF(OR(O188="",P188=""),"Enter X and Y",IF(Assumptions!$C$6="","Set Z on Assumptions",IF(O188+P188&gt;Assumptions!$C$6,"AT RISK (X+Y &gt; Z)","Within Z (X+Y &lt;= Z)")))))</f>
        <v/>
      </c>
      <c r="U188" s="18" t="str">
        <f aca="false">IF(A188="","",IF(AND(R188&lt;&gt;"No",OR(I188="Key establishment / encryption in transit",I188="Key wrapping / key transport",I188="Mixed or unknown",I188=""),OR(N(O188)&gt;0,G188="Confidential",G188="Restricted")),IF(F188="Yes","Yes - internet-facing","Yes"),"No"))</f>
        <v/>
      </c>
      <c r="V188" s="18" t="str">
        <f aca="false">IF(A188="","",IF(R188="No","Keep - not quantum-vulnerable (review key size)",IF(I188="Digital signature / authentication","ML-DSA-65 (FIPS 204); SLH-DSA (FIPS 205) if hash-based is preferred",IF(OR(I188="Key establishment / encryption in transit",I188="Key wrapping / key transport"),"ML-KEM-768 (FIPS 203); hybrid X25519MLKEM768 for TLS 1.3",IF(I188="Mixed or unknown","Both: ML-KEM (FIPS 203) for keys, ML-DSA (FIPS 204) for signatures","Pick the crypto function first")))))</f>
        <v/>
      </c>
      <c r="W188" s="16"/>
      <c r="X188" s="18" t="str">
        <f aca="false">IF(A188="","",IF(R188="No",0,IF(LEFT(T188,7)="AT RISK",Assumptions!$C$13,0)+IF(LEFT(U188,3)="Yes",Assumptions!$C$14,0)+IF(F188="Yes",Assumptions!$C$15,0)+IF(G188="Restricted",Assumptions!$C$16,IF(G188="Confidential",Assumptions!$C$17,IF(G188="Internal",Assumptions!$C$18,0)))+IF(OR(N188="Roadmap - verbal only",N188="No roadmap",N188="Not asked yet",N188=""),Assumptions!$C$19,0)+IF(E188="Production",Assumptions!$C$20,0)+IF(AND(ISNUMBER(P188),N(P188)&gt;=Assumptions!$C$22),Assumptions!$C$21,0)))</f>
        <v/>
      </c>
      <c r="Y188" s="18" t="str">
        <f aca="false">IF(X188="","",IF(R188="No","None",IF(X188&gt;=Assumptions!$C$23,"High",IF(X188&gt;=Assumptions!$C$24,"Medium","Low"))))</f>
        <v/>
      </c>
      <c r="Z188" s="16"/>
      <c r="AA188" s="17"/>
      <c r="AB188" s="16"/>
      <c r="AC188" s="18" t="str">
        <f aca="true">IF(OR(AA188="",AB188="Hybrid deployed",AB188="PQC deployed",AB188="Not required (not vulnerable)",AB188="Risk accepted"),"",IF(AA188&lt;TODAY(),"OVERDUE",""))</f>
        <v/>
      </c>
      <c r="AD188" s="18" t="str">
        <f aca="true">IF(A188="","",IF(B188="","Name the system. ","")&amp;IF(LEFT(R188,7)="Unknown","Algorithm unknown - scan or ask the vendor. ","")&amp;IF(AND(R188&lt;&gt;"No",Assumptions!$C$6=""),"Set Z on Assumptions. ","")&amp;IF(AND(R188&lt;&gt;"No",OR(O188="",P188="")),"Enter X and Y. ","")&amp;IF(LEFT(T188,7)="AT RISK","Mosca: X+Y exceeds Z - migration should already be under way. ","")&amp;IF(AND(LEFT(U188,3)="Yes",OR(AB188="",AB188="Not started")),"Harvest-now-decrypt-later exposure and migration not started. ","")&amp;IF(AND(R188&lt;&gt;"No",OR(W188="",W188="To decide")),"Choose a target algorithm. ","")&amp;IF(AND(R188&lt;&gt;"No",W188="Keep - not quantum-vulnerable"),"Target 'Keep' conflicts with a quantum-vulnerable algorithm. ","")&amp;IF(LEFT(J188,5)="SHA-1","SHA-1 is deprecated - replace (NIST IR 8547). ","")&amp;IF(AND(R188&lt;&gt;"No",OR(N188="Roadmap - verbal only",N188="No roadmap",N188="Not asked yet")),"Get a written PQC roadmap from the vendor. ","")&amp;IF(AND(R188&lt;&gt;"No",N188=""),"Record the vendor PQC roadmap status. ","")&amp;IF(ISNUMBER(M188),IF(M188&lt;TODAY(),"Certificate or key expired. ",IF(M188-TODAY()&lt;=Assumptions!$C$25,"Expires soon - use the renewal to revisit the algorithm. ","")),"")&amp;IF(AC188="OVERDUE","Migration overdue. ","")&amp;IF(AND(R188&lt;&gt;"No",Z188=""),"Assign a migration owner. ",""))</f>
        <v/>
      </c>
    </row>
    <row r="189" customFormat="false" ht="15" hidden="false" customHeight="false" outlineLevel="0" collapsed="false">
      <c r="A189" s="16"/>
      <c r="B189" s="16"/>
      <c r="C189" s="16"/>
      <c r="D189" s="16"/>
      <c r="E189" s="16"/>
      <c r="F189" s="16"/>
      <c r="G189" s="16"/>
      <c r="H189" s="16"/>
      <c r="I189" s="16"/>
      <c r="J189" s="16"/>
      <c r="K189" s="16"/>
      <c r="L189" s="16"/>
      <c r="M189" s="17"/>
      <c r="N189" s="16"/>
      <c r="O189" s="16"/>
      <c r="P189" s="16"/>
      <c r="Q189" s="18" t="str">
        <f aca="false">IF(A189="","",IF(J189="","Unknown",IFERROR(INDEX('Algorithm Reference'!$C$6:$C$41,MATCH(J189,'Algorithm Reference'!$B$6:$B$41,0)),"Not in reference")))</f>
        <v/>
      </c>
      <c r="R189" s="18" t="str">
        <f aca="false">IF(A189="","",IF(J189="","Unknown - investigate",IFERROR(INDEX('Algorithm Reference'!$E$6:$E$41,MATCH(J189,'Algorithm Reference'!$B$6:$B$41,0)),"Unknown - investigate")))</f>
        <v/>
      </c>
      <c r="S189" s="18" t="str">
        <f aca="false">IF(OR(O189="",P189=""),"",O189+P189)</f>
        <v/>
      </c>
      <c r="T189" s="18" t="str">
        <f aca="false">IF(A189="","",IF(R189="No","N/A - not quantum-vulnerable",IF(OR(O189="",P189=""),"Enter X and Y",IF(Assumptions!$C$6="","Set Z on Assumptions",IF(O189+P189&gt;Assumptions!$C$6,"AT RISK (X+Y &gt; Z)","Within Z (X+Y &lt;= Z)")))))</f>
        <v/>
      </c>
      <c r="U189" s="18" t="str">
        <f aca="false">IF(A189="","",IF(AND(R189&lt;&gt;"No",OR(I189="Key establishment / encryption in transit",I189="Key wrapping / key transport",I189="Mixed or unknown",I189=""),OR(N(O189)&gt;0,G189="Confidential",G189="Restricted")),IF(F189="Yes","Yes - internet-facing","Yes"),"No"))</f>
        <v/>
      </c>
      <c r="V189" s="18" t="str">
        <f aca="false">IF(A189="","",IF(R189="No","Keep - not quantum-vulnerable (review key size)",IF(I189="Digital signature / authentication","ML-DSA-65 (FIPS 204); SLH-DSA (FIPS 205) if hash-based is preferred",IF(OR(I189="Key establishment / encryption in transit",I189="Key wrapping / key transport"),"ML-KEM-768 (FIPS 203); hybrid X25519MLKEM768 for TLS 1.3",IF(I189="Mixed or unknown","Both: ML-KEM (FIPS 203) for keys, ML-DSA (FIPS 204) for signatures","Pick the crypto function first")))))</f>
        <v/>
      </c>
      <c r="W189" s="16"/>
      <c r="X189" s="18" t="str">
        <f aca="false">IF(A189="","",IF(R189="No",0,IF(LEFT(T189,7)="AT RISK",Assumptions!$C$13,0)+IF(LEFT(U189,3)="Yes",Assumptions!$C$14,0)+IF(F189="Yes",Assumptions!$C$15,0)+IF(G189="Restricted",Assumptions!$C$16,IF(G189="Confidential",Assumptions!$C$17,IF(G189="Internal",Assumptions!$C$18,0)))+IF(OR(N189="Roadmap - verbal only",N189="No roadmap",N189="Not asked yet",N189=""),Assumptions!$C$19,0)+IF(E189="Production",Assumptions!$C$20,0)+IF(AND(ISNUMBER(P189),N(P189)&gt;=Assumptions!$C$22),Assumptions!$C$21,0)))</f>
        <v/>
      </c>
      <c r="Y189" s="18" t="str">
        <f aca="false">IF(X189="","",IF(R189="No","None",IF(X189&gt;=Assumptions!$C$23,"High",IF(X189&gt;=Assumptions!$C$24,"Medium","Low"))))</f>
        <v/>
      </c>
      <c r="Z189" s="16"/>
      <c r="AA189" s="17"/>
      <c r="AB189" s="16"/>
      <c r="AC189" s="18" t="str">
        <f aca="true">IF(OR(AA189="",AB189="Hybrid deployed",AB189="PQC deployed",AB189="Not required (not vulnerable)",AB189="Risk accepted"),"",IF(AA189&lt;TODAY(),"OVERDUE",""))</f>
        <v/>
      </c>
      <c r="AD189" s="18" t="str">
        <f aca="true">IF(A189="","",IF(B189="","Name the system. ","")&amp;IF(LEFT(R189,7)="Unknown","Algorithm unknown - scan or ask the vendor. ","")&amp;IF(AND(R189&lt;&gt;"No",Assumptions!$C$6=""),"Set Z on Assumptions. ","")&amp;IF(AND(R189&lt;&gt;"No",OR(O189="",P189="")),"Enter X and Y. ","")&amp;IF(LEFT(T189,7)="AT RISK","Mosca: X+Y exceeds Z - migration should already be under way. ","")&amp;IF(AND(LEFT(U189,3)="Yes",OR(AB189="",AB189="Not started")),"Harvest-now-decrypt-later exposure and migration not started. ","")&amp;IF(AND(R189&lt;&gt;"No",OR(W189="",W189="To decide")),"Choose a target algorithm. ","")&amp;IF(AND(R189&lt;&gt;"No",W189="Keep - not quantum-vulnerable"),"Target 'Keep' conflicts with a quantum-vulnerable algorithm. ","")&amp;IF(LEFT(J189,5)="SHA-1","SHA-1 is deprecated - replace (NIST IR 8547). ","")&amp;IF(AND(R189&lt;&gt;"No",OR(N189="Roadmap - verbal only",N189="No roadmap",N189="Not asked yet")),"Get a written PQC roadmap from the vendor. ","")&amp;IF(AND(R189&lt;&gt;"No",N189=""),"Record the vendor PQC roadmap status. ","")&amp;IF(ISNUMBER(M189),IF(M189&lt;TODAY(),"Certificate or key expired. ",IF(M189-TODAY()&lt;=Assumptions!$C$25,"Expires soon - use the renewal to revisit the algorithm. ","")),"")&amp;IF(AC189="OVERDUE","Migration overdue. ","")&amp;IF(AND(R189&lt;&gt;"No",Z189=""),"Assign a migration owner. ",""))</f>
        <v/>
      </c>
    </row>
    <row r="190" customFormat="false" ht="15" hidden="false" customHeight="false" outlineLevel="0" collapsed="false">
      <c r="A190" s="16"/>
      <c r="B190" s="16"/>
      <c r="C190" s="16"/>
      <c r="D190" s="16"/>
      <c r="E190" s="16"/>
      <c r="F190" s="16"/>
      <c r="G190" s="16"/>
      <c r="H190" s="16"/>
      <c r="I190" s="16"/>
      <c r="J190" s="16"/>
      <c r="K190" s="16"/>
      <c r="L190" s="16"/>
      <c r="M190" s="17"/>
      <c r="N190" s="16"/>
      <c r="O190" s="16"/>
      <c r="P190" s="16"/>
      <c r="Q190" s="18" t="str">
        <f aca="false">IF(A190="","",IF(J190="","Unknown",IFERROR(INDEX('Algorithm Reference'!$C$6:$C$41,MATCH(J190,'Algorithm Reference'!$B$6:$B$41,0)),"Not in reference")))</f>
        <v/>
      </c>
      <c r="R190" s="18" t="str">
        <f aca="false">IF(A190="","",IF(J190="","Unknown - investigate",IFERROR(INDEX('Algorithm Reference'!$E$6:$E$41,MATCH(J190,'Algorithm Reference'!$B$6:$B$41,0)),"Unknown - investigate")))</f>
        <v/>
      </c>
      <c r="S190" s="18" t="str">
        <f aca="false">IF(OR(O190="",P190=""),"",O190+P190)</f>
        <v/>
      </c>
      <c r="T190" s="18" t="str">
        <f aca="false">IF(A190="","",IF(R190="No","N/A - not quantum-vulnerable",IF(OR(O190="",P190=""),"Enter X and Y",IF(Assumptions!$C$6="","Set Z on Assumptions",IF(O190+P190&gt;Assumptions!$C$6,"AT RISK (X+Y &gt; Z)","Within Z (X+Y &lt;= Z)")))))</f>
        <v/>
      </c>
      <c r="U190" s="18" t="str">
        <f aca="false">IF(A190="","",IF(AND(R190&lt;&gt;"No",OR(I190="Key establishment / encryption in transit",I190="Key wrapping / key transport",I190="Mixed or unknown",I190=""),OR(N(O190)&gt;0,G190="Confidential",G190="Restricted")),IF(F190="Yes","Yes - internet-facing","Yes"),"No"))</f>
        <v/>
      </c>
      <c r="V190" s="18" t="str">
        <f aca="false">IF(A190="","",IF(R190="No","Keep - not quantum-vulnerable (review key size)",IF(I190="Digital signature / authentication","ML-DSA-65 (FIPS 204); SLH-DSA (FIPS 205) if hash-based is preferred",IF(OR(I190="Key establishment / encryption in transit",I190="Key wrapping / key transport"),"ML-KEM-768 (FIPS 203); hybrid X25519MLKEM768 for TLS 1.3",IF(I190="Mixed or unknown","Both: ML-KEM (FIPS 203) for keys, ML-DSA (FIPS 204) for signatures","Pick the crypto function first")))))</f>
        <v/>
      </c>
      <c r="W190" s="16"/>
      <c r="X190" s="18" t="str">
        <f aca="false">IF(A190="","",IF(R190="No",0,IF(LEFT(T190,7)="AT RISK",Assumptions!$C$13,0)+IF(LEFT(U190,3)="Yes",Assumptions!$C$14,0)+IF(F190="Yes",Assumptions!$C$15,0)+IF(G190="Restricted",Assumptions!$C$16,IF(G190="Confidential",Assumptions!$C$17,IF(G190="Internal",Assumptions!$C$18,0)))+IF(OR(N190="Roadmap - verbal only",N190="No roadmap",N190="Not asked yet",N190=""),Assumptions!$C$19,0)+IF(E190="Production",Assumptions!$C$20,0)+IF(AND(ISNUMBER(P190),N(P190)&gt;=Assumptions!$C$22),Assumptions!$C$21,0)))</f>
        <v/>
      </c>
      <c r="Y190" s="18" t="str">
        <f aca="false">IF(X190="","",IF(R190="No","None",IF(X190&gt;=Assumptions!$C$23,"High",IF(X190&gt;=Assumptions!$C$24,"Medium","Low"))))</f>
        <v/>
      </c>
      <c r="Z190" s="16"/>
      <c r="AA190" s="17"/>
      <c r="AB190" s="16"/>
      <c r="AC190" s="18" t="str">
        <f aca="true">IF(OR(AA190="",AB190="Hybrid deployed",AB190="PQC deployed",AB190="Not required (not vulnerable)",AB190="Risk accepted"),"",IF(AA190&lt;TODAY(),"OVERDUE",""))</f>
        <v/>
      </c>
      <c r="AD190" s="18" t="str">
        <f aca="true">IF(A190="","",IF(B190="","Name the system. ","")&amp;IF(LEFT(R190,7)="Unknown","Algorithm unknown - scan or ask the vendor. ","")&amp;IF(AND(R190&lt;&gt;"No",Assumptions!$C$6=""),"Set Z on Assumptions. ","")&amp;IF(AND(R190&lt;&gt;"No",OR(O190="",P190="")),"Enter X and Y. ","")&amp;IF(LEFT(T190,7)="AT RISK","Mosca: X+Y exceeds Z - migration should already be under way. ","")&amp;IF(AND(LEFT(U190,3)="Yes",OR(AB190="",AB190="Not started")),"Harvest-now-decrypt-later exposure and migration not started. ","")&amp;IF(AND(R190&lt;&gt;"No",OR(W190="",W190="To decide")),"Choose a target algorithm. ","")&amp;IF(AND(R190&lt;&gt;"No",W190="Keep - not quantum-vulnerable"),"Target 'Keep' conflicts with a quantum-vulnerable algorithm. ","")&amp;IF(LEFT(J190,5)="SHA-1","SHA-1 is deprecated - replace (NIST IR 8547). ","")&amp;IF(AND(R190&lt;&gt;"No",OR(N190="Roadmap - verbal only",N190="No roadmap",N190="Not asked yet")),"Get a written PQC roadmap from the vendor. ","")&amp;IF(AND(R190&lt;&gt;"No",N190=""),"Record the vendor PQC roadmap status. ","")&amp;IF(ISNUMBER(M190),IF(M190&lt;TODAY(),"Certificate or key expired. ",IF(M190-TODAY()&lt;=Assumptions!$C$25,"Expires soon - use the renewal to revisit the algorithm. ","")),"")&amp;IF(AC190="OVERDUE","Migration overdue. ","")&amp;IF(AND(R190&lt;&gt;"No",Z190=""),"Assign a migration owner. ",""))</f>
        <v/>
      </c>
    </row>
    <row r="191" customFormat="false" ht="15" hidden="false" customHeight="false" outlineLevel="0" collapsed="false">
      <c r="A191" s="16"/>
      <c r="B191" s="16"/>
      <c r="C191" s="16"/>
      <c r="D191" s="16"/>
      <c r="E191" s="16"/>
      <c r="F191" s="16"/>
      <c r="G191" s="16"/>
      <c r="H191" s="16"/>
      <c r="I191" s="16"/>
      <c r="J191" s="16"/>
      <c r="K191" s="16"/>
      <c r="L191" s="16"/>
      <c r="M191" s="17"/>
      <c r="N191" s="16"/>
      <c r="O191" s="16"/>
      <c r="P191" s="16"/>
      <c r="Q191" s="18" t="str">
        <f aca="false">IF(A191="","",IF(J191="","Unknown",IFERROR(INDEX('Algorithm Reference'!$C$6:$C$41,MATCH(J191,'Algorithm Reference'!$B$6:$B$41,0)),"Not in reference")))</f>
        <v/>
      </c>
      <c r="R191" s="18" t="str">
        <f aca="false">IF(A191="","",IF(J191="","Unknown - investigate",IFERROR(INDEX('Algorithm Reference'!$E$6:$E$41,MATCH(J191,'Algorithm Reference'!$B$6:$B$41,0)),"Unknown - investigate")))</f>
        <v/>
      </c>
      <c r="S191" s="18" t="str">
        <f aca="false">IF(OR(O191="",P191=""),"",O191+P191)</f>
        <v/>
      </c>
      <c r="T191" s="18" t="str">
        <f aca="false">IF(A191="","",IF(R191="No","N/A - not quantum-vulnerable",IF(OR(O191="",P191=""),"Enter X and Y",IF(Assumptions!$C$6="","Set Z on Assumptions",IF(O191+P191&gt;Assumptions!$C$6,"AT RISK (X+Y &gt; Z)","Within Z (X+Y &lt;= Z)")))))</f>
        <v/>
      </c>
      <c r="U191" s="18" t="str">
        <f aca="false">IF(A191="","",IF(AND(R191&lt;&gt;"No",OR(I191="Key establishment / encryption in transit",I191="Key wrapping / key transport",I191="Mixed or unknown",I191=""),OR(N(O191)&gt;0,G191="Confidential",G191="Restricted")),IF(F191="Yes","Yes - internet-facing","Yes"),"No"))</f>
        <v/>
      </c>
      <c r="V191" s="18" t="str">
        <f aca="false">IF(A191="","",IF(R191="No","Keep - not quantum-vulnerable (review key size)",IF(I191="Digital signature / authentication","ML-DSA-65 (FIPS 204); SLH-DSA (FIPS 205) if hash-based is preferred",IF(OR(I191="Key establishment / encryption in transit",I191="Key wrapping / key transport"),"ML-KEM-768 (FIPS 203); hybrid X25519MLKEM768 for TLS 1.3",IF(I191="Mixed or unknown","Both: ML-KEM (FIPS 203) for keys, ML-DSA (FIPS 204) for signatures","Pick the crypto function first")))))</f>
        <v/>
      </c>
      <c r="W191" s="16"/>
      <c r="X191" s="18" t="str">
        <f aca="false">IF(A191="","",IF(R191="No",0,IF(LEFT(T191,7)="AT RISK",Assumptions!$C$13,0)+IF(LEFT(U191,3)="Yes",Assumptions!$C$14,0)+IF(F191="Yes",Assumptions!$C$15,0)+IF(G191="Restricted",Assumptions!$C$16,IF(G191="Confidential",Assumptions!$C$17,IF(G191="Internal",Assumptions!$C$18,0)))+IF(OR(N191="Roadmap - verbal only",N191="No roadmap",N191="Not asked yet",N191=""),Assumptions!$C$19,0)+IF(E191="Production",Assumptions!$C$20,0)+IF(AND(ISNUMBER(P191),N(P191)&gt;=Assumptions!$C$22),Assumptions!$C$21,0)))</f>
        <v/>
      </c>
      <c r="Y191" s="18" t="str">
        <f aca="false">IF(X191="","",IF(R191="No","None",IF(X191&gt;=Assumptions!$C$23,"High",IF(X191&gt;=Assumptions!$C$24,"Medium","Low"))))</f>
        <v/>
      </c>
      <c r="Z191" s="16"/>
      <c r="AA191" s="17"/>
      <c r="AB191" s="16"/>
      <c r="AC191" s="18" t="str">
        <f aca="true">IF(OR(AA191="",AB191="Hybrid deployed",AB191="PQC deployed",AB191="Not required (not vulnerable)",AB191="Risk accepted"),"",IF(AA191&lt;TODAY(),"OVERDUE",""))</f>
        <v/>
      </c>
      <c r="AD191" s="18" t="str">
        <f aca="true">IF(A191="","",IF(B191="","Name the system. ","")&amp;IF(LEFT(R191,7)="Unknown","Algorithm unknown - scan or ask the vendor. ","")&amp;IF(AND(R191&lt;&gt;"No",Assumptions!$C$6=""),"Set Z on Assumptions. ","")&amp;IF(AND(R191&lt;&gt;"No",OR(O191="",P191="")),"Enter X and Y. ","")&amp;IF(LEFT(T191,7)="AT RISK","Mosca: X+Y exceeds Z - migration should already be under way. ","")&amp;IF(AND(LEFT(U191,3)="Yes",OR(AB191="",AB191="Not started")),"Harvest-now-decrypt-later exposure and migration not started. ","")&amp;IF(AND(R191&lt;&gt;"No",OR(W191="",W191="To decide")),"Choose a target algorithm. ","")&amp;IF(AND(R191&lt;&gt;"No",W191="Keep - not quantum-vulnerable"),"Target 'Keep' conflicts with a quantum-vulnerable algorithm. ","")&amp;IF(LEFT(J191,5)="SHA-1","SHA-1 is deprecated - replace (NIST IR 8547). ","")&amp;IF(AND(R191&lt;&gt;"No",OR(N191="Roadmap - verbal only",N191="No roadmap",N191="Not asked yet")),"Get a written PQC roadmap from the vendor. ","")&amp;IF(AND(R191&lt;&gt;"No",N191=""),"Record the vendor PQC roadmap status. ","")&amp;IF(ISNUMBER(M191),IF(M191&lt;TODAY(),"Certificate or key expired. ",IF(M191-TODAY()&lt;=Assumptions!$C$25,"Expires soon - use the renewal to revisit the algorithm. ","")),"")&amp;IF(AC191="OVERDUE","Migration overdue. ","")&amp;IF(AND(R191&lt;&gt;"No",Z191=""),"Assign a migration owner. ",""))</f>
        <v/>
      </c>
    </row>
    <row r="192" customFormat="false" ht="15" hidden="false" customHeight="false" outlineLevel="0" collapsed="false">
      <c r="A192" s="16"/>
      <c r="B192" s="16"/>
      <c r="C192" s="16"/>
      <c r="D192" s="16"/>
      <c r="E192" s="16"/>
      <c r="F192" s="16"/>
      <c r="G192" s="16"/>
      <c r="H192" s="16"/>
      <c r="I192" s="16"/>
      <c r="J192" s="16"/>
      <c r="K192" s="16"/>
      <c r="L192" s="16"/>
      <c r="M192" s="17"/>
      <c r="N192" s="16"/>
      <c r="O192" s="16"/>
      <c r="P192" s="16"/>
      <c r="Q192" s="18" t="str">
        <f aca="false">IF(A192="","",IF(J192="","Unknown",IFERROR(INDEX('Algorithm Reference'!$C$6:$C$41,MATCH(J192,'Algorithm Reference'!$B$6:$B$41,0)),"Not in reference")))</f>
        <v/>
      </c>
      <c r="R192" s="18" t="str">
        <f aca="false">IF(A192="","",IF(J192="","Unknown - investigate",IFERROR(INDEX('Algorithm Reference'!$E$6:$E$41,MATCH(J192,'Algorithm Reference'!$B$6:$B$41,0)),"Unknown - investigate")))</f>
        <v/>
      </c>
      <c r="S192" s="18" t="str">
        <f aca="false">IF(OR(O192="",P192=""),"",O192+P192)</f>
        <v/>
      </c>
      <c r="T192" s="18" t="str">
        <f aca="false">IF(A192="","",IF(R192="No","N/A - not quantum-vulnerable",IF(OR(O192="",P192=""),"Enter X and Y",IF(Assumptions!$C$6="","Set Z on Assumptions",IF(O192+P192&gt;Assumptions!$C$6,"AT RISK (X+Y &gt; Z)","Within Z (X+Y &lt;= Z)")))))</f>
        <v/>
      </c>
      <c r="U192" s="18" t="str">
        <f aca="false">IF(A192="","",IF(AND(R192&lt;&gt;"No",OR(I192="Key establishment / encryption in transit",I192="Key wrapping / key transport",I192="Mixed or unknown",I192=""),OR(N(O192)&gt;0,G192="Confidential",G192="Restricted")),IF(F192="Yes","Yes - internet-facing","Yes"),"No"))</f>
        <v/>
      </c>
      <c r="V192" s="18" t="str">
        <f aca="false">IF(A192="","",IF(R192="No","Keep - not quantum-vulnerable (review key size)",IF(I192="Digital signature / authentication","ML-DSA-65 (FIPS 204); SLH-DSA (FIPS 205) if hash-based is preferred",IF(OR(I192="Key establishment / encryption in transit",I192="Key wrapping / key transport"),"ML-KEM-768 (FIPS 203); hybrid X25519MLKEM768 for TLS 1.3",IF(I192="Mixed or unknown","Both: ML-KEM (FIPS 203) for keys, ML-DSA (FIPS 204) for signatures","Pick the crypto function first")))))</f>
        <v/>
      </c>
      <c r="W192" s="16"/>
      <c r="X192" s="18" t="str">
        <f aca="false">IF(A192="","",IF(R192="No",0,IF(LEFT(T192,7)="AT RISK",Assumptions!$C$13,0)+IF(LEFT(U192,3)="Yes",Assumptions!$C$14,0)+IF(F192="Yes",Assumptions!$C$15,0)+IF(G192="Restricted",Assumptions!$C$16,IF(G192="Confidential",Assumptions!$C$17,IF(G192="Internal",Assumptions!$C$18,0)))+IF(OR(N192="Roadmap - verbal only",N192="No roadmap",N192="Not asked yet",N192=""),Assumptions!$C$19,0)+IF(E192="Production",Assumptions!$C$20,0)+IF(AND(ISNUMBER(P192),N(P192)&gt;=Assumptions!$C$22),Assumptions!$C$21,0)))</f>
        <v/>
      </c>
      <c r="Y192" s="18" t="str">
        <f aca="false">IF(X192="","",IF(R192="No","None",IF(X192&gt;=Assumptions!$C$23,"High",IF(X192&gt;=Assumptions!$C$24,"Medium","Low"))))</f>
        <v/>
      </c>
      <c r="Z192" s="16"/>
      <c r="AA192" s="17"/>
      <c r="AB192" s="16"/>
      <c r="AC192" s="18" t="str">
        <f aca="true">IF(OR(AA192="",AB192="Hybrid deployed",AB192="PQC deployed",AB192="Not required (not vulnerable)",AB192="Risk accepted"),"",IF(AA192&lt;TODAY(),"OVERDUE",""))</f>
        <v/>
      </c>
      <c r="AD192" s="18" t="str">
        <f aca="true">IF(A192="","",IF(B192="","Name the system. ","")&amp;IF(LEFT(R192,7)="Unknown","Algorithm unknown - scan or ask the vendor. ","")&amp;IF(AND(R192&lt;&gt;"No",Assumptions!$C$6=""),"Set Z on Assumptions. ","")&amp;IF(AND(R192&lt;&gt;"No",OR(O192="",P192="")),"Enter X and Y. ","")&amp;IF(LEFT(T192,7)="AT RISK","Mosca: X+Y exceeds Z - migration should already be under way. ","")&amp;IF(AND(LEFT(U192,3)="Yes",OR(AB192="",AB192="Not started")),"Harvest-now-decrypt-later exposure and migration not started. ","")&amp;IF(AND(R192&lt;&gt;"No",OR(W192="",W192="To decide")),"Choose a target algorithm. ","")&amp;IF(AND(R192&lt;&gt;"No",W192="Keep - not quantum-vulnerable"),"Target 'Keep' conflicts with a quantum-vulnerable algorithm. ","")&amp;IF(LEFT(J192,5)="SHA-1","SHA-1 is deprecated - replace (NIST IR 8547). ","")&amp;IF(AND(R192&lt;&gt;"No",OR(N192="Roadmap - verbal only",N192="No roadmap",N192="Not asked yet")),"Get a written PQC roadmap from the vendor. ","")&amp;IF(AND(R192&lt;&gt;"No",N192=""),"Record the vendor PQC roadmap status. ","")&amp;IF(ISNUMBER(M192),IF(M192&lt;TODAY(),"Certificate or key expired. ",IF(M192-TODAY()&lt;=Assumptions!$C$25,"Expires soon - use the renewal to revisit the algorithm. ","")),"")&amp;IF(AC192="OVERDUE","Migration overdue. ","")&amp;IF(AND(R192&lt;&gt;"No",Z192=""),"Assign a migration owner. ",""))</f>
        <v/>
      </c>
    </row>
    <row r="193" customFormat="false" ht="15" hidden="false" customHeight="false" outlineLevel="0" collapsed="false">
      <c r="A193" s="16"/>
      <c r="B193" s="16"/>
      <c r="C193" s="16"/>
      <c r="D193" s="16"/>
      <c r="E193" s="16"/>
      <c r="F193" s="16"/>
      <c r="G193" s="16"/>
      <c r="H193" s="16"/>
      <c r="I193" s="16"/>
      <c r="J193" s="16"/>
      <c r="K193" s="16"/>
      <c r="L193" s="16"/>
      <c r="M193" s="17"/>
      <c r="N193" s="16"/>
      <c r="O193" s="16"/>
      <c r="P193" s="16"/>
      <c r="Q193" s="18" t="str">
        <f aca="false">IF(A193="","",IF(J193="","Unknown",IFERROR(INDEX('Algorithm Reference'!$C$6:$C$41,MATCH(J193,'Algorithm Reference'!$B$6:$B$41,0)),"Not in reference")))</f>
        <v/>
      </c>
      <c r="R193" s="18" t="str">
        <f aca="false">IF(A193="","",IF(J193="","Unknown - investigate",IFERROR(INDEX('Algorithm Reference'!$E$6:$E$41,MATCH(J193,'Algorithm Reference'!$B$6:$B$41,0)),"Unknown - investigate")))</f>
        <v/>
      </c>
      <c r="S193" s="18" t="str">
        <f aca="false">IF(OR(O193="",P193=""),"",O193+P193)</f>
        <v/>
      </c>
      <c r="T193" s="18" t="str">
        <f aca="false">IF(A193="","",IF(R193="No","N/A - not quantum-vulnerable",IF(OR(O193="",P193=""),"Enter X and Y",IF(Assumptions!$C$6="","Set Z on Assumptions",IF(O193+P193&gt;Assumptions!$C$6,"AT RISK (X+Y &gt; Z)","Within Z (X+Y &lt;= Z)")))))</f>
        <v/>
      </c>
      <c r="U193" s="18" t="str">
        <f aca="false">IF(A193="","",IF(AND(R193&lt;&gt;"No",OR(I193="Key establishment / encryption in transit",I193="Key wrapping / key transport",I193="Mixed or unknown",I193=""),OR(N(O193)&gt;0,G193="Confidential",G193="Restricted")),IF(F193="Yes","Yes - internet-facing","Yes"),"No"))</f>
        <v/>
      </c>
      <c r="V193" s="18" t="str">
        <f aca="false">IF(A193="","",IF(R193="No","Keep - not quantum-vulnerable (review key size)",IF(I193="Digital signature / authentication","ML-DSA-65 (FIPS 204); SLH-DSA (FIPS 205) if hash-based is preferred",IF(OR(I193="Key establishment / encryption in transit",I193="Key wrapping / key transport"),"ML-KEM-768 (FIPS 203); hybrid X25519MLKEM768 for TLS 1.3",IF(I193="Mixed or unknown","Both: ML-KEM (FIPS 203) for keys, ML-DSA (FIPS 204) for signatures","Pick the crypto function first")))))</f>
        <v/>
      </c>
      <c r="W193" s="16"/>
      <c r="X193" s="18" t="str">
        <f aca="false">IF(A193="","",IF(R193="No",0,IF(LEFT(T193,7)="AT RISK",Assumptions!$C$13,0)+IF(LEFT(U193,3)="Yes",Assumptions!$C$14,0)+IF(F193="Yes",Assumptions!$C$15,0)+IF(G193="Restricted",Assumptions!$C$16,IF(G193="Confidential",Assumptions!$C$17,IF(G193="Internal",Assumptions!$C$18,0)))+IF(OR(N193="Roadmap - verbal only",N193="No roadmap",N193="Not asked yet",N193=""),Assumptions!$C$19,0)+IF(E193="Production",Assumptions!$C$20,0)+IF(AND(ISNUMBER(P193),N(P193)&gt;=Assumptions!$C$22),Assumptions!$C$21,0)))</f>
        <v/>
      </c>
      <c r="Y193" s="18" t="str">
        <f aca="false">IF(X193="","",IF(R193="No","None",IF(X193&gt;=Assumptions!$C$23,"High",IF(X193&gt;=Assumptions!$C$24,"Medium","Low"))))</f>
        <v/>
      </c>
      <c r="Z193" s="16"/>
      <c r="AA193" s="17"/>
      <c r="AB193" s="16"/>
      <c r="AC193" s="18" t="str">
        <f aca="true">IF(OR(AA193="",AB193="Hybrid deployed",AB193="PQC deployed",AB193="Not required (not vulnerable)",AB193="Risk accepted"),"",IF(AA193&lt;TODAY(),"OVERDUE",""))</f>
        <v/>
      </c>
      <c r="AD193" s="18" t="str">
        <f aca="true">IF(A193="","",IF(B193="","Name the system. ","")&amp;IF(LEFT(R193,7)="Unknown","Algorithm unknown - scan or ask the vendor. ","")&amp;IF(AND(R193&lt;&gt;"No",Assumptions!$C$6=""),"Set Z on Assumptions. ","")&amp;IF(AND(R193&lt;&gt;"No",OR(O193="",P193="")),"Enter X and Y. ","")&amp;IF(LEFT(T193,7)="AT RISK","Mosca: X+Y exceeds Z - migration should already be under way. ","")&amp;IF(AND(LEFT(U193,3)="Yes",OR(AB193="",AB193="Not started")),"Harvest-now-decrypt-later exposure and migration not started. ","")&amp;IF(AND(R193&lt;&gt;"No",OR(W193="",W193="To decide")),"Choose a target algorithm. ","")&amp;IF(AND(R193&lt;&gt;"No",W193="Keep - not quantum-vulnerable"),"Target 'Keep' conflicts with a quantum-vulnerable algorithm. ","")&amp;IF(LEFT(J193,5)="SHA-1","SHA-1 is deprecated - replace (NIST IR 8547). ","")&amp;IF(AND(R193&lt;&gt;"No",OR(N193="Roadmap - verbal only",N193="No roadmap",N193="Not asked yet")),"Get a written PQC roadmap from the vendor. ","")&amp;IF(AND(R193&lt;&gt;"No",N193=""),"Record the vendor PQC roadmap status. ","")&amp;IF(ISNUMBER(M193),IF(M193&lt;TODAY(),"Certificate or key expired. ",IF(M193-TODAY()&lt;=Assumptions!$C$25,"Expires soon - use the renewal to revisit the algorithm. ","")),"")&amp;IF(AC193="OVERDUE","Migration overdue. ","")&amp;IF(AND(R193&lt;&gt;"No",Z193=""),"Assign a migration owner. ",""))</f>
        <v/>
      </c>
    </row>
    <row r="194" customFormat="false" ht="15" hidden="false" customHeight="false" outlineLevel="0" collapsed="false">
      <c r="A194" s="16"/>
      <c r="B194" s="16"/>
      <c r="C194" s="16"/>
      <c r="D194" s="16"/>
      <c r="E194" s="16"/>
      <c r="F194" s="16"/>
      <c r="G194" s="16"/>
      <c r="H194" s="16"/>
      <c r="I194" s="16"/>
      <c r="J194" s="16"/>
      <c r="K194" s="16"/>
      <c r="L194" s="16"/>
      <c r="M194" s="17"/>
      <c r="N194" s="16"/>
      <c r="O194" s="16"/>
      <c r="P194" s="16"/>
      <c r="Q194" s="18" t="str">
        <f aca="false">IF(A194="","",IF(J194="","Unknown",IFERROR(INDEX('Algorithm Reference'!$C$6:$C$41,MATCH(J194,'Algorithm Reference'!$B$6:$B$41,0)),"Not in reference")))</f>
        <v/>
      </c>
      <c r="R194" s="18" t="str">
        <f aca="false">IF(A194="","",IF(J194="","Unknown - investigate",IFERROR(INDEX('Algorithm Reference'!$E$6:$E$41,MATCH(J194,'Algorithm Reference'!$B$6:$B$41,0)),"Unknown - investigate")))</f>
        <v/>
      </c>
      <c r="S194" s="18" t="str">
        <f aca="false">IF(OR(O194="",P194=""),"",O194+P194)</f>
        <v/>
      </c>
      <c r="T194" s="18" t="str">
        <f aca="false">IF(A194="","",IF(R194="No","N/A - not quantum-vulnerable",IF(OR(O194="",P194=""),"Enter X and Y",IF(Assumptions!$C$6="","Set Z on Assumptions",IF(O194+P194&gt;Assumptions!$C$6,"AT RISK (X+Y &gt; Z)","Within Z (X+Y &lt;= Z)")))))</f>
        <v/>
      </c>
      <c r="U194" s="18" t="str">
        <f aca="false">IF(A194="","",IF(AND(R194&lt;&gt;"No",OR(I194="Key establishment / encryption in transit",I194="Key wrapping / key transport",I194="Mixed or unknown",I194=""),OR(N(O194)&gt;0,G194="Confidential",G194="Restricted")),IF(F194="Yes","Yes - internet-facing","Yes"),"No"))</f>
        <v/>
      </c>
      <c r="V194" s="18" t="str">
        <f aca="false">IF(A194="","",IF(R194="No","Keep - not quantum-vulnerable (review key size)",IF(I194="Digital signature / authentication","ML-DSA-65 (FIPS 204); SLH-DSA (FIPS 205) if hash-based is preferred",IF(OR(I194="Key establishment / encryption in transit",I194="Key wrapping / key transport"),"ML-KEM-768 (FIPS 203); hybrid X25519MLKEM768 for TLS 1.3",IF(I194="Mixed or unknown","Both: ML-KEM (FIPS 203) for keys, ML-DSA (FIPS 204) for signatures","Pick the crypto function first")))))</f>
        <v/>
      </c>
      <c r="W194" s="16"/>
      <c r="X194" s="18" t="str">
        <f aca="false">IF(A194="","",IF(R194="No",0,IF(LEFT(T194,7)="AT RISK",Assumptions!$C$13,0)+IF(LEFT(U194,3)="Yes",Assumptions!$C$14,0)+IF(F194="Yes",Assumptions!$C$15,0)+IF(G194="Restricted",Assumptions!$C$16,IF(G194="Confidential",Assumptions!$C$17,IF(G194="Internal",Assumptions!$C$18,0)))+IF(OR(N194="Roadmap - verbal only",N194="No roadmap",N194="Not asked yet",N194=""),Assumptions!$C$19,0)+IF(E194="Production",Assumptions!$C$20,0)+IF(AND(ISNUMBER(P194),N(P194)&gt;=Assumptions!$C$22),Assumptions!$C$21,0)))</f>
        <v/>
      </c>
      <c r="Y194" s="18" t="str">
        <f aca="false">IF(X194="","",IF(R194="No","None",IF(X194&gt;=Assumptions!$C$23,"High",IF(X194&gt;=Assumptions!$C$24,"Medium","Low"))))</f>
        <v/>
      </c>
      <c r="Z194" s="16"/>
      <c r="AA194" s="17"/>
      <c r="AB194" s="16"/>
      <c r="AC194" s="18" t="str">
        <f aca="true">IF(OR(AA194="",AB194="Hybrid deployed",AB194="PQC deployed",AB194="Not required (not vulnerable)",AB194="Risk accepted"),"",IF(AA194&lt;TODAY(),"OVERDUE",""))</f>
        <v/>
      </c>
      <c r="AD194" s="18" t="str">
        <f aca="true">IF(A194="","",IF(B194="","Name the system. ","")&amp;IF(LEFT(R194,7)="Unknown","Algorithm unknown - scan or ask the vendor. ","")&amp;IF(AND(R194&lt;&gt;"No",Assumptions!$C$6=""),"Set Z on Assumptions. ","")&amp;IF(AND(R194&lt;&gt;"No",OR(O194="",P194="")),"Enter X and Y. ","")&amp;IF(LEFT(T194,7)="AT RISK","Mosca: X+Y exceeds Z - migration should already be under way. ","")&amp;IF(AND(LEFT(U194,3)="Yes",OR(AB194="",AB194="Not started")),"Harvest-now-decrypt-later exposure and migration not started. ","")&amp;IF(AND(R194&lt;&gt;"No",OR(W194="",W194="To decide")),"Choose a target algorithm. ","")&amp;IF(AND(R194&lt;&gt;"No",W194="Keep - not quantum-vulnerable"),"Target 'Keep' conflicts with a quantum-vulnerable algorithm. ","")&amp;IF(LEFT(J194,5)="SHA-1","SHA-1 is deprecated - replace (NIST IR 8547). ","")&amp;IF(AND(R194&lt;&gt;"No",OR(N194="Roadmap - verbal only",N194="No roadmap",N194="Not asked yet")),"Get a written PQC roadmap from the vendor. ","")&amp;IF(AND(R194&lt;&gt;"No",N194=""),"Record the vendor PQC roadmap status. ","")&amp;IF(ISNUMBER(M194),IF(M194&lt;TODAY(),"Certificate or key expired. ",IF(M194-TODAY()&lt;=Assumptions!$C$25,"Expires soon - use the renewal to revisit the algorithm. ","")),"")&amp;IF(AC194="OVERDUE","Migration overdue. ","")&amp;IF(AND(R194&lt;&gt;"No",Z194=""),"Assign a migration owner. ",""))</f>
        <v/>
      </c>
    </row>
    <row r="195" customFormat="false" ht="15" hidden="false" customHeight="false" outlineLevel="0" collapsed="false">
      <c r="A195" s="16"/>
      <c r="B195" s="16"/>
      <c r="C195" s="16"/>
      <c r="D195" s="16"/>
      <c r="E195" s="16"/>
      <c r="F195" s="16"/>
      <c r="G195" s="16"/>
      <c r="H195" s="16"/>
      <c r="I195" s="16"/>
      <c r="J195" s="16"/>
      <c r="K195" s="16"/>
      <c r="L195" s="16"/>
      <c r="M195" s="17"/>
      <c r="N195" s="16"/>
      <c r="O195" s="16"/>
      <c r="P195" s="16"/>
      <c r="Q195" s="18" t="str">
        <f aca="false">IF(A195="","",IF(J195="","Unknown",IFERROR(INDEX('Algorithm Reference'!$C$6:$C$41,MATCH(J195,'Algorithm Reference'!$B$6:$B$41,0)),"Not in reference")))</f>
        <v/>
      </c>
      <c r="R195" s="18" t="str">
        <f aca="false">IF(A195="","",IF(J195="","Unknown - investigate",IFERROR(INDEX('Algorithm Reference'!$E$6:$E$41,MATCH(J195,'Algorithm Reference'!$B$6:$B$41,0)),"Unknown - investigate")))</f>
        <v/>
      </c>
      <c r="S195" s="18" t="str">
        <f aca="false">IF(OR(O195="",P195=""),"",O195+P195)</f>
        <v/>
      </c>
      <c r="T195" s="18" t="str">
        <f aca="false">IF(A195="","",IF(R195="No","N/A - not quantum-vulnerable",IF(OR(O195="",P195=""),"Enter X and Y",IF(Assumptions!$C$6="","Set Z on Assumptions",IF(O195+P195&gt;Assumptions!$C$6,"AT RISK (X+Y &gt; Z)","Within Z (X+Y &lt;= Z)")))))</f>
        <v/>
      </c>
      <c r="U195" s="18" t="str">
        <f aca="false">IF(A195="","",IF(AND(R195&lt;&gt;"No",OR(I195="Key establishment / encryption in transit",I195="Key wrapping / key transport",I195="Mixed or unknown",I195=""),OR(N(O195)&gt;0,G195="Confidential",G195="Restricted")),IF(F195="Yes","Yes - internet-facing","Yes"),"No"))</f>
        <v/>
      </c>
      <c r="V195" s="18" t="str">
        <f aca="false">IF(A195="","",IF(R195="No","Keep - not quantum-vulnerable (review key size)",IF(I195="Digital signature / authentication","ML-DSA-65 (FIPS 204); SLH-DSA (FIPS 205) if hash-based is preferred",IF(OR(I195="Key establishment / encryption in transit",I195="Key wrapping / key transport"),"ML-KEM-768 (FIPS 203); hybrid X25519MLKEM768 for TLS 1.3",IF(I195="Mixed or unknown","Both: ML-KEM (FIPS 203) for keys, ML-DSA (FIPS 204) for signatures","Pick the crypto function first")))))</f>
        <v/>
      </c>
      <c r="W195" s="16"/>
      <c r="X195" s="18" t="str">
        <f aca="false">IF(A195="","",IF(R195="No",0,IF(LEFT(T195,7)="AT RISK",Assumptions!$C$13,0)+IF(LEFT(U195,3)="Yes",Assumptions!$C$14,0)+IF(F195="Yes",Assumptions!$C$15,0)+IF(G195="Restricted",Assumptions!$C$16,IF(G195="Confidential",Assumptions!$C$17,IF(G195="Internal",Assumptions!$C$18,0)))+IF(OR(N195="Roadmap - verbal only",N195="No roadmap",N195="Not asked yet",N195=""),Assumptions!$C$19,0)+IF(E195="Production",Assumptions!$C$20,0)+IF(AND(ISNUMBER(P195),N(P195)&gt;=Assumptions!$C$22),Assumptions!$C$21,0)))</f>
        <v/>
      </c>
      <c r="Y195" s="18" t="str">
        <f aca="false">IF(X195="","",IF(R195="No","None",IF(X195&gt;=Assumptions!$C$23,"High",IF(X195&gt;=Assumptions!$C$24,"Medium","Low"))))</f>
        <v/>
      </c>
      <c r="Z195" s="16"/>
      <c r="AA195" s="17"/>
      <c r="AB195" s="16"/>
      <c r="AC195" s="18" t="str">
        <f aca="true">IF(OR(AA195="",AB195="Hybrid deployed",AB195="PQC deployed",AB195="Not required (not vulnerable)",AB195="Risk accepted"),"",IF(AA195&lt;TODAY(),"OVERDUE",""))</f>
        <v/>
      </c>
      <c r="AD195" s="18" t="str">
        <f aca="true">IF(A195="","",IF(B195="","Name the system. ","")&amp;IF(LEFT(R195,7)="Unknown","Algorithm unknown - scan or ask the vendor. ","")&amp;IF(AND(R195&lt;&gt;"No",Assumptions!$C$6=""),"Set Z on Assumptions. ","")&amp;IF(AND(R195&lt;&gt;"No",OR(O195="",P195="")),"Enter X and Y. ","")&amp;IF(LEFT(T195,7)="AT RISK","Mosca: X+Y exceeds Z - migration should already be under way. ","")&amp;IF(AND(LEFT(U195,3)="Yes",OR(AB195="",AB195="Not started")),"Harvest-now-decrypt-later exposure and migration not started. ","")&amp;IF(AND(R195&lt;&gt;"No",OR(W195="",W195="To decide")),"Choose a target algorithm. ","")&amp;IF(AND(R195&lt;&gt;"No",W195="Keep - not quantum-vulnerable"),"Target 'Keep' conflicts with a quantum-vulnerable algorithm. ","")&amp;IF(LEFT(J195,5)="SHA-1","SHA-1 is deprecated - replace (NIST IR 8547). ","")&amp;IF(AND(R195&lt;&gt;"No",OR(N195="Roadmap - verbal only",N195="No roadmap",N195="Not asked yet")),"Get a written PQC roadmap from the vendor. ","")&amp;IF(AND(R195&lt;&gt;"No",N195=""),"Record the vendor PQC roadmap status. ","")&amp;IF(ISNUMBER(M195),IF(M195&lt;TODAY(),"Certificate or key expired. ",IF(M195-TODAY()&lt;=Assumptions!$C$25,"Expires soon - use the renewal to revisit the algorithm. ","")),"")&amp;IF(AC195="OVERDUE","Migration overdue. ","")&amp;IF(AND(R195&lt;&gt;"No",Z195=""),"Assign a migration owner. ",""))</f>
        <v/>
      </c>
    </row>
    <row r="196" customFormat="false" ht="15" hidden="false" customHeight="false" outlineLevel="0" collapsed="false">
      <c r="A196" s="16"/>
      <c r="B196" s="16"/>
      <c r="C196" s="16"/>
      <c r="D196" s="16"/>
      <c r="E196" s="16"/>
      <c r="F196" s="16"/>
      <c r="G196" s="16"/>
      <c r="H196" s="16"/>
      <c r="I196" s="16"/>
      <c r="J196" s="16"/>
      <c r="K196" s="16"/>
      <c r="L196" s="16"/>
      <c r="M196" s="17"/>
      <c r="N196" s="16"/>
      <c r="O196" s="16"/>
      <c r="P196" s="16"/>
      <c r="Q196" s="18" t="str">
        <f aca="false">IF(A196="","",IF(J196="","Unknown",IFERROR(INDEX('Algorithm Reference'!$C$6:$C$41,MATCH(J196,'Algorithm Reference'!$B$6:$B$41,0)),"Not in reference")))</f>
        <v/>
      </c>
      <c r="R196" s="18" t="str">
        <f aca="false">IF(A196="","",IF(J196="","Unknown - investigate",IFERROR(INDEX('Algorithm Reference'!$E$6:$E$41,MATCH(J196,'Algorithm Reference'!$B$6:$B$41,0)),"Unknown - investigate")))</f>
        <v/>
      </c>
      <c r="S196" s="18" t="str">
        <f aca="false">IF(OR(O196="",P196=""),"",O196+P196)</f>
        <v/>
      </c>
      <c r="T196" s="18" t="str">
        <f aca="false">IF(A196="","",IF(R196="No","N/A - not quantum-vulnerable",IF(OR(O196="",P196=""),"Enter X and Y",IF(Assumptions!$C$6="","Set Z on Assumptions",IF(O196+P196&gt;Assumptions!$C$6,"AT RISK (X+Y &gt; Z)","Within Z (X+Y &lt;= Z)")))))</f>
        <v/>
      </c>
      <c r="U196" s="18" t="str">
        <f aca="false">IF(A196="","",IF(AND(R196&lt;&gt;"No",OR(I196="Key establishment / encryption in transit",I196="Key wrapping / key transport",I196="Mixed or unknown",I196=""),OR(N(O196)&gt;0,G196="Confidential",G196="Restricted")),IF(F196="Yes","Yes - internet-facing","Yes"),"No"))</f>
        <v/>
      </c>
      <c r="V196" s="18" t="str">
        <f aca="false">IF(A196="","",IF(R196="No","Keep - not quantum-vulnerable (review key size)",IF(I196="Digital signature / authentication","ML-DSA-65 (FIPS 204); SLH-DSA (FIPS 205) if hash-based is preferred",IF(OR(I196="Key establishment / encryption in transit",I196="Key wrapping / key transport"),"ML-KEM-768 (FIPS 203); hybrid X25519MLKEM768 for TLS 1.3",IF(I196="Mixed or unknown","Both: ML-KEM (FIPS 203) for keys, ML-DSA (FIPS 204) for signatures","Pick the crypto function first")))))</f>
        <v/>
      </c>
      <c r="W196" s="16"/>
      <c r="X196" s="18" t="str">
        <f aca="false">IF(A196="","",IF(R196="No",0,IF(LEFT(T196,7)="AT RISK",Assumptions!$C$13,0)+IF(LEFT(U196,3)="Yes",Assumptions!$C$14,0)+IF(F196="Yes",Assumptions!$C$15,0)+IF(G196="Restricted",Assumptions!$C$16,IF(G196="Confidential",Assumptions!$C$17,IF(G196="Internal",Assumptions!$C$18,0)))+IF(OR(N196="Roadmap - verbal only",N196="No roadmap",N196="Not asked yet",N196=""),Assumptions!$C$19,0)+IF(E196="Production",Assumptions!$C$20,0)+IF(AND(ISNUMBER(P196),N(P196)&gt;=Assumptions!$C$22),Assumptions!$C$21,0)))</f>
        <v/>
      </c>
      <c r="Y196" s="18" t="str">
        <f aca="false">IF(X196="","",IF(R196="No","None",IF(X196&gt;=Assumptions!$C$23,"High",IF(X196&gt;=Assumptions!$C$24,"Medium","Low"))))</f>
        <v/>
      </c>
      <c r="Z196" s="16"/>
      <c r="AA196" s="17"/>
      <c r="AB196" s="16"/>
      <c r="AC196" s="18" t="str">
        <f aca="true">IF(OR(AA196="",AB196="Hybrid deployed",AB196="PQC deployed",AB196="Not required (not vulnerable)",AB196="Risk accepted"),"",IF(AA196&lt;TODAY(),"OVERDUE",""))</f>
        <v/>
      </c>
      <c r="AD196" s="18" t="str">
        <f aca="true">IF(A196="","",IF(B196="","Name the system. ","")&amp;IF(LEFT(R196,7)="Unknown","Algorithm unknown - scan or ask the vendor. ","")&amp;IF(AND(R196&lt;&gt;"No",Assumptions!$C$6=""),"Set Z on Assumptions. ","")&amp;IF(AND(R196&lt;&gt;"No",OR(O196="",P196="")),"Enter X and Y. ","")&amp;IF(LEFT(T196,7)="AT RISK","Mosca: X+Y exceeds Z - migration should already be under way. ","")&amp;IF(AND(LEFT(U196,3)="Yes",OR(AB196="",AB196="Not started")),"Harvest-now-decrypt-later exposure and migration not started. ","")&amp;IF(AND(R196&lt;&gt;"No",OR(W196="",W196="To decide")),"Choose a target algorithm. ","")&amp;IF(AND(R196&lt;&gt;"No",W196="Keep - not quantum-vulnerable"),"Target 'Keep' conflicts with a quantum-vulnerable algorithm. ","")&amp;IF(LEFT(J196,5)="SHA-1","SHA-1 is deprecated - replace (NIST IR 8547). ","")&amp;IF(AND(R196&lt;&gt;"No",OR(N196="Roadmap - verbal only",N196="No roadmap",N196="Not asked yet")),"Get a written PQC roadmap from the vendor. ","")&amp;IF(AND(R196&lt;&gt;"No",N196=""),"Record the vendor PQC roadmap status. ","")&amp;IF(ISNUMBER(M196),IF(M196&lt;TODAY(),"Certificate or key expired. ",IF(M196-TODAY()&lt;=Assumptions!$C$25,"Expires soon - use the renewal to revisit the algorithm. ","")),"")&amp;IF(AC196="OVERDUE","Migration overdue. ","")&amp;IF(AND(R196&lt;&gt;"No",Z196=""),"Assign a migration owner. ",""))</f>
        <v/>
      </c>
    </row>
    <row r="197" customFormat="false" ht="15" hidden="false" customHeight="false" outlineLevel="0" collapsed="false">
      <c r="A197" s="16"/>
      <c r="B197" s="16"/>
      <c r="C197" s="16"/>
      <c r="D197" s="16"/>
      <c r="E197" s="16"/>
      <c r="F197" s="16"/>
      <c r="G197" s="16"/>
      <c r="H197" s="16"/>
      <c r="I197" s="16"/>
      <c r="J197" s="16"/>
      <c r="K197" s="16"/>
      <c r="L197" s="16"/>
      <c r="M197" s="17"/>
      <c r="N197" s="16"/>
      <c r="O197" s="16"/>
      <c r="P197" s="16"/>
      <c r="Q197" s="18" t="str">
        <f aca="false">IF(A197="","",IF(J197="","Unknown",IFERROR(INDEX('Algorithm Reference'!$C$6:$C$41,MATCH(J197,'Algorithm Reference'!$B$6:$B$41,0)),"Not in reference")))</f>
        <v/>
      </c>
      <c r="R197" s="18" t="str">
        <f aca="false">IF(A197="","",IF(J197="","Unknown - investigate",IFERROR(INDEX('Algorithm Reference'!$E$6:$E$41,MATCH(J197,'Algorithm Reference'!$B$6:$B$41,0)),"Unknown - investigate")))</f>
        <v/>
      </c>
      <c r="S197" s="18" t="str">
        <f aca="false">IF(OR(O197="",P197=""),"",O197+P197)</f>
        <v/>
      </c>
      <c r="T197" s="18" t="str">
        <f aca="false">IF(A197="","",IF(R197="No","N/A - not quantum-vulnerable",IF(OR(O197="",P197=""),"Enter X and Y",IF(Assumptions!$C$6="","Set Z on Assumptions",IF(O197+P197&gt;Assumptions!$C$6,"AT RISK (X+Y &gt; Z)","Within Z (X+Y &lt;= Z)")))))</f>
        <v/>
      </c>
      <c r="U197" s="18" t="str">
        <f aca="false">IF(A197="","",IF(AND(R197&lt;&gt;"No",OR(I197="Key establishment / encryption in transit",I197="Key wrapping / key transport",I197="Mixed or unknown",I197=""),OR(N(O197)&gt;0,G197="Confidential",G197="Restricted")),IF(F197="Yes","Yes - internet-facing","Yes"),"No"))</f>
        <v/>
      </c>
      <c r="V197" s="18" t="str">
        <f aca="false">IF(A197="","",IF(R197="No","Keep - not quantum-vulnerable (review key size)",IF(I197="Digital signature / authentication","ML-DSA-65 (FIPS 204); SLH-DSA (FIPS 205) if hash-based is preferred",IF(OR(I197="Key establishment / encryption in transit",I197="Key wrapping / key transport"),"ML-KEM-768 (FIPS 203); hybrid X25519MLKEM768 for TLS 1.3",IF(I197="Mixed or unknown","Both: ML-KEM (FIPS 203) for keys, ML-DSA (FIPS 204) for signatures","Pick the crypto function first")))))</f>
        <v/>
      </c>
      <c r="W197" s="16"/>
      <c r="X197" s="18" t="str">
        <f aca="false">IF(A197="","",IF(R197="No",0,IF(LEFT(T197,7)="AT RISK",Assumptions!$C$13,0)+IF(LEFT(U197,3)="Yes",Assumptions!$C$14,0)+IF(F197="Yes",Assumptions!$C$15,0)+IF(G197="Restricted",Assumptions!$C$16,IF(G197="Confidential",Assumptions!$C$17,IF(G197="Internal",Assumptions!$C$18,0)))+IF(OR(N197="Roadmap - verbal only",N197="No roadmap",N197="Not asked yet",N197=""),Assumptions!$C$19,0)+IF(E197="Production",Assumptions!$C$20,0)+IF(AND(ISNUMBER(P197),N(P197)&gt;=Assumptions!$C$22),Assumptions!$C$21,0)))</f>
        <v/>
      </c>
      <c r="Y197" s="18" t="str">
        <f aca="false">IF(X197="","",IF(R197="No","None",IF(X197&gt;=Assumptions!$C$23,"High",IF(X197&gt;=Assumptions!$C$24,"Medium","Low"))))</f>
        <v/>
      </c>
      <c r="Z197" s="16"/>
      <c r="AA197" s="17"/>
      <c r="AB197" s="16"/>
      <c r="AC197" s="18" t="str">
        <f aca="true">IF(OR(AA197="",AB197="Hybrid deployed",AB197="PQC deployed",AB197="Not required (not vulnerable)",AB197="Risk accepted"),"",IF(AA197&lt;TODAY(),"OVERDUE",""))</f>
        <v/>
      </c>
      <c r="AD197" s="18" t="str">
        <f aca="true">IF(A197="","",IF(B197="","Name the system. ","")&amp;IF(LEFT(R197,7)="Unknown","Algorithm unknown - scan or ask the vendor. ","")&amp;IF(AND(R197&lt;&gt;"No",Assumptions!$C$6=""),"Set Z on Assumptions. ","")&amp;IF(AND(R197&lt;&gt;"No",OR(O197="",P197="")),"Enter X and Y. ","")&amp;IF(LEFT(T197,7)="AT RISK","Mosca: X+Y exceeds Z - migration should already be under way. ","")&amp;IF(AND(LEFT(U197,3)="Yes",OR(AB197="",AB197="Not started")),"Harvest-now-decrypt-later exposure and migration not started. ","")&amp;IF(AND(R197&lt;&gt;"No",OR(W197="",W197="To decide")),"Choose a target algorithm. ","")&amp;IF(AND(R197&lt;&gt;"No",W197="Keep - not quantum-vulnerable"),"Target 'Keep' conflicts with a quantum-vulnerable algorithm. ","")&amp;IF(LEFT(J197,5)="SHA-1","SHA-1 is deprecated - replace (NIST IR 8547). ","")&amp;IF(AND(R197&lt;&gt;"No",OR(N197="Roadmap - verbal only",N197="No roadmap",N197="Not asked yet")),"Get a written PQC roadmap from the vendor. ","")&amp;IF(AND(R197&lt;&gt;"No",N197=""),"Record the vendor PQC roadmap status. ","")&amp;IF(ISNUMBER(M197),IF(M197&lt;TODAY(),"Certificate or key expired. ",IF(M197-TODAY()&lt;=Assumptions!$C$25,"Expires soon - use the renewal to revisit the algorithm. ","")),"")&amp;IF(AC197="OVERDUE","Migration overdue. ","")&amp;IF(AND(R197&lt;&gt;"No",Z197=""),"Assign a migration owner. ",""))</f>
        <v/>
      </c>
    </row>
    <row r="198" customFormat="false" ht="15" hidden="false" customHeight="false" outlineLevel="0" collapsed="false">
      <c r="A198" s="16"/>
      <c r="B198" s="16"/>
      <c r="C198" s="16"/>
      <c r="D198" s="16"/>
      <c r="E198" s="16"/>
      <c r="F198" s="16"/>
      <c r="G198" s="16"/>
      <c r="H198" s="16"/>
      <c r="I198" s="16"/>
      <c r="J198" s="16"/>
      <c r="K198" s="16"/>
      <c r="L198" s="16"/>
      <c r="M198" s="17"/>
      <c r="N198" s="16"/>
      <c r="O198" s="16"/>
      <c r="P198" s="16"/>
      <c r="Q198" s="18" t="str">
        <f aca="false">IF(A198="","",IF(J198="","Unknown",IFERROR(INDEX('Algorithm Reference'!$C$6:$C$41,MATCH(J198,'Algorithm Reference'!$B$6:$B$41,0)),"Not in reference")))</f>
        <v/>
      </c>
      <c r="R198" s="18" t="str">
        <f aca="false">IF(A198="","",IF(J198="","Unknown - investigate",IFERROR(INDEX('Algorithm Reference'!$E$6:$E$41,MATCH(J198,'Algorithm Reference'!$B$6:$B$41,0)),"Unknown - investigate")))</f>
        <v/>
      </c>
      <c r="S198" s="18" t="str">
        <f aca="false">IF(OR(O198="",P198=""),"",O198+P198)</f>
        <v/>
      </c>
      <c r="T198" s="18" t="str">
        <f aca="false">IF(A198="","",IF(R198="No","N/A - not quantum-vulnerable",IF(OR(O198="",P198=""),"Enter X and Y",IF(Assumptions!$C$6="","Set Z on Assumptions",IF(O198+P198&gt;Assumptions!$C$6,"AT RISK (X+Y &gt; Z)","Within Z (X+Y &lt;= Z)")))))</f>
        <v/>
      </c>
      <c r="U198" s="18" t="str">
        <f aca="false">IF(A198="","",IF(AND(R198&lt;&gt;"No",OR(I198="Key establishment / encryption in transit",I198="Key wrapping / key transport",I198="Mixed or unknown",I198=""),OR(N(O198)&gt;0,G198="Confidential",G198="Restricted")),IF(F198="Yes","Yes - internet-facing","Yes"),"No"))</f>
        <v/>
      </c>
      <c r="V198" s="18" t="str">
        <f aca="false">IF(A198="","",IF(R198="No","Keep - not quantum-vulnerable (review key size)",IF(I198="Digital signature / authentication","ML-DSA-65 (FIPS 204); SLH-DSA (FIPS 205) if hash-based is preferred",IF(OR(I198="Key establishment / encryption in transit",I198="Key wrapping / key transport"),"ML-KEM-768 (FIPS 203); hybrid X25519MLKEM768 for TLS 1.3",IF(I198="Mixed or unknown","Both: ML-KEM (FIPS 203) for keys, ML-DSA (FIPS 204) for signatures","Pick the crypto function first")))))</f>
        <v/>
      </c>
      <c r="W198" s="16"/>
      <c r="X198" s="18" t="str">
        <f aca="false">IF(A198="","",IF(R198="No",0,IF(LEFT(T198,7)="AT RISK",Assumptions!$C$13,0)+IF(LEFT(U198,3)="Yes",Assumptions!$C$14,0)+IF(F198="Yes",Assumptions!$C$15,0)+IF(G198="Restricted",Assumptions!$C$16,IF(G198="Confidential",Assumptions!$C$17,IF(G198="Internal",Assumptions!$C$18,0)))+IF(OR(N198="Roadmap - verbal only",N198="No roadmap",N198="Not asked yet",N198=""),Assumptions!$C$19,0)+IF(E198="Production",Assumptions!$C$20,0)+IF(AND(ISNUMBER(P198),N(P198)&gt;=Assumptions!$C$22),Assumptions!$C$21,0)))</f>
        <v/>
      </c>
      <c r="Y198" s="18" t="str">
        <f aca="false">IF(X198="","",IF(R198="No","None",IF(X198&gt;=Assumptions!$C$23,"High",IF(X198&gt;=Assumptions!$C$24,"Medium","Low"))))</f>
        <v/>
      </c>
      <c r="Z198" s="16"/>
      <c r="AA198" s="17"/>
      <c r="AB198" s="16"/>
      <c r="AC198" s="18" t="str">
        <f aca="true">IF(OR(AA198="",AB198="Hybrid deployed",AB198="PQC deployed",AB198="Not required (not vulnerable)",AB198="Risk accepted"),"",IF(AA198&lt;TODAY(),"OVERDUE",""))</f>
        <v/>
      </c>
      <c r="AD198" s="18" t="str">
        <f aca="true">IF(A198="","",IF(B198="","Name the system. ","")&amp;IF(LEFT(R198,7)="Unknown","Algorithm unknown - scan or ask the vendor. ","")&amp;IF(AND(R198&lt;&gt;"No",Assumptions!$C$6=""),"Set Z on Assumptions. ","")&amp;IF(AND(R198&lt;&gt;"No",OR(O198="",P198="")),"Enter X and Y. ","")&amp;IF(LEFT(T198,7)="AT RISK","Mosca: X+Y exceeds Z - migration should already be under way. ","")&amp;IF(AND(LEFT(U198,3)="Yes",OR(AB198="",AB198="Not started")),"Harvest-now-decrypt-later exposure and migration not started. ","")&amp;IF(AND(R198&lt;&gt;"No",OR(W198="",W198="To decide")),"Choose a target algorithm. ","")&amp;IF(AND(R198&lt;&gt;"No",W198="Keep - not quantum-vulnerable"),"Target 'Keep' conflicts with a quantum-vulnerable algorithm. ","")&amp;IF(LEFT(J198,5)="SHA-1","SHA-1 is deprecated - replace (NIST IR 8547). ","")&amp;IF(AND(R198&lt;&gt;"No",OR(N198="Roadmap - verbal only",N198="No roadmap",N198="Not asked yet")),"Get a written PQC roadmap from the vendor. ","")&amp;IF(AND(R198&lt;&gt;"No",N198=""),"Record the vendor PQC roadmap status. ","")&amp;IF(ISNUMBER(M198),IF(M198&lt;TODAY(),"Certificate or key expired. ",IF(M198-TODAY()&lt;=Assumptions!$C$25,"Expires soon - use the renewal to revisit the algorithm. ","")),"")&amp;IF(AC198="OVERDUE","Migration overdue. ","")&amp;IF(AND(R198&lt;&gt;"No",Z198=""),"Assign a migration owner. ",""))</f>
        <v/>
      </c>
    </row>
    <row r="199" customFormat="false" ht="15" hidden="false" customHeight="false" outlineLevel="0" collapsed="false">
      <c r="A199" s="16"/>
      <c r="B199" s="16"/>
      <c r="C199" s="16"/>
      <c r="D199" s="16"/>
      <c r="E199" s="16"/>
      <c r="F199" s="16"/>
      <c r="G199" s="16"/>
      <c r="H199" s="16"/>
      <c r="I199" s="16"/>
      <c r="J199" s="16"/>
      <c r="K199" s="16"/>
      <c r="L199" s="16"/>
      <c r="M199" s="17"/>
      <c r="N199" s="16"/>
      <c r="O199" s="16"/>
      <c r="P199" s="16"/>
      <c r="Q199" s="18" t="str">
        <f aca="false">IF(A199="","",IF(J199="","Unknown",IFERROR(INDEX('Algorithm Reference'!$C$6:$C$41,MATCH(J199,'Algorithm Reference'!$B$6:$B$41,0)),"Not in reference")))</f>
        <v/>
      </c>
      <c r="R199" s="18" t="str">
        <f aca="false">IF(A199="","",IF(J199="","Unknown - investigate",IFERROR(INDEX('Algorithm Reference'!$E$6:$E$41,MATCH(J199,'Algorithm Reference'!$B$6:$B$41,0)),"Unknown - investigate")))</f>
        <v/>
      </c>
      <c r="S199" s="18" t="str">
        <f aca="false">IF(OR(O199="",P199=""),"",O199+P199)</f>
        <v/>
      </c>
      <c r="T199" s="18" t="str">
        <f aca="false">IF(A199="","",IF(R199="No","N/A - not quantum-vulnerable",IF(OR(O199="",P199=""),"Enter X and Y",IF(Assumptions!$C$6="","Set Z on Assumptions",IF(O199+P199&gt;Assumptions!$C$6,"AT RISK (X+Y &gt; Z)","Within Z (X+Y &lt;= Z)")))))</f>
        <v/>
      </c>
      <c r="U199" s="18" t="str">
        <f aca="false">IF(A199="","",IF(AND(R199&lt;&gt;"No",OR(I199="Key establishment / encryption in transit",I199="Key wrapping / key transport",I199="Mixed or unknown",I199=""),OR(N(O199)&gt;0,G199="Confidential",G199="Restricted")),IF(F199="Yes","Yes - internet-facing","Yes"),"No"))</f>
        <v/>
      </c>
      <c r="V199" s="18" t="str">
        <f aca="false">IF(A199="","",IF(R199="No","Keep - not quantum-vulnerable (review key size)",IF(I199="Digital signature / authentication","ML-DSA-65 (FIPS 204); SLH-DSA (FIPS 205) if hash-based is preferred",IF(OR(I199="Key establishment / encryption in transit",I199="Key wrapping / key transport"),"ML-KEM-768 (FIPS 203); hybrid X25519MLKEM768 for TLS 1.3",IF(I199="Mixed or unknown","Both: ML-KEM (FIPS 203) for keys, ML-DSA (FIPS 204) for signatures","Pick the crypto function first")))))</f>
        <v/>
      </c>
      <c r="W199" s="16"/>
      <c r="X199" s="18" t="str">
        <f aca="false">IF(A199="","",IF(R199="No",0,IF(LEFT(T199,7)="AT RISK",Assumptions!$C$13,0)+IF(LEFT(U199,3)="Yes",Assumptions!$C$14,0)+IF(F199="Yes",Assumptions!$C$15,0)+IF(G199="Restricted",Assumptions!$C$16,IF(G199="Confidential",Assumptions!$C$17,IF(G199="Internal",Assumptions!$C$18,0)))+IF(OR(N199="Roadmap - verbal only",N199="No roadmap",N199="Not asked yet",N199=""),Assumptions!$C$19,0)+IF(E199="Production",Assumptions!$C$20,0)+IF(AND(ISNUMBER(P199),N(P199)&gt;=Assumptions!$C$22),Assumptions!$C$21,0)))</f>
        <v/>
      </c>
      <c r="Y199" s="18" t="str">
        <f aca="false">IF(X199="","",IF(R199="No","None",IF(X199&gt;=Assumptions!$C$23,"High",IF(X199&gt;=Assumptions!$C$24,"Medium","Low"))))</f>
        <v/>
      </c>
      <c r="Z199" s="16"/>
      <c r="AA199" s="17"/>
      <c r="AB199" s="16"/>
      <c r="AC199" s="18" t="str">
        <f aca="true">IF(OR(AA199="",AB199="Hybrid deployed",AB199="PQC deployed",AB199="Not required (not vulnerable)",AB199="Risk accepted"),"",IF(AA199&lt;TODAY(),"OVERDUE",""))</f>
        <v/>
      </c>
      <c r="AD199" s="18" t="str">
        <f aca="true">IF(A199="","",IF(B199="","Name the system. ","")&amp;IF(LEFT(R199,7)="Unknown","Algorithm unknown - scan or ask the vendor. ","")&amp;IF(AND(R199&lt;&gt;"No",Assumptions!$C$6=""),"Set Z on Assumptions. ","")&amp;IF(AND(R199&lt;&gt;"No",OR(O199="",P199="")),"Enter X and Y. ","")&amp;IF(LEFT(T199,7)="AT RISK","Mosca: X+Y exceeds Z - migration should already be under way. ","")&amp;IF(AND(LEFT(U199,3)="Yes",OR(AB199="",AB199="Not started")),"Harvest-now-decrypt-later exposure and migration not started. ","")&amp;IF(AND(R199&lt;&gt;"No",OR(W199="",W199="To decide")),"Choose a target algorithm. ","")&amp;IF(AND(R199&lt;&gt;"No",W199="Keep - not quantum-vulnerable"),"Target 'Keep' conflicts with a quantum-vulnerable algorithm. ","")&amp;IF(LEFT(J199,5)="SHA-1","SHA-1 is deprecated - replace (NIST IR 8547). ","")&amp;IF(AND(R199&lt;&gt;"No",OR(N199="Roadmap - verbal only",N199="No roadmap",N199="Not asked yet")),"Get a written PQC roadmap from the vendor. ","")&amp;IF(AND(R199&lt;&gt;"No",N199=""),"Record the vendor PQC roadmap status. ","")&amp;IF(ISNUMBER(M199),IF(M199&lt;TODAY(),"Certificate or key expired. ",IF(M199-TODAY()&lt;=Assumptions!$C$25,"Expires soon - use the renewal to revisit the algorithm. ","")),"")&amp;IF(AC199="OVERDUE","Migration overdue. ","")&amp;IF(AND(R199&lt;&gt;"No",Z199=""),"Assign a migration owner. ",""))</f>
        <v/>
      </c>
    </row>
    <row r="200" customFormat="false" ht="15" hidden="false" customHeight="false" outlineLevel="0" collapsed="false">
      <c r="A200" s="16"/>
      <c r="B200" s="16"/>
      <c r="C200" s="16"/>
      <c r="D200" s="16"/>
      <c r="E200" s="16"/>
      <c r="F200" s="16"/>
      <c r="G200" s="16"/>
      <c r="H200" s="16"/>
      <c r="I200" s="16"/>
      <c r="J200" s="16"/>
      <c r="K200" s="16"/>
      <c r="L200" s="16"/>
      <c r="M200" s="17"/>
      <c r="N200" s="16"/>
      <c r="O200" s="16"/>
      <c r="P200" s="16"/>
      <c r="Q200" s="18" t="str">
        <f aca="false">IF(A200="","",IF(J200="","Unknown",IFERROR(INDEX('Algorithm Reference'!$C$6:$C$41,MATCH(J200,'Algorithm Reference'!$B$6:$B$41,0)),"Not in reference")))</f>
        <v/>
      </c>
      <c r="R200" s="18" t="str">
        <f aca="false">IF(A200="","",IF(J200="","Unknown - investigate",IFERROR(INDEX('Algorithm Reference'!$E$6:$E$41,MATCH(J200,'Algorithm Reference'!$B$6:$B$41,0)),"Unknown - investigate")))</f>
        <v/>
      </c>
      <c r="S200" s="18" t="str">
        <f aca="false">IF(OR(O200="",P200=""),"",O200+P200)</f>
        <v/>
      </c>
      <c r="T200" s="18" t="str">
        <f aca="false">IF(A200="","",IF(R200="No","N/A - not quantum-vulnerable",IF(OR(O200="",P200=""),"Enter X and Y",IF(Assumptions!$C$6="","Set Z on Assumptions",IF(O200+P200&gt;Assumptions!$C$6,"AT RISK (X+Y &gt; Z)","Within Z (X+Y &lt;= Z)")))))</f>
        <v/>
      </c>
      <c r="U200" s="18" t="str">
        <f aca="false">IF(A200="","",IF(AND(R200&lt;&gt;"No",OR(I200="Key establishment / encryption in transit",I200="Key wrapping / key transport",I200="Mixed or unknown",I200=""),OR(N(O200)&gt;0,G200="Confidential",G200="Restricted")),IF(F200="Yes","Yes - internet-facing","Yes"),"No"))</f>
        <v/>
      </c>
      <c r="V200" s="18" t="str">
        <f aca="false">IF(A200="","",IF(R200="No","Keep - not quantum-vulnerable (review key size)",IF(I200="Digital signature / authentication","ML-DSA-65 (FIPS 204); SLH-DSA (FIPS 205) if hash-based is preferred",IF(OR(I200="Key establishment / encryption in transit",I200="Key wrapping / key transport"),"ML-KEM-768 (FIPS 203); hybrid X25519MLKEM768 for TLS 1.3",IF(I200="Mixed or unknown","Both: ML-KEM (FIPS 203) for keys, ML-DSA (FIPS 204) for signatures","Pick the crypto function first")))))</f>
        <v/>
      </c>
      <c r="W200" s="16"/>
      <c r="X200" s="18" t="str">
        <f aca="false">IF(A200="","",IF(R200="No",0,IF(LEFT(T200,7)="AT RISK",Assumptions!$C$13,0)+IF(LEFT(U200,3)="Yes",Assumptions!$C$14,0)+IF(F200="Yes",Assumptions!$C$15,0)+IF(G200="Restricted",Assumptions!$C$16,IF(G200="Confidential",Assumptions!$C$17,IF(G200="Internal",Assumptions!$C$18,0)))+IF(OR(N200="Roadmap - verbal only",N200="No roadmap",N200="Not asked yet",N200=""),Assumptions!$C$19,0)+IF(E200="Production",Assumptions!$C$20,0)+IF(AND(ISNUMBER(P200),N(P200)&gt;=Assumptions!$C$22),Assumptions!$C$21,0)))</f>
        <v/>
      </c>
      <c r="Y200" s="18" t="str">
        <f aca="false">IF(X200="","",IF(R200="No","None",IF(X200&gt;=Assumptions!$C$23,"High",IF(X200&gt;=Assumptions!$C$24,"Medium","Low"))))</f>
        <v/>
      </c>
      <c r="Z200" s="16"/>
      <c r="AA200" s="17"/>
      <c r="AB200" s="16"/>
      <c r="AC200" s="18" t="str">
        <f aca="true">IF(OR(AA200="",AB200="Hybrid deployed",AB200="PQC deployed",AB200="Not required (not vulnerable)",AB200="Risk accepted"),"",IF(AA200&lt;TODAY(),"OVERDUE",""))</f>
        <v/>
      </c>
      <c r="AD200" s="18" t="str">
        <f aca="true">IF(A200="","",IF(B200="","Name the system. ","")&amp;IF(LEFT(R200,7)="Unknown","Algorithm unknown - scan or ask the vendor. ","")&amp;IF(AND(R200&lt;&gt;"No",Assumptions!$C$6=""),"Set Z on Assumptions. ","")&amp;IF(AND(R200&lt;&gt;"No",OR(O200="",P200="")),"Enter X and Y. ","")&amp;IF(LEFT(T200,7)="AT RISK","Mosca: X+Y exceeds Z - migration should already be under way. ","")&amp;IF(AND(LEFT(U200,3)="Yes",OR(AB200="",AB200="Not started")),"Harvest-now-decrypt-later exposure and migration not started. ","")&amp;IF(AND(R200&lt;&gt;"No",OR(W200="",W200="To decide")),"Choose a target algorithm. ","")&amp;IF(AND(R200&lt;&gt;"No",W200="Keep - not quantum-vulnerable"),"Target 'Keep' conflicts with a quantum-vulnerable algorithm. ","")&amp;IF(LEFT(J200,5)="SHA-1","SHA-1 is deprecated - replace (NIST IR 8547). ","")&amp;IF(AND(R200&lt;&gt;"No",OR(N200="Roadmap - verbal only",N200="No roadmap",N200="Not asked yet")),"Get a written PQC roadmap from the vendor. ","")&amp;IF(AND(R200&lt;&gt;"No",N200=""),"Record the vendor PQC roadmap status. ","")&amp;IF(ISNUMBER(M200),IF(M200&lt;TODAY(),"Certificate or key expired. ",IF(M200-TODAY()&lt;=Assumptions!$C$25,"Expires soon - use the renewal to revisit the algorithm. ","")),"")&amp;IF(AC200="OVERDUE","Migration overdue. ","")&amp;IF(AND(R200&lt;&gt;"No",Z200=""),"Assign a migration owner. ",""))</f>
        <v/>
      </c>
    </row>
    <row r="201" customFormat="false" ht="15" hidden="false" customHeight="false" outlineLevel="0" collapsed="false">
      <c r="A201" s="16"/>
      <c r="B201" s="16"/>
      <c r="C201" s="16"/>
      <c r="D201" s="16"/>
      <c r="E201" s="16"/>
      <c r="F201" s="16"/>
      <c r="G201" s="16"/>
      <c r="H201" s="16"/>
      <c r="I201" s="16"/>
      <c r="J201" s="16"/>
      <c r="K201" s="16"/>
      <c r="L201" s="16"/>
      <c r="M201" s="17"/>
      <c r="N201" s="16"/>
      <c r="O201" s="16"/>
      <c r="P201" s="16"/>
      <c r="Q201" s="18" t="str">
        <f aca="false">IF(A201="","",IF(J201="","Unknown",IFERROR(INDEX('Algorithm Reference'!$C$6:$C$41,MATCH(J201,'Algorithm Reference'!$B$6:$B$41,0)),"Not in reference")))</f>
        <v/>
      </c>
      <c r="R201" s="18" t="str">
        <f aca="false">IF(A201="","",IF(J201="","Unknown - investigate",IFERROR(INDEX('Algorithm Reference'!$E$6:$E$41,MATCH(J201,'Algorithm Reference'!$B$6:$B$41,0)),"Unknown - investigate")))</f>
        <v/>
      </c>
      <c r="S201" s="18" t="str">
        <f aca="false">IF(OR(O201="",P201=""),"",O201+P201)</f>
        <v/>
      </c>
      <c r="T201" s="18" t="str">
        <f aca="false">IF(A201="","",IF(R201="No","N/A - not quantum-vulnerable",IF(OR(O201="",P201=""),"Enter X and Y",IF(Assumptions!$C$6="","Set Z on Assumptions",IF(O201+P201&gt;Assumptions!$C$6,"AT RISK (X+Y &gt; Z)","Within Z (X+Y &lt;= Z)")))))</f>
        <v/>
      </c>
      <c r="U201" s="18" t="str">
        <f aca="false">IF(A201="","",IF(AND(R201&lt;&gt;"No",OR(I201="Key establishment / encryption in transit",I201="Key wrapping / key transport",I201="Mixed or unknown",I201=""),OR(N(O201)&gt;0,G201="Confidential",G201="Restricted")),IF(F201="Yes","Yes - internet-facing","Yes"),"No"))</f>
        <v/>
      </c>
      <c r="V201" s="18" t="str">
        <f aca="false">IF(A201="","",IF(R201="No","Keep - not quantum-vulnerable (review key size)",IF(I201="Digital signature / authentication","ML-DSA-65 (FIPS 204); SLH-DSA (FIPS 205) if hash-based is preferred",IF(OR(I201="Key establishment / encryption in transit",I201="Key wrapping / key transport"),"ML-KEM-768 (FIPS 203); hybrid X25519MLKEM768 for TLS 1.3",IF(I201="Mixed or unknown","Both: ML-KEM (FIPS 203) for keys, ML-DSA (FIPS 204) for signatures","Pick the crypto function first")))))</f>
        <v/>
      </c>
      <c r="W201" s="16"/>
      <c r="X201" s="18" t="str">
        <f aca="false">IF(A201="","",IF(R201="No",0,IF(LEFT(T201,7)="AT RISK",Assumptions!$C$13,0)+IF(LEFT(U201,3)="Yes",Assumptions!$C$14,0)+IF(F201="Yes",Assumptions!$C$15,0)+IF(G201="Restricted",Assumptions!$C$16,IF(G201="Confidential",Assumptions!$C$17,IF(G201="Internal",Assumptions!$C$18,0)))+IF(OR(N201="Roadmap - verbal only",N201="No roadmap",N201="Not asked yet",N201=""),Assumptions!$C$19,0)+IF(E201="Production",Assumptions!$C$20,0)+IF(AND(ISNUMBER(P201),N(P201)&gt;=Assumptions!$C$22),Assumptions!$C$21,0)))</f>
        <v/>
      </c>
      <c r="Y201" s="18" t="str">
        <f aca="false">IF(X201="","",IF(R201="No","None",IF(X201&gt;=Assumptions!$C$23,"High",IF(X201&gt;=Assumptions!$C$24,"Medium","Low"))))</f>
        <v/>
      </c>
      <c r="Z201" s="16"/>
      <c r="AA201" s="17"/>
      <c r="AB201" s="16"/>
      <c r="AC201" s="18" t="str">
        <f aca="true">IF(OR(AA201="",AB201="Hybrid deployed",AB201="PQC deployed",AB201="Not required (not vulnerable)",AB201="Risk accepted"),"",IF(AA201&lt;TODAY(),"OVERDUE",""))</f>
        <v/>
      </c>
      <c r="AD201" s="18" t="str">
        <f aca="true">IF(A201="","",IF(B201="","Name the system. ","")&amp;IF(LEFT(R201,7)="Unknown","Algorithm unknown - scan or ask the vendor. ","")&amp;IF(AND(R201&lt;&gt;"No",Assumptions!$C$6=""),"Set Z on Assumptions. ","")&amp;IF(AND(R201&lt;&gt;"No",OR(O201="",P201="")),"Enter X and Y. ","")&amp;IF(LEFT(T201,7)="AT RISK","Mosca: X+Y exceeds Z - migration should already be under way. ","")&amp;IF(AND(LEFT(U201,3)="Yes",OR(AB201="",AB201="Not started")),"Harvest-now-decrypt-later exposure and migration not started. ","")&amp;IF(AND(R201&lt;&gt;"No",OR(W201="",W201="To decide")),"Choose a target algorithm. ","")&amp;IF(AND(R201&lt;&gt;"No",W201="Keep - not quantum-vulnerable"),"Target 'Keep' conflicts with a quantum-vulnerable algorithm. ","")&amp;IF(LEFT(J201,5)="SHA-1","SHA-1 is deprecated - replace (NIST IR 8547). ","")&amp;IF(AND(R201&lt;&gt;"No",OR(N201="Roadmap - verbal only",N201="No roadmap",N201="Not asked yet")),"Get a written PQC roadmap from the vendor. ","")&amp;IF(AND(R201&lt;&gt;"No",N201=""),"Record the vendor PQC roadmap status. ","")&amp;IF(ISNUMBER(M201),IF(M201&lt;TODAY(),"Certificate or key expired. ",IF(M201-TODAY()&lt;=Assumptions!$C$25,"Expires soon - use the renewal to revisit the algorithm. ","")),"")&amp;IF(AC201="OVERDUE","Migration overdue. ","")&amp;IF(AND(R201&lt;&gt;"No",Z201=""),"Assign a migration owner. ",""))</f>
        <v/>
      </c>
    </row>
    <row r="202" customFormat="false" ht="15" hidden="false" customHeight="false" outlineLevel="0" collapsed="false">
      <c r="A202" s="16"/>
      <c r="B202" s="16"/>
      <c r="C202" s="16"/>
      <c r="D202" s="16"/>
      <c r="E202" s="16"/>
      <c r="F202" s="16"/>
      <c r="G202" s="16"/>
      <c r="H202" s="16"/>
      <c r="I202" s="16"/>
      <c r="J202" s="16"/>
      <c r="K202" s="16"/>
      <c r="L202" s="16"/>
      <c r="M202" s="17"/>
      <c r="N202" s="16"/>
      <c r="O202" s="16"/>
      <c r="P202" s="16"/>
      <c r="Q202" s="18" t="str">
        <f aca="false">IF(A202="","",IF(J202="","Unknown",IFERROR(INDEX('Algorithm Reference'!$C$6:$C$41,MATCH(J202,'Algorithm Reference'!$B$6:$B$41,0)),"Not in reference")))</f>
        <v/>
      </c>
      <c r="R202" s="18" t="str">
        <f aca="false">IF(A202="","",IF(J202="","Unknown - investigate",IFERROR(INDEX('Algorithm Reference'!$E$6:$E$41,MATCH(J202,'Algorithm Reference'!$B$6:$B$41,0)),"Unknown - investigate")))</f>
        <v/>
      </c>
      <c r="S202" s="18" t="str">
        <f aca="false">IF(OR(O202="",P202=""),"",O202+P202)</f>
        <v/>
      </c>
      <c r="T202" s="18" t="str">
        <f aca="false">IF(A202="","",IF(R202="No","N/A - not quantum-vulnerable",IF(OR(O202="",P202=""),"Enter X and Y",IF(Assumptions!$C$6="","Set Z on Assumptions",IF(O202+P202&gt;Assumptions!$C$6,"AT RISK (X+Y &gt; Z)","Within Z (X+Y &lt;= Z)")))))</f>
        <v/>
      </c>
      <c r="U202" s="18" t="str">
        <f aca="false">IF(A202="","",IF(AND(R202&lt;&gt;"No",OR(I202="Key establishment / encryption in transit",I202="Key wrapping / key transport",I202="Mixed or unknown",I202=""),OR(N(O202)&gt;0,G202="Confidential",G202="Restricted")),IF(F202="Yes","Yes - internet-facing","Yes"),"No"))</f>
        <v/>
      </c>
      <c r="V202" s="18" t="str">
        <f aca="false">IF(A202="","",IF(R202="No","Keep - not quantum-vulnerable (review key size)",IF(I202="Digital signature / authentication","ML-DSA-65 (FIPS 204); SLH-DSA (FIPS 205) if hash-based is preferred",IF(OR(I202="Key establishment / encryption in transit",I202="Key wrapping / key transport"),"ML-KEM-768 (FIPS 203); hybrid X25519MLKEM768 for TLS 1.3",IF(I202="Mixed or unknown","Both: ML-KEM (FIPS 203) for keys, ML-DSA (FIPS 204) for signatures","Pick the crypto function first")))))</f>
        <v/>
      </c>
      <c r="W202" s="16"/>
      <c r="X202" s="18" t="str">
        <f aca="false">IF(A202="","",IF(R202="No",0,IF(LEFT(T202,7)="AT RISK",Assumptions!$C$13,0)+IF(LEFT(U202,3)="Yes",Assumptions!$C$14,0)+IF(F202="Yes",Assumptions!$C$15,0)+IF(G202="Restricted",Assumptions!$C$16,IF(G202="Confidential",Assumptions!$C$17,IF(G202="Internal",Assumptions!$C$18,0)))+IF(OR(N202="Roadmap - verbal only",N202="No roadmap",N202="Not asked yet",N202=""),Assumptions!$C$19,0)+IF(E202="Production",Assumptions!$C$20,0)+IF(AND(ISNUMBER(P202),N(P202)&gt;=Assumptions!$C$22),Assumptions!$C$21,0)))</f>
        <v/>
      </c>
      <c r="Y202" s="18" t="str">
        <f aca="false">IF(X202="","",IF(R202="No","None",IF(X202&gt;=Assumptions!$C$23,"High",IF(X202&gt;=Assumptions!$C$24,"Medium","Low"))))</f>
        <v/>
      </c>
      <c r="Z202" s="16"/>
      <c r="AA202" s="17"/>
      <c r="AB202" s="16"/>
      <c r="AC202" s="18" t="str">
        <f aca="true">IF(OR(AA202="",AB202="Hybrid deployed",AB202="PQC deployed",AB202="Not required (not vulnerable)",AB202="Risk accepted"),"",IF(AA202&lt;TODAY(),"OVERDUE",""))</f>
        <v/>
      </c>
      <c r="AD202" s="18" t="str">
        <f aca="true">IF(A202="","",IF(B202="","Name the system. ","")&amp;IF(LEFT(R202,7)="Unknown","Algorithm unknown - scan or ask the vendor. ","")&amp;IF(AND(R202&lt;&gt;"No",Assumptions!$C$6=""),"Set Z on Assumptions. ","")&amp;IF(AND(R202&lt;&gt;"No",OR(O202="",P202="")),"Enter X and Y. ","")&amp;IF(LEFT(T202,7)="AT RISK","Mosca: X+Y exceeds Z - migration should already be under way. ","")&amp;IF(AND(LEFT(U202,3)="Yes",OR(AB202="",AB202="Not started")),"Harvest-now-decrypt-later exposure and migration not started. ","")&amp;IF(AND(R202&lt;&gt;"No",OR(W202="",W202="To decide")),"Choose a target algorithm. ","")&amp;IF(AND(R202&lt;&gt;"No",W202="Keep - not quantum-vulnerable"),"Target 'Keep' conflicts with a quantum-vulnerable algorithm. ","")&amp;IF(LEFT(J202,5)="SHA-1","SHA-1 is deprecated - replace (NIST IR 8547). ","")&amp;IF(AND(R202&lt;&gt;"No",OR(N202="Roadmap - verbal only",N202="No roadmap",N202="Not asked yet")),"Get a written PQC roadmap from the vendor. ","")&amp;IF(AND(R202&lt;&gt;"No",N202=""),"Record the vendor PQC roadmap status. ","")&amp;IF(ISNUMBER(M202),IF(M202&lt;TODAY(),"Certificate or key expired. ",IF(M202-TODAY()&lt;=Assumptions!$C$25,"Expires soon - use the renewal to revisit the algorithm. ","")),"")&amp;IF(AC202="OVERDUE","Migration overdue. ","")&amp;IF(AND(R202&lt;&gt;"No",Z202=""),"Assign a migration owner. ",""))</f>
        <v/>
      </c>
    </row>
    <row r="203" customFormat="false" ht="15" hidden="false" customHeight="false" outlineLevel="0" collapsed="false">
      <c r="A203" s="16"/>
      <c r="B203" s="16"/>
      <c r="C203" s="16"/>
      <c r="D203" s="16"/>
      <c r="E203" s="16"/>
      <c r="F203" s="16"/>
      <c r="G203" s="16"/>
      <c r="H203" s="16"/>
      <c r="I203" s="16"/>
      <c r="J203" s="16"/>
      <c r="K203" s="16"/>
      <c r="L203" s="16"/>
      <c r="M203" s="17"/>
      <c r="N203" s="16"/>
      <c r="O203" s="16"/>
      <c r="P203" s="16"/>
      <c r="Q203" s="18" t="str">
        <f aca="false">IF(A203="","",IF(J203="","Unknown",IFERROR(INDEX('Algorithm Reference'!$C$6:$C$41,MATCH(J203,'Algorithm Reference'!$B$6:$B$41,0)),"Not in reference")))</f>
        <v/>
      </c>
      <c r="R203" s="18" t="str">
        <f aca="false">IF(A203="","",IF(J203="","Unknown - investigate",IFERROR(INDEX('Algorithm Reference'!$E$6:$E$41,MATCH(J203,'Algorithm Reference'!$B$6:$B$41,0)),"Unknown - investigate")))</f>
        <v/>
      </c>
      <c r="S203" s="18" t="str">
        <f aca="false">IF(OR(O203="",P203=""),"",O203+P203)</f>
        <v/>
      </c>
      <c r="T203" s="18" t="str">
        <f aca="false">IF(A203="","",IF(R203="No","N/A - not quantum-vulnerable",IF(OR(O203="",P203=""),"Enter X and Y",IF(Assumptions!$C$6="","Set Z on Assumptions",IF(O203+P203&gt;Assumptions!$C$6,"AT RISK (X+Y &gt; Z)","Within Z (X+Y &lt;= Z)")))))</f>
        <v/>
      </c>
      <c r="U203" s="18" t="str">
        <f aca="false">IF(A203="","",IF(AND(R203&lt;&gt;"No",OR(I203="Key establishment / encryption in transit",I203="Key wrapping / key transport",I203="Mixed or unknown",I203=""),OR(N(O203)&gt;0,G203="Confidential",G203="Restricted")),IF(F203="Yes","Yes - internet-facing","Yes"),"No"))</f>
        <v/>
      </c>
      <c r="V203" s="18" t="str">
        <f aca="false">IF(A203="","",IF(R203="No","Keep - not quantum-vulnerable (review key size)",IF(I203="Digital signature / authentication","ML-DSA-65 (FIPS 204); SLH-DSA (FIPS 205) if hash-based is preferred",IF(OR(I203="Key establishment / encryption in transit",I203="Key wrapping / key transport"),"ML-KEM-768 (FIPS 203); hybrid X25519MLKEM768 for TLS 1.3",IF(I203="Mixed or unknown","Both: ML-KEM (FIPS 203) for keys, ML-DSA (FIPS 204) for signatures","Pick the crypto function first")))))</f>
        <v/>
      </c>
      <c r="W203" s="16"/>
      <c r="X203" s="18" t="str">
        <f aca="false">IF(A203="","",IF(R203="No",0,IF(LEFT(T203,7)="AT RISK",Assumptions!$C$13,0)+IF(LEFT(U203,3)="Yes",Assumptions!$C$14,0)+IF(F203="Yes",Assumptions!$C$15,0)+IF(G203="Restricted",Assumptions!$C$16,IF(G203="Confidential",Assumptions!$C$17,IF(G203="Internal",Assumptions!$C$18,0)))+IF(OR(N203="Roadmap - verbal only",N203="No roadmap",N203="Not asked yet",N203=""),Assumptions!$C$19,0)+IF(E203="Production",Assumptions!$C$20,0)+IF(AND(ISNUMBER(P203),N(P203)&gt;=Assumptions!$C$22),Assumptions!$C$21,0)))</f>
        <v/>
      </c>
      <c r="Y203" s="18" t="str">
        <f aca="false">IF(X203="","",IF(R203="No","None",IF(X203&gt;=Assumptions!$C$23,"High",IF(X203&gt;=Assumptions!$C$24,"Medium","Low"))))</f>
        <v/>
      </c>
      <c r="Z203" s="16"/>
      <c r="AA203" s="17"/>
      <c r="AB203" s="16"/>
      <c r="AC203" s="18" t="str">
        <f aca="true">IF(OR(AA203="",AB203="Hybrid deployed",AB203="PQC deployed",AB203="Not required (not vulnerable)",AB203="Risk accepted"),"",IF(AA203&lt;TODAY(),"OVERDUE",""))</f>
        <v/>
      </c>
      <c r="AD203" s="18" t="str">
        <f aca="true">IF(A203="","",IF(B203="","Name the system. ","")&amp;IF(LEFT(R203,7)="Unknown","Algorithm unknown - scan or ask the vendor. ","")&amp;IF(AND(R203&lt;&gt;"No",Assumptions!$C$6=""),"Set Z on Assumptions. ","")&amp;IF(AND(R203&lt;&gt;"No",OR(O203="",P203="")),"Enter X and Y. ","")&amp;IF(LEFT(T203,7)="AT RISK","Mosca: X+Y exceeds Z - migration should already be under way. ","")&amp;IF(AND(LEFT(U203,3)="Yes",OR(AB203="",AB203="Not started")),"Harvest-now-decrypt-later exposure and migration not started. ","")&amp;IF(AND(R203&lt;&gt;"No",OR(W203="",W203="To decide")),"Choose a target algorithm. ","")&amp;IF(AND(R203&lt;&gt;"No",W203="Keep - not quantum-vulnerable"),"Target 'Keep' conflicts with a quantum-vulnerable algorithm. ","")&amp;IF(LEFT(J203,5)="SHA-1","SHA-1 is deprecated - replace (NIST IR 8547). ","")&amp;IF(AND(R203&lt;&gt;"No",OR(N203="Roadmap - verbal only",N203="No roadmap",N203="Not asked yet")),"Get a written PQC roadmap from the vendor. ","")&amp;IF(AND(R203&lt;&gt;"No",N203=""),"Record the vendor PQC roadmap status. ","")&amp;IF(ISNUMBER(M203),IF(M203&lt;TODAY(),"Certificate or key expired. ",IF(M203-TODAY()&lt;=Assumptions!$C$25,"Expires soon - use the renewal to revisit the algorithm. ","")),"")&amp;IF(AC203="OVERDUE","Migration overdue. ","")&amp;IF(AND(R203&lt;&gt;"No",Z203=""),"Assign a migration owner. ",""))</f>
        <v/>
      </c>
    </row>
    <row r="204" customFormat="false" ht="15" hidden="false" customHeight="false" outlineLevel="0" collapsed="false">
      <c r="A204" s="16"/>
      <c r="B204" s="16"/>
      <c r="C204" s="16"/>
      <c r="D204" s="16"/>
      <c r="E204" s="16"/>
      <c r="F204" s="16"/>
      <c r="G204" s="16"/>
      <c r="H204" s="16"/>
      <c r="I204" s="16"/>
      <c r="J204" s="16"/>
      <c r="K204" s="16"/>
      <c r="L204" s="16"/>
      <c r="M204" s="17"/>
      <c r="N204" s="16"/>
      <c r="O204" s="16"/>
      <c r="P204" s="16"/>
      <c r="Q204" s="18" t="str">
        <f aca="false">IF(A204="","",IF(J204="","Unknown",IFERROR(INDEX('Algorithm Reference'!$C$6:$C$41,MATCH(J204,'Algorithm Reference'!$B$6:$B$41,0)),"Not in reference")))</f>
        <v/>
      </c>
      <c r="R204" s="18" t="str">
        <f aca="false">IF(A204="","",IF(J204="","Unknown - investigate",IFERROR(INDEX('Algorithm Reference'!$E$6:$E$41,MATCH(J204,'Algorithm Reference'!$B$6:$B$41,0)),"Unknown - investigate")))</f>
        <v/>
      </c>
      <c r="S204" s="18" t="str">
        <f aca="false">IF(OR(O204="",P204=""),"",O204+P204)</f>
        <v/>
      </c>
      <c r="T204" s="18" t="str">
        <f aca="false">IF(A204="","",IF(R204="No","N/A - not quantum-vulnerable",IF(OR(O204="",P204=""),"Enter X and Y",IF(Assumptions!$C$6="","Set Z on Assumptions",IF(O204+P204&gt;Assumptions!$C$6,"AT RISK (X+Y &gt; Z)","Within Z (X+Y &lt;= Z)")))))</f>
        <v/>
      </c>
      <c r="U204" s="18" t="str">
        <f aca="false">IF(A204="","",IF(AND(R204&lt;&gt;"No",OR(I204="Key establishment / encryption in transit",I204="Key wrapping / key transport",I204="Mixed or unknown",I204=""),OR(N(O204)&gt;0,G204="Confidential",G204="Restricted")),IF(F204="Yes","Yes - internet-facing","Yes"),"No"))</f>
        <v/>
      </c>
      <c r="V204" s="18" t="str">
        <f aca="false">IF(A204="","",IF(R204="No","Keep - not quantum-vulnerable (review key size)",IF(I204="Digital signature / authentication","ML-DSA-65 (FIPS 204); SLH-DSA (FIPS 205) if hash-based is preferred",IF(OR(I204="Key establishment / encryption in transit",I204="Key wrapping / key transport"),"ML-KEM-768 (FIPS 203); hybrid X25519MLKEM768 for TLS 1.3",IF(I204="Mixed or unknown","Both: ML-KEM (FIPS 203) for keys, ML-DSA (FIPS 204) for signatures","Pick the crypto function first")))))</f>
        <v/>
      </c>
      <c r="W204" s="16"/>
      <c r="X204" s="18" t="str">
        <f aca="false">IF(A204="","",IF(R204="No",0,IF(LEFT(T204,7)="AT RISK",Assumptions!$C$13,0)+IF(LEFT(U204,3)="Yes",Assumptions!$C$14,0)+IF(F204="Yes",Assumptions!$C$15,0)+IF(G204="Restricted",Assumptions!$C$16,IF(G204="Confidential",Assumptions!$C$17,IF(G204="Internal",Assumptions!$C$18,0)))+IF(OR(N204="Roadmap - verbal only",N204="No roadmap",N204="Not asked yet",N204=""),Assumptions!$C$19,0)+IF(E204="Production",Assumptions!$C$20,0)+IF(AND(ISNUMBER(P204),N(P204)&gt;=Assumptions!$C$22),Assumptions!$C$21,0)))</f>
        <v/>
      </c>
      <c r="Y204" s="18" t="str">
        <f aca="false">IF(X204="","",IF(R204="No","None",IF(X204&gt;=Assumptions!$C$23,"High",IF(X204&gt;=Assumptions!$C$24,"Medium","Low"))))</f>
        <v/>
      </c>
      <c r="Z204" s="16"/>
      <c r="AA204" s="17"/>
      <c r="AB204" s="16"/>
      <c r="AC204" s="18" t="str">
        <f aca="true">IF(OR(AA204="",AB204="Hybrid deployed",AB204="PQC deployed",AB204="Not required (not vulnerable)",AB204="Risk accepted"),"",IF(AA204&lt;TODAY(),"OVERDUE",""))</f>
        <v/>
      </c>
      <c r="AD204" s="18" t="str">
        <f aca="true">IF(A204="","",IF(B204="","Name the system. ","")&amp;IF(LEFT(R204,7)="Unknown","Algorithm unknown - scan or ask the vendor. ","")&amp;IF(AND(R204&lt;&gt;"No",Assumptions!$C$6=""),"Set Z on Assumptions. ","")&amp;IF(AND(R204&lt;&gt;"No",OR(O204="",P204="")),"Enter X and Y. ","")&amp;IF(LEFT(T204,7)="AT RISK","Mosca: X+Y exceeds Z - migration should already be under way. ","")&amp;IF(AND(LEFT(U204,3)="Yes",OR(AB204="",AB204="Not started")),"Harvest-now-decrypt-later exposure and migration not started. ","")&amp;IF(AND(R204&lt;&gt;"No",OR(W204="",W204="To decide")),"Choose a target algorithm. ","")&amp;IF(AND(R204&lt;&gt;"No",W204="Keep - not quantum-vulnerable"),"Target 'Keep' conflicts with a quantum-vulnerable algorithm. ","")&amp;IF(LEFT(J204,5)="SHA-1","SHA-1 is deprecated - replace (NIST IR 8547). ","")&amp;IF(AND(R204&lt;&gt;"No",OR(N204="Roadmap - verbal only",N204="No roadmap",N204="Not asked yet")),"Get a written PQC roadmap from the vendor. ","")&amp;IF(AND(R204&lt;&gt;"No",N204=""),"Record the vendor PQC roadmap status. ","")&amp;IF(ISNUMBER(M204),IF(M204&lt;TODAY(),"Certificate or key expired. ",IF(M204-TODAY()&lt;=Assumptions!$C$25,"Expires soon - use the renewal to revisit the algorithm. ","")),"")&amp;IF(AC204="OVERDUE","Migration overdue. ","")&amp;IF(AND(R204&lt;&gt;"No",Z204=""),"Assign a migration owner. ",""))</f>
        <v/>
      </c>
    </row>
    <row r="205" customFormat="false" ht="15" hidden="false" customHeight="false" outlineLevel="0" collapsed="false">
      <c r="A205" s="16"/>
      <c r="B205" s="16"/>
      <c r="C205" s="16"/>
      <c r="D205" s="16"/>
      <c r="E205" s="16"/>
      <c r="F205" s="16"/>
      <c r="G205" s="16"/>
      <c r="H205" s="16"/>
      <c r="I205" s="16"/>
      <c r="J205" s="16"/>
      <c r="K205" s="16"/>
      <c r="L205" s="16"/>
      <c r="M205" s="17"/>
      <c r="N205" s="16"/>
      <c r="O205" s="16"/>
      <c r="P205" s="16"/>
      <c r="Q205" s="18" t="str">
        <f aca="false">IF(A205="","",IF(J205="","Unknown",IFERROR(INDEX('Algorithm Reference'!$C$6:$C$41,MATCH(J205,'Algorithm Reference'!$B$6:$B$41,0)),"Not in reference")))</f>
        <v/>
      </c>
      <c r="R205" s="18" t="str">
        <f aca="false">IF(A205="","",IF(J205="","Unknown - investigate",IFERROR(INDEX('Algorithm Reference'!$E$6:$E$41,MATCH(J205,'Algorithm Reference'!$B$6:$B$41,0)),"Unknown - investigate")))</f>
        <v/>
      </c>
      <c r="S205" s="18" t="str">
        <f aca="false">IF(OR(O205="",P205=""),"",O205+P205)</f>
        <v/>
      </c>
      <c r="T205" s="18" t="str">
        <f aca="false">IF(A205="","",IF(R205="No","N/A - not quantum-vulnerable",IF(OR(O205="",P205=""),"Enter X and Y",IF(Assumptions!$C$6="","Set Z on Assumptions",IF(O205+P205&gt;Assumptions!$C$6,"AT RISK (X+Y &gt; Z)","Within Z (X+Y &lt;= Z)")))))</f>
        <v/>
      </c>
      <c r="U205" s="18" t="str">
        <f aca="false">IF(A205="","",IF(AND(R205&lt;&gt;"No",OR(I205="Key establishment / encryption in transit",I205="Key wrapping / key transport",I205="Mixed or unknown",I205=""),OR(N(O205)&gt;0,G205="Confidential",G205="Restricted")),IF(F205="Yes","Yes - internet-facing","Yes"),"No"))</f>
        <v/>
      </c>
      <c r="V205" s="18" t="str">
        <f aca="false">IF(A205="","",IF(R205="No","Keep - not quantum-vulnerable (review key size)",IF(I205="Digital signature / authentication","ML-DSA-65 (FIPS 204); SLH-DSA (FIPS 205) if hash-based is preferred",IF(OR(I205="Key establishment / encryption in transit",I205="Key wrapping / key transport"),"ML-KEM-768 (FIPS 203); hybrid X25519MLKEM768 for TLS 1.3",IF(I205="Mixed or unknown","Both: ML-KEM (FIPS 203) for keys, ML-DSA (FIPS 204) for signatures","Pick the crypto function first")))))</f>
        <v/>
      </c>
      <c r="W205" s="16"/>
      <c r="X205" s="18" t="str">
        <f aca="false">IF(A205="","",IF(R205="No",0,IF(LEFT(T205,7)="AT RISK",Assumptions!$C$13,0)+IF(LEFT(U205,3)="Yes",Assumptions!$C$14,0)+IF(F205="Yes",Assumptions!$C$15,0)+IF(G205="Restricted",Assumptions!$C$16,IF(G205="Confidential",Assumptions!$C$17,IF(G205="Internal",Assumptions!$C$18,0)))+IF(OR(N205="Roadmap - verbal only",N205="No roadmap",N205="Not asked yet",N205=""),Assumptions!$C$19,0)+IF(E205="Production",Assumptions!$C$20,0)+IF(AND(ISNUMBER(P205),N(P205)&gt;=Assumptions!$C$22),Assumptions!$C$21,0)))</f>
        <v/>
      </c>
      <c r="Y205" s="18" t="str">
        <f aca="false">IF(X205="","",IF(R205="No","None",IF(X205&gt;=Assumptions!$C$23,"High",IF(X205&gt;=Assumptions!$C$24,"Medium","Low"))))</f>
        <v/>
      </c>
      <c r="Z205" s="16"/>
      <c r="AA205" s="17"/>
      <c r="AB205" s="16"/>
      <c r="AC205" s="18" t="str">
        <f aca="true">IF(OR(AA205="",AB205="Hybrid deployed",AB205="PQC deployed",AB205="Not required (not vulnerable)",AB205="Risk accepted"),"",IF(AA205&lt;TODAY(),"OVERDUE",""))</f>
        <v/>
      </c>
      <c r="AD205" s="18" t="str">
        <f aca="true">IF(A205="","",IF(B205="","Name the system. ","")&amp;IF(LEFT(R205,7)="Unknown","Algorithm unknown - scan or ask the vendor. ","")&amp;IF(AND(R205&lt;&gt;"No",Assumptions!$C$6=""),"Set Z on Assumptions. ","")&amp;IF(AND(R205&lt;&gt;"No",OR(O205="",P205="")),"Enter X and Y. ","")&amp;IF(LEFT(T205,7)="AT RISK","Mosca: X+Y exceeds Z - migration should already be under way. ","")&amp;IF(AND(LEFT(U205,3)="Yes",OR(AB205="",AB205="Not started")),"Harvest-now-decrypt-later exposure and migration not started. ","")&amp;IF(AND(R205&lt;&gt;"No",OR(W205="",W205="To decide")),"Choose a target algorithm. ","")&amp;IF(AND(R205&lt;&gt;"No",W205="Keep - not quantum-vulnerable"),"Target 'Keep' conflicts with a quantum-vulnerable algorithm. ","")&amp;IF(LEFT(J205,5)="SHA-1","SHA-1 is deprecated - replace (NIST IR 8547). ","")&amp;IF(AND(R205&lt;&gt;"No",OR(N205="Roadmap - verbal only",N205="No roadmap",N205="Not asked yet")),"Get a written PQC roadmap from the vendor. ","")&amp;IF(AND(R205&lt;&gt;"No",N205=""),"Record the vendor PQC roadmap status. ","")&amp;IF(ISNUMBER(M205),IF(M205&lt;TODAY(),"Certificate or key expired. ",IF(M205-TODAY()&lt;=Assumptions!$C$25,"Expires soon - use the renewal to revisit the algorithm. ","")),"")&amp;IF(AC205="OVERDUE","Migration overdue. ","")&amp;IF(AND(R205&lt;&gt;"No",Z205=""),"Assign a migration owner. ",""))</f>
        <v/>
      </c>
    </row>
  </sheetData>
  <autoFilter ref="A5:AD205"/>
  <conditionalFormatting sqref="AD6:AD205">
    <cfRule type="expression" priority="2" aboveAverage="0" equalAverage="0" bottom="0" percent="0" rank="0" text="" dxfId="10">
      <formula>LEN(AD6)&gt;0</formula>
    </cfRule>
  </conditionalFormatting>
  <conditionalFormatting sqref="R6:R205">
    <cfRule type="cellIs" priority="3" operator="equal" aboveAverage="0" equalAverage="0" bottom="0" percent="0" rank="0" text="" dxfId="0">
      <formula>"Yes"</formula>
    </cfRule>
    <cfRule type="expression" priority="4" aboveAverage="0" equalAverage="0" bottom="0" percent="0" rank="0" text="" dxfId="11">
      <formula>LEFT(R6,7)="Unknown"</formula>
    </cfRule>
    <cfRule type="cellIs" priority="5" operator="equal" aboveAverage="0" equalAverage="0" bottom="0" percent="0" rank="0" text="" dxfId="12">
      <formula>"No"</formula>
    </cfRule>
  </conditionalFormatting>
  <conditionalFormatting sqref="T6:T205">
    <cfRule type="expression" priority="6" aboveAverage="0" equalAverage="0" bottom="0" percent="0" rank="0" text="" dxfId="0">
      <formula>LEFT(T6,7)="AT RISK"</formula>
    </cfRule>
  </conditionalFormatting>
  <conditionalFormatting sqref="U6:U205">
    <cfRule type="expression" priority="7" aboveAverage="0" equalAverage="0" bottom="0" percent="0" rank="0" text="" dxfId="0">
      <formula>LEFT(U6,3)="Yes"</formula>
    </cfRule>
  </conditionalFormatting>
  <conditionalFormatting sqref="Y6:Y205">
    <cfRule type="cellIs" priority="8" operator="equal" aboveAverage="0" equalAverage="0" bottom="0" percent="0" rank="0" text="" dxfId="0">
      <formula>"High"</formula>
    </cfRule>
    <cfRule type="cellIs" priority="9" operator="equal" aboveAverage="0" equalAverage="0" bottom="0" percent="0" rank="0" text="" dxfId="11">
      <formula>"Medium"</formula>
    </cfRule>
    <cfRule type="cellIs" priority="10" operator="equal" aboveAverage="0" equalAverage="0" bottom="0" percent="0" rank="0" text="" dxfId="12">
      <formula>"Low"</formula>
    </cfRule>
  </conditionalFormatting>
  <conditionalFormatting sqref="AC6:AC205">
    <cfRule type="cellIs" priority="11" operator="equal" aboveAverage="0" equalAverage="0" bottom="0" percent="0" rank="0" text="" dxfId="0">
      <formula>"OVERDUE"</formula>
    </cfRule>
  </conditionalFormatting>
  <dataValidations count="11">
    <dataValidation allowBlank="true" error="Pick a value from the list" errorStyle="stop" errorTitle="Not in list" operator="between" showDropDown="false" showErrorMessage="false" showInputMessage="false" sqref="E6:E205" type="list">
      <formula1>Lists!$B$6:$B$11</formula1>
      <formula2>0</formula2>
    </dataValidation>
    <dataValidation allowBlank="true" error="Pick a value from the list" errorStyle="stop" errorTitle="Not in list" operator="between" showDropDown="false" showErrorMessage="false" showInputMessage="false" sqref="F6:F205" type="list">
      <formula1>Lists!$A$6:$A$7</formula1>
      <formula2>0</formula2>
    </dataValidation>
    <dataValidation allowBlank="true" error="Pick a value from the list" errorStyle="stop" errorTitle="Not in list" operator="between" showDropDown="false" showErrorMessage="false" showInputMessage="false" sqref="G6:G205" type="list">
      <formula1>Lists!$C$6:$C$9</formula1>
      <formula2>0</formula2>
    </dataValidation>
    <dataValidation allowBlank="true" error="Pick a value from the list" errorStyle="stop" errorTitle="Not in list" operator="between" showDropDown="false" showErrorMessage="false" showInputMessage="false" sqref="H6:H205" type="list">
      <formula1>Lists!$D$6:$D$16</formula1>
      <formula2>0</formula2>
    </dataValidation>
    <dataValidation allowBlank="true" error="Pick a value from the list" errorStyle="stop" errorTitle="Not in list" operator="between" showDropDown="false" showErrorMessage="false" showInputMessage="false" sqref="I6:I205" type="list">
      <formula1>Lists!$E$6:$E$11</formula1>
      <formula2>0</formula2>
    </dataValidation>
    <dataValidation allowBlank="true" error="Pick an algorithm from the Algorithm Reference tab (or add it there)" errorStyle="stop" errorTitle="Not in list" operator="between" showDropDown="false" showErrorMessage="false" showInputMessage="false" sqref="J6:J205" type="list">
      <formula1>'Algorithm Reference'!$B$6:$B$41</formula1>
      <formula2>0</formula2>
    </dataValidation>
    <dataValidation allowBlank="true" error="Pick a value from the list" errorStyle="stop" errorTitle="Not in list" operator="between" showDropDown="false" showErrorMessage="false" showInputMessage="false" sqref="N6:N205" type="list">
      <formula1>Lists!$F$6:$F$12</formula1>
      <formula2>0</formula2>
    </dataValidation>
    <dataValidation allowBlank="true" error="Enter a number of years between 0 and 100" errorStyle="stop" errorTitle="Years" operator="between" showDropDown="false" showErrorMessage="false" showInputMessage="false" sqref="O6:O205" type="decimal">
      <formula1>0</formula1>
      <formula2>100</formula2>
    </dataValidation>
    <dataValidation allowBlank="true" error="Enter a number of years between 0 and 100" errorStyle="stop" errorTitle="Years" operator="between" showDropDown="false" showErrorMessage="false" showInputMessage="false" sqref="P6:P205" type="decimal">
      <formula1>0</formula1>
      <formula2>100</formula2>
    </dataValidation>
    <dataValidation allowBlank="true" error="Pick a value from the list" errorStyle="stop" errorTitle="Not in list" operator="between" showDropDown="false" showErrorMessage="false" showInputMessage="false" sqref="W6:W205" type="list">
      <formula1>Lists!$G$6:$G$16</formula1>
      <formula2>0</formula2>
    </dataValidation>
    <dataValidation allowBlank="true" error="Pick a value from the list" errorStyle="stop" errorTitle="Not in list" operator="between" showDropDown="false" showErrorMessage="false" showInputMessage="false" sqref="AB6:AB205" type="list">
      <formula1>Lists!$H$6:$H$13</formula1>
      <formula2>0</formula2>
    </dataValidation>
  </dataValidation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22"/>
    <col collapsed="false" customWidth="true" hidden="false" outlineLevel="0" max="4" min="4" style="0" width="16"/>
    <col collapsed="false" customWidth="true" hidden="false" outlineLevel="0" max="5" min="5" style="0" width="26"/>
    <col collapsed="false" customWidth="true" hidden="false" outlineLevel="0" max="6" min="6" style="0" width="16"/>
    <col collapsed="false" customWidth="true" hidden="false" outlineLevel="0" max="7" min="7" style="0" width="12"/>
    <col collapsed="false" customWidth="true" hidden="false" outlineLevel="0" max="8" min="8" style="0" width="11"/>
    <col collapsed="false" customWidth="true" hidden="false" outlineLevel="0" max="9" min="9" style="0" width="26"/>
    <col collapsed="false" customWidth="true" hidden="false" outlineLevel="0" max="11" min="10" style="0" width="12"/>
    <col collapsed="false" customWidth="true" hidden="false" outlineLevel="0" max="12" min="12" style="0" width="16"/>
    <col collapsed="false" customWidth="true" hidden="false" outlineLevel="0" max="13" min="13" style="0" width="9"/>
    <col collapsed="false" customWidth="true" hidden="false" outlineLevel="0" max="14" min="14" style="0" width="11"/>
    <col collapsed="false" customWidth="true" hidden="false" outlineLevel="0" max="15" min="15" style="0" width="52"/>
  </cols>
  <sheetData>
    <row r="1" customFormat="false" ht="48" hidden="false" customHeight="true" outlineLevel="0" collapsed="false">
      <c r="B1" s="1" t="s">
        <v>105</v>
      </c>
    </row>
    <row r="2" customFormat="false" ht="18" hidden="false" customHeight="true" outlineLevel="0" collapsed="false">
      <c r="B2" s="2" t="s">
        <v>1</v>
      </c>
    </row>
    <row r="3" customFormat="false" ht="3.75" hidden="false" customHeight="true" outlineLevel="0" collapsed="false">
      <c r="A3" s="3"/>
      <c r="B3" s="3"/>
      <c r="C3" s="3"/>
      <c r="D3" s="3"/>
      <c r="E3" s="3"/>
      <c r="F3" s="3"/>
      <c r="G3" s="3"/>
      <c r="H3" s="3"/>
      <c r="I3" s="3"/>
      <c r="J3" s="3"/>
      <c r="K3" s="3"/>
      <c r="L3" s="3"/>
      <c r="M3" s="3"/>
      <c r="N3" s="3"/>
      <c r="O3" s="3"/>
    </row>
    <row r="5" customFormat="false" ht="57.75" hidden="false" customHeight="true" outlineLevel="0" collapsed="false">
      <c r="A5" s="6" t="s">
        <v>106</v>
      </c>
      <c r="B5" s="6" t="s">
        <v>107</v>
      </c>
      <c r="C5" s="6" t="s">
        <v>108</v>
      </c>
      <c r="D5" s="6" t="s">
        <v>109</v>
      </c>
      <c r="E5" s="6" t="s">
        <v>110</v>
      </c>
      <c r="F5" s="6" t="s">
        <v>111</v>
      </c>
      <c r="G5" s="6" t="s">
        <v>112</v>
      </c>
      <c r="H5" s="6" t="s">
        <v>113</v>
      </c>
      <c r="I5" s="6" t="s">
        <v>114</v>
      </c>
      <c r="J5" s="6" t="s">
        <v>115</v>
      </c>
      <c r="K5" s="6" t="s">
        <v>116</v>
      </c>
      <c r="L5" s="6" t="s">
        <v>117</v>
      </c>
      <c r="M5" s="6" t="s">
        <v>87</v>
      </c>
      <c r="N5" s="6" t="s">
        <v>118</v>
      </c>
      <c r="O5" s="6" t="s">
        <v>89</v>
      </c>
    </row>
    <row r="6" customFormat="false" ht="25.5" hidden="false" customHeight="true" outlineLevel="0" collapsed="false">
      <c r="A6" s="15" t="s">
        <v>119</v>
      </c>
      <c r="B6" s="16" t="s">
        <v>120</v>
      </c>
      <c r="C6" s="16" t="s">
        <v>121</v>
      </c>
      <c r="D6" s="16" t="s">
        <v>90</v>
      </c>
      <c r="E6" s="16" t="s">
        <v>122</v>
      </c>
      <c r="F6" s="16" t="s">
        <v>123</v>
      </c>
      <c r="G6" s="17" t="n">
        <v>46477</v>
      </c>
      <c r="H6" s="16" t="s">
        <v>95</v>
      </c>
      <c r="I6" s="16" t="s">
        <v>124</v>
      </c>
      <c r="J6" s="17" t="n">
        <v>46296</v>
      </c>
      <c r="K6" s="17" t="n">
        <v>46357</v>
      </c>
      <c r="L6" s="16" t="s">
        <v>125</v>
      </c>
      <c r="M6" s="16" t="s">
        <v>126</v>
      </c>
      <c r="N6" s="18" t="str">
        <f aca="true">IF(OR(K6="",M6="Closed"),"",IF(K6&lt;TODAY(),"OVERDUE",""))</f>
        <v/>
      </c>
      <c r="O6" s="18" t="str">
        <f aca="true">IF(A6="","",IF(AND(H6&lt;&gt;"Yes",F6&lt;&gt;"PQC available now",F6&lt;&gt;"Hybrid available now"),"No written PQC roadmap - ask for a dated commitment. ","")&amp;IF(AND(ISNUMBER(G6),F6&lt;&gt;"PQC available now"),IF(G6&lt;TODAY(),"Roadmap date has passed - re-check delivery. ",""),"")&amp;IF(AND(H6="Yes",I6=""),"Record where the written evidence is kept. ","")&amp;IF(AND(F6="Hybrid available now",H6&lt;&gt;"Yes"),"Hybrid only - ask for the pure-PQC date. ","")&amp;IF(OR(F6="Unknown",F6=""),"PQC support unknown. ","")&amp;IF(N6="OVERDUE","Follow-up overdue. ","")&amp;IF(AND(M6&lt;&gt;"Closed",K6=""),"Set a follow-up date. ",""))</f>
        <v/>
      </c>
    </row>
    <row r="7" customFormat="false" ht="15" hidden="false" customHeight="false" outlineLevel="0" collapsed="false">
      <c r="A7" s="16"/>
      <c r="B7" s="16"/>
      <c r="C7" s="16"/>
      <c r="D7" s="16"/>
      <c r="E7" s="16"/>
      <c r="F7" s="16"/>
      <c r="G7" s="17"/>
      <c r="H7" s="16"/>
      <c r="I7" s="16"/>
      <c r="J7" s="17"/>
      <c r="K7" s="17"/>
      <c r="L7" s="16"/>
      <c r="M7" s="16"/>
      <c r="N7" s="18" t="str">
        <f aca="true">IF(OR(K7="",M7="Closed"),"",IF(K7&lt;TODAY(),"OVERDUE",""))</f>
        <v/>
      </c>
      <c r="O7" s="18" t="str">
        <f aca="true">IF(A7="","",IF(AND(H7&lt;&gt;"Yes",F7&lt;&gt;"PQC available now",F7&lt;&gt;"Hybrid available now"),"No written PQC roadmap - ask for a dated commitment. ","")&amp;IF(AND(ISNUMBER(G7),F7&lt;&gt;"PQC available now"),IF(G7&lt;TODAY(),"Roadmap date has passed - re-check delivery. ",""),"")&amp;IF(AND(H7="Yes",I7=""),"Record where the written evidence is kept. ","")&amp;IF(AND(F7="Hybrid available now",H7&lt;&gt;"Yes"),"Hybrid only - ask for the pure-PQC date. ","")&amp;IF(OR(F7="Unknown",F7=""),"PQC support unknown. ","")&amp;IF(N7="OVERDUE","Follow-up overdue. ","")&amp;IF(AND(M7&lt;&gt;"Closed",K7=""),"Set a follow-up date. ",""))</f>
        <v/>
      </c>
    </row>
    <row r="8" customFormat="false" ht="15" hidden="false" customHeight="false" outlineLevel="0" collapsed="false">
      <c r="A8" s="16"/>
      <c r="B8" s="16"/>
      <c r="C8" s="16"/>
      <c r="D8" s="16"/>
      <c r="E8" s="16"/>
      <c r="F8" s="16"/>
      <c r="G8" s="17"/>
      <c r="H8" s="16"/>
      <c r="I8" s="16"/>
      <c r="J8" s="17"/>
      <c r="K8" s="17"/>
      <c r="L8" s="16"/>
      <c r="M8" s="16"/>
      <c r="N8" s="18" t="str">
        <f aca="true">IF(OR(K8="",M8="Closed"),"",IF(K8&lt;TODAY(),"OVERDUE",""))</f>
        <v/>
      </c>
      <c r="O8" s="18" t="str">
        <f aca="true">IF(A8="","",IF(AND(H8&lt;&gt;"Yes",F8&lt;&gt;"PQC available now",F8&lt;&gt;"Hybrid available now"),"No written PQC roadmap - ask for a dated commitment. ","")&amp;IF(AND(ISNUMBER(G8),F8&lt;&gt;"PQC available now"),IF(G8&lt;TODAY(),"Roadmap date has passed - re-check delivery. ",""),"")&amp;IF(AND(H8="Yes",I8=""),"Record where the written evidence is kept. ","")&amp;IF(AND(F8="Hybrid available now",H8&lt;&gt;"Yes"),"Hybrid only - ask for the pure-PQC date. ","")&amp;IF(OR(F8="Unknown",F8=""),"PQC support unknown. ","")&amp;IF(N8="OVERDUE","Follow-up overdue. ","")&amp;IF(AND(M8&lt;&gt;"Closed",K8=""),"Set a follow-up date. ",""))</f>
        <v/>
      </c>
    </row>
    <row r="9" customFormat="false" ht="15" hidden="false" customHeight="false" outlineLevel="0" collapsed="false">
      <c r="A9" s="16"/>
      <c r="B9" s="16"/>
      <c r="C9" s="16"/>
      <c r="D9" s="16"/>
      <c r="E9" s="16"/>
      <c r="F9" s="16"/>
      <c r="G9" s="17"/>
      <c r="H9" s="16"/>
      <c r="I9" s="16"/>
      <c r="J9" s="17"/>
      <c r="K9" s="17"/>
      <c r="L9" s="16"/>
      <c r="M9" s="16"/>
      <c r="N9" s="18" t="str">
        <f aca="true">IF(OR(K9="",M9="Closed"),"",IF(K9&lt;TODAY(),"OVERDUE",""))</f>
        <v/>
      </c>
      <c r="O9" s="18" t="str">
        <f aca="true">IF(A9="","",IF(AND(H9&lt;&gt;"Yes",F9&lt;&gt;"PQC available now",F9&lt;&gt;"Hybrid available now"),"No written PQC roadmap - ask for a dated commitment. ","")&amp;IF(AND(ISNUMBER(G9),F9&lt;&gt;"PQC available now"),IF(G9&lt;TODAY(),"Roadmap date has passed - re-check delivery. ",""),"")&amp;IF(AND(H9="Yes",I9=""),"Record where the written evidence is kept. ","")&amp;IF(AND(F9="Hybrid available now",H9&lt;&gt;"Yes"),"Hybrid only - ask for the pure-PQC date. ","")&amp;IF(OR(F9="Unknown",F9=""),"PQC support unknown. ","")&amp;IF(N9="OVERDUE","Follow-up overdue. ","")&amp;IF(AND(M9&lt;&gt;"Closed",K9=""),"Set a follow-up date. ",""))</f>
        <v/>
      </c>
    </row>
    <row r="10" customFormat="false" ht="15" hidden="false" customHeight="false" outlineLevel="0" collapsed="false">
      <c r="A10" s="16"/>
      <c r="B10" s="16"/>
      <c r="C10" s="16"/>
      <c r="D10" s="16"/>
      <c r="E10" s="16"/>
      <c r="F10" s="16"/>
      <c r="G10" s="17"/>
      <c r="H10" s="16"/>
      <c r="I10" s="16"/>
      <c r="J10" s="17"/>
      <c r="K10" s="17"/>
      <c r="L10" s="16"/>
      <c r="M10" s="16"/>
      <c r="N10" s="18" t="str">
        <f aca="true">IF(OR(K10="",M10="Closed"),"",IF(K10&lt;TODAY(),"OVERDUE",""))</f>
        <v/>
      </c>
      <c r="O10" s="18" t="str">
        <f aca="true">IF(A10="","",IF(AND(H10&lt;&gt;"Yes",F10&lt;&gt;"PQC available now",F10&lt;&gt;"Hybrid available now"),"No written PQC roadmap - ask for a dated commitment. ","")&amp;IF(AND(ISNUMBER(G10),F10&lt;&gt;"PQC available now"),IF(G10&lt;TODAY(),"Roadmap date has passed - re-check delivery. ",""),"")&amp;IF(AND(H10="Yes",I10=""),"Record where the written evidence is kept. ","")&amp;IF(AND(F10="Hybrid available now",H10&lt;&gt;"Yes"),"Hybrid only - ask for the pure-PQC date. ","")&amp;IF(OR(F10="Unknown",F10=""),"PQC support unknown. ","")&amp;IF(N10="OVERDUE","Follow-up overdue. ","")&amp;IF(AND(M10&lt;&gt;"Closed",K10=""),"Set a follow-up date. ",""))</f>
        <v/>
      </c>
    </row>
    <row r="11" customFormat="false" ht="15" hidden="false" customHeight="false" outlineLevel="0" collapsed="false">
      <c r="A11" s="16"/>
      <c r="B11" s="16"/>
      <c r="C11" s="16"/>
      <c r="D11" s="16"/>
      <c r="E11" s="16"/>
      <c r="F11" s="16"/>
      <c r="G11" s="17"/>
      <c r="H11" s="16"/>
      <c r="I11" s="16"/>
      <c r="J11" s="17"/>
      <c r="K11" s="17"/>
      <c r="L11" s="16"/>
      <c r="M11" s="16"/>
      <c r="N11" s="18" t="str">
        <f aca="true">IF(OR(K11="",M11="Closed"),"",IF(K11&lt;TODAY(),"OVERDUE",""))</f>
        <v/>
      </c>
      <c r="O11" s="18" t="str">
        <f aca="true">IF(A11="","",IF(AND(H11&lt;&gt;"Yes",F11&lt;&gt;"PQC available now",F11&lt;&gt;"Hybrid available now"),"No written PQC roadmap - ask for a dated commitment. ","")&amp;IF(AND(ISNUMBER(G11),F11&lt;&gt;"PQC available now"),IF(G11&lt;TODAY(),"Roadmap date has passed - re-check delivery. ",""),"")&amp;IF(AND(H11="Yes",I11=""),"Record where the written evidence is kept. ","")&amp;IF(AND(F11="Hybrid available now",H11&lt;&gt;"Yes"),"Hybrid only - ask for the pure-PQC date. ","")&amp;IF(OR(F11="Unknown",F11=""),"PQC support unknown. ","")&amp;IF(N11="OVERDUE","Follow-up overdue. ","")&amp;IF(AND(M11&lt;&gt;"Closed",K11=""),"Set a follow-up date. ",""))</f>
        <v/>
      </c>
    </row>
    <row r="12" customFormat="false" ht="15" hidden="false" customHeight="false" outlineLevel="0" collapsed="false">
      <c r="A12" s="16"/>
      <c r="B12" s="16"/>
      <c r="C12" s="16"/>
      <c r="D12" s="16"/>
      <c r="E12" s="16"/>
      <c r="F12" s="16"/>
      <c r="G12" s="17"/>
      <c r="H12" s="16"/>
      <c r="I12" s="16"/>
      <c r="J12" s="17"/>
      <c r="K12" s="17"/>
      <c r="L12" s="16"/>
      <c r="M12" s="16"/>
      <c r="N12" s="18" t="str">
        <f aca="true">IF(OR(K12="",M12="Closed"),"",IF(K12&lt;TODAY(),"OVERDUE",""))</f>
        <v/>
      </c>
      <c r="O12" s="18" t="str">
        <f aca="true">IF(A12="","",IF(AND(H12&lt;&gt;"Yes",F12&lt;&gt;"PQC available now",F12&lt;&gt;"Hybrid available now"),"No written PQC roadmap - ask for a dated commitment. ","")&amp;IF(AND(ISNUMBER(G12),F12&lt;&gt;"PQC available now"),IF(G12&lt;TODAY(),"Roadmap date has passed - re-check delivery. ",""),"")&amp;IF(AND(H12="Yes",I12=""),"Record where the written evidence is kept. ","")&amp;IF(AND(F12="Hybrid available now",H12&lt;&gt;"Yes"),"Hybrid only - ask for the pure-PQC date. ","")&amp;IF(OR(F12="Unknown",F12=""),"PQC support unknown. ","")&amp;IF(N12="OVERDUE","Follow-up overdue. ","")&amp;IF(AND(M12&lt;&gt;"Closed",K12=""),"Set a follow-up date. ",""))</f>
        <v/>
      </c>
    </row>
    <row r="13" customFormat="false" ht="15" hidden="false" customHeight="false" outlineLevel="0" collapsed="false">
      <c r="A13" s="16"/>
      <c r="B13" s="16"/>
      <c r="C13" s="16"/>
      <c r="D13" s="16"/>
      <c r="E13" s="16"/>
      <c r="F13" s="16"/>
      <c r="G13" s="17"/>
      <c r="H13" s="16"/>
      <c r="I13" s="16"/>
      <c r="J13" s="17"/>
      <c r="K13" s="17"/>
      <c r="L13" s="16"/>
      <c r="M13" s="16"/>
      <c r="N13" s="18" t="str">
        <f aca="true">IF(OR(K13="",M13="Closed"),"",IF(K13&lt;TODAY(),"OVERDUE",""))</f>
        <v/>
      </c>
      <c r="O13" s="18" t="str">
        <f aca="true">IF(A13="","",IF(AND(H13&lt;&gt;"Yes",F13&lt;&gt;"PQC available now",F13&lt;&gt;"Hybrid available now"),"No written PQC roadmap - ask for a dated commitment. ","")&amp;IF(AND(ISNUMBER(G13),F13&lt;&gt;"PQC available now"),IF(G13&lt;TODAY(),"Roadmap date has passed - re-check delivery. ",""),"")&amp;IF(AND(H13="Yes",I13=""),"Record where the written evidence is kept. ","")&amp;IF(AND(F13="Hybrid available now",H13&lt;&gt;"Yes"),"Hybrid only - ask for the pure-PQC date. ","")&amp;IF(OR(F13="Unknown",F13=""),"PQC support unknown. ","")&amp;IF(N13="OVERDUE","Follow-up overdue. ","")&amp;IF(AND(M13&lt;&gt;"Closed",K13=""),"Set a follow-up date. ",""))</f>
        <v/>
      </c>
    </row>
    <row r="14" customFormat="false" ht="15" hidden="false" customHeight="false" outlineLevel="0" collapsed="false">
      <c r="A14" s="16"/>
      <c r="B14" s="16"/>
      <c r="C14" s="16"/>
      <c r="D14" s="16"/>
      <c r="E14" s="16"/>
      <c r="F14" s="16"/>
      <c r="G14" s="17"/>
      <c r="H14" s="16"/>
      <c r="I14" s="16"/>
      <c r="J14" s="17"/>
      <c r="K14" s="17"/>
      <c r="L14" s="16"/>
      <c r="M14" s="16"/>
      <c r="N14" s="18" t="str">
        <f aca="true">IF(OR(K14="",M14="Closed"),"",IF(K14&lt;TODAY(),"OVERDUE",""))</f>
        <v/>
      </c>
      <c r="O14" s="18" t="str">
        <f aca="true">IF(A14="","",IF(AND(H14&lt;&gt;"Yes",F14&lt;&gt;"PQC available now",F14&lt;&gt;"Hybrid available now"),"No written PQC roadmap - ask for a dated commitment. ","")&amp;IF(AND(ISNUMBER(G14),F14&lt;&gt;"PQC available now"),IF(G14&lt;TODAY(),"Roadmap date has passed - re-check delivery. ",""),"")&amp;IF(AND(H14="Yes",I14=""),"Record where the written evidence is kept. ","")&amp;IF(AND(F14="Hybrid available now",H14&lt;&gt;"Yes"),"Hybrid only - ask for the pure-PQC date. ","")&amp;IF(OR(F14="Unknown",F14=""),"PQC support unknown. ","")&amp;IF(N14="OVERDUE","Follow-up overdue. ","")&amp;IF(AND(M14&lt;&gt;"Closed",K14=""),"Set a follow-up date. ",""))</f>
        <v/>
      </c>
    </row>
    <row r="15" customFormat="false" ht="15" hidden="false" customHeight="false" outlineLevel="0" collapsed="false">
      <c r="A15" s="16"/>
      <c r="B15" s="16"/>
      <c r="C15" s="16"/>
      <c r="D15" s="16"/>
      <c r="E15" s="16"/>
      <c r="F15" s="16"/>
      <c r="G15" s="17"/>
      <c r="H15" s="16"/>
      <c r="I15" s="16"/>
      <c r="J15" s="17"/>
      <c r="K15" s="17"/>
      <c r="L15" s="16"/>
      <c r="M15" s="16"/>
      <c r="N15" s="18" t="str">
        <f aca="true">IF(OR(K15="",M15="Closed"),"",IF(K15&lt;TODAY(),"OVERDUE",""))</f>
        <v/>
      </c>
      <c r="O15" s="18" t="str">
        <f aca="true">IF(A15="","",IF(AND(H15&lt;&gt;"Yes",F15&lt;&gt;"PQC available now",F15&lt;&gt;"Hybrid available now"),"No written PQC roadmap - ask for a dated commitment. ","")&amp;IF(AND(ISNUMBER(G15),F15&lt;&gt;"PQC available now"),IF(G15&lt;TODAY(),"Roadmap date has passed - re-check delivery. ",""),"")&amp;IF(AND(H15="Yes",I15=""),"Record where the written evidence is kept. ","")&amp;IF(AND(F15="Hybrid available now",H15&lt;&gt;"Yes"),"Hybrid only - ask for the pure-PQC date. ","")&amp;IF(OR(F15="Unknown",F15=""),"PQC support unknown. ","")&amp;IF(N15="OVERDUE","Follow-up overdue. ","")&amp;IF(AND(M15&lt;&gt;"Closed",K15=""),"Set a follow-up date. ",""))</f>
        <v/>
      </c>
    </row>
    <row r="16" customFormat="false" ht="15" hidden="false" customHeight="false" outlineLevel="0" collapsed="false">
      <c r="A16" s="16"/>
      <c r="B16" s="16"/>
      <c r="C16" s="16"/>
      <c r="D16" s="16"/>
      <c r="E16" s="16"/>
      <c r="F16" s="16"/>
      <c r="G16" s="17"/>
      <c r="H16" s="16"/>
      <c r="I16" s="16"/>
      <c r="J16" s="17"/>
      <c r="K16" s="17"/>
      <c r="L16" s="16"/>
      <c r="M16" s="16"/>
      <c r="N16" s="18" t="str">
        <f aca="true">IF(OR(K16="",M16="Closed"),"",IF(K16&lt;TODAY(),"OVERDUE",""))</f>
        <v/>
      </c>
      <c r="O16" s="18" t="str">
        <f aca="true">IF(A16="","",IF(AND(H16&lt;&gt;"Yes",F16&lt;&gt;"PQC available now",F16&lt;&gt;"Hybrid available now"),"No written PQC roadmap - ask for a dated commitment. ","")&amp;IF(AND(ISNUMBER(G16),F16&lt;&gt;"PQC available now"),IF(G16&lt;TODAY(),"Roadmap date has passed - re-check delivery. ",""),"")&amp;IF(AND(H16="Yes",I16=""),"Record where the written evidence is kept. ","")&amp;IF(AND(F16="Hybrid available now",H16&lt;&gt;"Yes"),"Hybrid only - ask for the pure-PQC date. ","")&amp;IF(OR(F16="Unknown",F16=""),"PQC support unknown. ","")&amp;IF(N16="OVERDUE","Follow-up overdue. ","")&amp;IF(AND(M16&lt;&gt;"Closed",K16=""),"Set a follow-up date. ",""))</f>
        <v/>
      </c>
    </row>
    <row r="17" customFormat="false" ht="15" hidden="false" customHeight="false" outlineLevel="0" collapsed="false">
      <c r="A17" s="16"/>
      <c r="B17" s="16"/>
      <c r="C17" s="16"/>
      <c r="D17" s="16"/>
      <c r="E17" s="16"/>
      <c r="F17" s="16"/>
      <c r="G17" s="17"/>
      <c r="H17" s="16"/>
      <c r="I17" s="16"/>
      <c r="J17" s="17"/>
      <c r="K17" s="17"/>
      <c r="L17" s="16"/>
      <c r="M17" s="16"/>
      <c r="N17" s="18" t="str">
        <f aca="true">IF(OR(K17="",M17="Closed"),"",IF(K17&lt;TODAY(),"OVERDUE",""))</f>
        <v/>
      </c>
      <c r="O17" s="18" t="str">
        <f aca="true">IF(A17="","",IF(AND(H17&lt;&gt;"Yes",F17&lt;&gt;"PQC available now",F17&lt;&gt;"Hybrid available now"),"No written PQC roadmap - ask for a dated commitment. ","")&amp;IF(AND(ISNUMBER(G17),F17&lt;&gt;"PQC available now"),IF(G17&lt;TODAY(),"Roadmap date has passed - re-check delivery. ",""),"")&amp;IF(AND(H17="Yes",I17=""),"Record where the written evidence is kept. ","")&amp;IF(AND(F17="Hybrid available now",H17&lt;&gt;"Yes"),"Hybrid only - ask for the pure-PQC date. ","")&amp;IF(OR(F17="Unknown",F17=""),"PQC support unknown. ","")&amp;IF(N17="OVERDUE","Follow-up overdue. ","")&amp;IF(AND(M17&lt;&gt;"Closed",K17=""),"Set a follow-up date. ",""))</f>
        <v/>
      </c>
    </row>
    <row r="18" customFormat="false" ht="15" hidden="false" customHeight="false" outlineLevel="0" collapsed="false">
      <c r="A18" s="16"/>
      <c r="B18" s="16"/>
      <c r="C18" s="16"/>
      <c r="D18" s="16"/>
      <c r="E18" s="16"/>
      <c r="F18" s="16"/>
      <c r="G18" s="17"/>
      <c r="H18" s="16"/>
      <c r="I18" s="16"/>
      <c r="J18" s="17"/>
      <c r="K18" s="17"/>
      <c r="L18" s="16"/>
      <c r="M18" s="16"/>
      <c r="N18" s="18" t="str">
        <f aca="true">IF(OR(K18="",M18="Closed"),"",IF(K18&lt;TODAY(),"OVERDUE",""))</f>
        <v/>
      </c>
      <c r="O18" s="18" t="str">
        <f aca="true">IF(A18="","",IF(AND(H18&lt;&gt;"Yes",F18&lt;&gt;"PQC available now",F18&lt;&gt;"Hybrid available now"),"No written PQC roadmap - ask for a dated commitment. ","")&amp;IF(AND(ISNUMBER(G18),F18&lt;&gt;"PQC available now"),IF(G18&lt;TODAY(),"Roadmap date has passed - re-check delivery. ",""),"")&amp;IF(AND(H18="Yes",I18=""),"Record where the written evidence is kept. ","")&amp;IF(AND(F18="Hybrid available now",H18&lt;&gt;"Yes"),"Hybrid only - ask for the pure-PQC date. ","")&amp;IF(OR(F18="Unknown",F18=""),"PQC support unknown. ","")&amp;IF(N18="OVERDUE","Follow-up overdue. ","")&amp;IF(AND(M18&lt;&gt;"Closed",K18=""),"Set a follow-up date. ",""))</f>
        <v/>
      </c>
    </row>
    <row r="19" customFormat="false" ht="15" hidden="false" customHeight="false" outlineLevel="0" collapsed="false">
      <c r="A19" s="16"/>
      <c r="B19" s="16"/>
      <c r="C19" s="16"/>
      <c r="D19" s="16"/>
      <c r="E19" s="16"/>
      <c r="F19" s="16"/>
      <c r="G19" s="17"/>
      <c r="H19" s="16"/>
      <c r="I19" s="16"/>
      <c r="J19" s="17"/>
      <c r="K19" s="17"/>
      <c r="L19" s="16"/>
      <c r="M19" s="16"/>
      <c r="N19" s="18" t="str">
        <f aca="true">IF(OR(K19="",M19="Closed"),"",IF(K19&lt;TODAY(),"OVERDUE",""))</f>
        <v/>
      </c>
      <c r="O19" s="18" t="str">
        <f aca="true">IF(A19="","",IF(AND(H19&lt;&gt;"Yes",F19&lt;&gt;"PQC available now",F19&lt;&gt;"Hybrid available now"),"No written PQC roadmap - ask for a dated commitment. ","")&amp;IF(AND(ISNUMBER(G19),F19&lt;&gt;"PQC available now"),IF(G19&lt;TODAY(),"Roadmap date has passed - re-check delivery. ",""),"")&amp;IF(AND(H19="Yes",I19=""),"Record where the written evidence is kept. ","")&amp;IF(AND(F19="Hybrid available now",H19&lt;&gt;"Yes"),"Hybrid only - ask for the pure-PQC date. ","")&amp;IF(OR(F19="Unknown",F19=""),"PQC support unknown. ","")&amp;IF(N19="OVERDUE","Follow-up overdue. ","")&amp;IF(AND(M19&lt;&gt;"Closed",K19=""),"Set a follow-up date. ",""))</f>
        <v/>
      </c>
    </row>
    <row r="20" customFormat="false" ht="15" hidden="false" customHeight="false" outlineLevel="0" collapsed="false">
      <c r="A20" s="16"/>
      <c r="B20" s="16"/>
      <c r="C20" s="16"/>
      <c r="D20" s="16"/>
      <c r="E20" s="16"/>
      <c r="F20" s="16"/>
      <c r="G20" s="17"/>
      <c r="H20" s="16"/>
      <c r="I20" s="16"/>
      <c r="J20" s="17"/>
      <c r="K20" s="17"/>
      <c r="L20" s="16"/>
      <c r="M20" s="16"/>
      <c r="N20" s="18" t="str">
        <f aca="true">IF(OR(K20="",M20="Closed"),"",IF(K20&lt;TODAY(),"OVERDUE",""))</f>
        <v/>
      </c>
      <c r="O20" s="18" t="str">
        <f aca="true">IF(A20="","",IF(AND(H20&lt;&gt;"Yes",F20&lt;&gt;"PQC available now",F20&lt;&gt;"Hybrid available now"),"No written PQC roadmap - ask for a dated commitment. ","")&amp;IF(AND(ISNUMBER(G20),F20&lt;&gt;"PQC available now"),IF(G20&lt;TODAY(),"Roadmap date has passed - re-check delivery. ",""),"")&amp;IF(AND(H20="Yes",I20=""),"Record where the written evidence is kept. ","")&amp;IF(AND(F20="Hybrid available now",H20&lt;&gt;"Yes"),"Hybrid only - ask for the pure-PQC date. ","")&amp;IF(OR(F20="Unknown",F20=""),"PQC support unknown. ","")&amp;IF(N20="OVERDUE","Follow-up overdue. ","")&amp;IF(AND(M20&lt;&gt;"Closed",K20=""),"Set a follow-up date. ",""))</f>
        <v/>
      </c>
    </row>
    <row r="21" customFormat="false" ht="15" hidden="false" customHeight="false" outlineLevel="0" collapsed="false">
      <c r="A21" s="16"/>
      <c r="B21" s="16"/>
      <c r="C21" s="16"/>
      <c r="D21" s="16"/>
      <c r="E21" s="16"/>
      <c r="F21" s="16"/>
      <c r="G21" s="17"/>
      <c r="H21" s="16"/>
      <c r="I21" s="16"/>
      <c r="J21" s="17"/>
      <c r="K21" s="17"/>
      <c r="L21" s="16"/>
      <c r="M21" s="16"/>
      <c r="N21" s="18" t="str">
        <f aca="true">IF(OR(K21="",M21="Closed"),"",IF(K21&lt;TODAY(),"OVERDUE",""))</f>
        <v/>
      </c>
      <c r="O21" s="18" t="str">
        <f aca="true">IF(A21="","",IF(AND(H21&lt;&gt;"Yes",F21&lt;&gt;"PQC available now",F21&lt;&gt;"Hybrid available now"),"No written PQC roadmap - ask for a dated commitment. ","")&amp;IF(AND(ISNUMBER(G21),F21&lt;&gt;"PQC available now"),IF(G21&lt;TODAY(),"Roadmap date has passed - re-check delivery. ",""),"")&amp;IF(AND(H21="Yes",I21=""),"Record where the written evidence is kept. ","")&amp;IF(AND(F21="Hybrid available now",H21&lt;&gt;"Yes"),"Hybrid only - ask for the pure-PQC date. ","")&amp;IF(OR(F21="Unknown",F21=""),"PQC support unknown. ","")&amp;IF(N21="OVERDUE","Follow-up overdue. ","")&amp;IF(AND(M21&lt;&gt;"Closed",K21=""),"Set a follow-up date. ",""))</f>
        <v/>
      </c>
    </row>
    <row r="22" customFormat="false" ht="15" hidden="false" customHeight="false" outlineLevel="0" collapsed="false">
      <c r="A22" s="16"/>
      <c r="B22" s="16"/>
      <c r="C22" s="16"/>
      <c r="D22" s="16"/>
      <c r="E22" s="16"/>
      <c r="F22" s="16"/>
      <c r="G22" s="17"/>
      <c r="H22" s="16"/>
      <c r="I22" s="16"/>
      <c r="J22" s="17"/>
      <c r="K22" s="17"/>
      <c r="L22" s="16"/>
      <c r="M22" s="16"/>
      <c r="N22" s="18" t="str">
        <f aca="true">IF(OR(K22="",M22="Closed"),"",IF(K22&lt;TODAY(),"OVERDUE",""))</f>
        <v/>
      </c>
      <c r="O22" s="18" t="str">
        <f aca="true">IF(A22="","",IF(AND(H22&lt;&gt;"Yes",F22&lt;&gt;"PQC available now",F22&lt;&gt;"Hybrid available now"),"No written PQC roadmap - ask for a dated commitment. ","")&amp;IF(AND(ISNUMBER(G22),F22&lt;&gt;"PQC available now"),IF(G22&lt;TODAY(),"Roadmap date has passed - re-check delivery. ",""),"")&amp;IF(AND(H22="Yes",I22=""),"Record where the written evidence is kept. ","")&amp;IF(AND(F22="Hybrid available now",H22&lt;&gt;"Yes"),"Hybrid only - ask for the pure-PQC date. ","")&amp;IF(OR(F22="Unknown",F22=""),"PQC support unknown. ","")&amp;IF(N22="OVERDUE","Follow-up overdue. ","")&amp;IF(AND(M22&lt;&gt;"Closed",K22=""),"Set a follow-up date. ",""))</f>
        <v/>
      </c>
    </row>
    <row r="23" customFormat="false" ht="15" hidden="false" customHeight="false" outlineLevel="0" collapsed="false">
      <c r="A23" s="16"/>
      <c r="B23" s="16"/>
      <c r="C23" s="16"/>
      <c r="D23" s="16"/>
      <c r="E23" s="16"/>
      <c r="F23" s="16"/>
      <c r="G23" s="17"/>
      <c r="H23" s="16"/>
      <c r="I23" s="16"/>
      <c r="J23" s="17"/>
      <c r="K23" s="17"/>
      <c r="L23" s="16"/>
      <c r="M23" s="16"/>
      <c r="N23" s="18" t="str">
        <f aca="true">IF(OR(K23="",M23="Closed"),"",IF(K23&lt;TODAY(),"OVERDUE",""))</f>
        <v/>
      </c>
      <c r="O23" s="18" t="str">
        <f aca="true">IF(A23="","",IF(AND(H23&lt;&gt;"Yes",F23&lt;&gt;"PQC available now",F23&lt;&gt;"Hybrid available now"),"No written PQC roadmap - ask for a dated commitment. ","")&amp;IF(AND(ISNUMBER(G23),F23&lt;&gt;"PQC available now"),IF(G23&lt;TODAY(),"Roadmap date has passed - re-check delivery. ",""),"")&amp;IF(AND(H23="Yes",I23=""),"Record where the written evidence is kept. ","")&amp;IF(AND(F23="Hybrid available now",H23&lt;&gt;"Yes"),"Hybrid only - ask for the pure-PQC date. ","")&amp;IF(OR(F23="Unknown",F23=""),"PQC support unknown. ","")&amp;IF(N23="OVERDUE","Follow-up overdue. ","")&amp;IF(AND(M23&lt;&gt;"Closed",K23=""),"Set a follow-up date. ",""))</f>
        <v/>
      </c>
    </row>
    <row r="24" customFormat="false" ht="15" hidden="false" customHeight="false" outlineLevel="0" collapsed="false">
      <c r="A24" s="16"/>
      <c r="B24" s="16"/>
      <c r="C24" s="16"/>
      <c r="D24" s="16"/>
      <c r="E24" s="16"/>
      <c r="F24" s="16"/>
      <c r="G24" s="17"/>
      <c r="H24" s="16"/>
      <c r="I24" s="16"/>
      <c r="J24" s="17"/>
      <c r="K24" s="17"/>
      <c r="L24" s="16"/>
      <c r="M24" s="16"/>
      <c r="N24" s="18" t="str">
        <f aca="true">IF(OR(K24="",M24="Closed"),"",IF(K24&lt;TODAY(),"OVERDUE",""))</f>
        <v/>
      </c>
      <c r="O24" s="18" t="str">
        <f aca="true">IF(A24="","",IF(AND(H24&lt;&gt;"Yes",F24&lt;&gt;"PQC available now",F24&lt;&gt;"Hybrid available now"),"No written PQC roadmap - ask for a dated commitment. ","")&amp;IF(AND(ISNUMBER(G24),F24&lt;&gt;"PQC available now"),IF(G24&lt;TODAY(),"Roadmap date has passed - re-check delivery. ",""),"")&amp;IF(AND(H24="Yes",I24=""),"Record where the written evidence is kept. ","")&amp;IF(AND(F24="Hybrid available now",H24&lt;&gt;"Yes"),"Hybrid only - ask for the pure-PQC date. ","")&amp;IF(OR(F24="Unknown",F24=""),"PQC support unknown. ","")&amp;IF(N24="OVERDUE","Follow-up overdue. ","")&amp;IF(AND(M24&lt;&gt;"Closed",K24=""),"Set a follow-up date. ",""))</f>
        <v/>
      </c>
    </row>
    <row r="25" customFormat="false" ht="15" hidden="false" customHeight="false" outlineLevel="0" collapsed="false">
      <c r="A25" s="16"/>
      <c r="B25" s="16"/>
      <c r="C25" s="16"/>
      <c r="D25" s="16"/>
      <c r="E25" s="16"/>
      <c r="F25" s="16"/>
      <c r="G25" s="17"/>
      <c r="H25" s="16"/>
      <c r="I25" s="16"/>
      <c r="J25" s="17"/>
      <c r="K25" s="17"/>
      <c r="L25" s="16"/>
      <c r="M25" s="16"/>
      <c r="N25" s="18" t="str">
        <f aca="true">IF(OR(K25="",M25="Closed"),"",IF(K25&lt;TODAY(),"OVERDUE",""))</f>
        <v/>
      </c>
      <c r="O25" s="18" t="str">
        <f aca="true">IF(A25="","",IF(AND(H25&lt;&gt;"Yes",F25&lt;&gt;"PQC available now",F25&lt;&gt;"Hybrid available now"),"No written PQC roadmap - ask for a dated commitment. ","")&amp;IF(AND(ISNUMBER(G25),F25&lt;&gt;"PQC available now"),IF(G25&lt;TODAY(),"Roadmap date has passed - re-check delivery. ",""),"")&amp;IF(AND(H25="Yes",I25=""),"Record where the written evidence is kept. ","")&amp;IF(AND(F25="Hybrid available now",H25&lt;&gt;"Yes"),"Hybrid only - ask for the pure-PQC date. ","")&amp;IF(OR(F25="Unknown",F25=""),"PQC support unknown. ","")&amp;IF(N25="OVERDUE","Follow-up overdue. ","")&amp;IF(AND(M25&lt;&gt;"Closed",K25=""),"Set a follow-up date. ",""))</f>
        <v/>
      </c>
    </row>
    <row r="26" customFormat="false" ht="15" hidden="false" customHeight="false" outlineLevel="0" collapsed="false">
      <c r="A26" s="16"/>
      <c r="B26" s="16"/>
      <c r="C26" s="16"/>
      <c r="D26" s="16"/>
      <c r="E26" s="16"/>
      <c r="F26" s="16"/>
      <c r="G26" s="17"/>
      <c r="H26" s="16"/>
      <c r="I26" s="16"/>
      <c r="J26" s="17"/>
      <c r="K26" s="17"/>
      <c r="L26" s="16"/>
      <c r="M26" s="16"/>
      <c r="N26" s="18" t="str">
        <f aca="true">IF(OR(K26="",M26="Closed"),"",IF(K26&lt;TODAY(),"OVERDUE",""))</f>
        <v/>
      </c>
      <c r="O26" s="18" t="str">
        <f aca="true">IF(A26="","",IF(AND(H26&lt;&gt;"Yes",F26&lt;&gt;"PQC available now",F26&lt;&gt;"Hybrid available now"),"No written PQC roadmap - ask for a dated commitment. ","")&amp;IF(AND(ISNUMBER(G26),F26&lt;&gt;"PQC available now"),IF(G26&lt;TODAY(),"Roadmap date has passed - re-check delivery. ",""),"")&amp;IF(AND(H26="Yes",I26=""),"Record where the written evidence is kept. ","")&amp;IF(AND(F26="Hybrid available now",H26&lt;&gt;"Yes"),"Hybrid only - ask for the pure-PQC date. ","")&amp;IF(OR(F26="Unknown",F26=""),"PQC support unknown. ","")&amp;IF(N26="OVERDUE","Follow-up overdue. ","")&amp;IF(AND(M26&lt;&gt;"Closed",K26=""),"Set a follow-up date. ",""))</f>
        <v/>
      </c>
    </row>
    <row r="27" customFormat="false" ht="15" hidden="false" customHeight="false" outlineLevel="0" collapsed="false">
      <c r="A27" s="16"/>
      <c r="B27" s="16"/>
      <c r="C27" s="16"/>
      <c r="D27" s="16"/>
      <c r="E27" s="16"/>
      <c r="F27" s="16"/>
      <c r="G27" s="17"/>
      <c r="H27" s="16"/>
      <c r="I27" s="16"/>
      <c r="J27" s="17"/>
      <c r="K27" s="17"/>
      <c r="L27" s="16"/>
      <c r="M27" s="16"/>
      <c r="N27" s="18" t="str">
        <f aca="true">IF(OR(K27="",M27="Closed"),"",IF(K27&lt;TODAY(),"OVERDUE",""))</f>
        <v/>
      </c>
      <c r="O27" s="18" t="str">
        <f aca="true">IF(A27="","",IF(AND(H27&lt;&gt;"Yes",F27&lt;&gt;"PQC available now",F27&lt;&gt;"Hybrid available now"),"No written PQC roadmap - ask for a dated commitment. ","")&amp;IF(AND(ISNUMBER(G27),F27&lt;&gt;"PQC available now"),IF(G27&lt;TODAY(),"Roadmap date has passed - re-check delivery. ",""),"")&amp;IF(AND(H27="Yes",I27=""),"Record where the written evidence is kept. ","")&amp;IF(AND(F27="Hybrid available now",H27&lt;&gt;"Yes"),"Hybrid only - ask for the pure-PQC date. ","")&amp;IF(OR(F27="Unknown",F27=""),"PQC support unknown. ","")&amp;IF(N27="OVERDUE","Follow-up overdue. ","")&amp;IF(AND(M27&lt;&gt;"Closed",K27=""),"Set a follow-up date. ",""))</f>
        <v/>
      </c>
    </row>
    <row r="28" customFormat="false" ht="15" hidden="false" customHeight="false" outlineLevel="0" collapsed="false">
      <c r="A28" s="16"/>
      <c r="B28" s="16"/>
      <c r="C28" s="16"/>
      <c r="D28" s="16"/>
      <c r="E28" s="16"/>
      <c r="F28" s="16"/>
      <c r="G28" s="17"/>
      <c r="H28" s="16"/>
      <c r="I28" s="16"/>
      <c r="J28" s="17"/>
      <c r="K28" s="17"/>
      <c r="L28" s="16"/>
      <c r="M28" s="16"/>
      <c r="N28" s="18" t="str">
        <f aca="true">IF(OR(K28="",M28="Closed"),"",IF(K28&lt;TODAY(),"OVERDUE",""))</f>
        <v/>
      </c>
      <c r="O28" s="18" t="str">
        <f aca="true">IF(A28="","",IF(AND(H28&lt;&gt;"Yes",F28&lt;&gt;"PQC available now",F28&lt;&gt;"Hybrid available now"),"No written PQC roadmap - ask for a dated commitment. ","")&amp;IF(AND(ISNUMBER(G28),F28&lt;&gt;"PQC available now"),IF(G28&lt;TODAY(),"Roadmap date has passed - re-check delivery. ",""),"")&amp;IF(AND(H28="Yes",I28=""),"Record where the written evidence is kept. ","")&amp;IF(AND(F28="Hybrid available now",H28&lt;&gt;"Yes"),"Hybrid only - ask for the pure-PQC date. ","")&amp;IF(OR(F28="Unknown",F28=""),"PQC support unknown. ","")&amp;IF(N28="OVERDUE","Follow-up overdue. ","")&amp;IF(AND(M28&lt;&gt;"Closed",K28=""),"Set a follow-up date. ",""))</f>
        <v/>
      </c>
    </row>
    <row r="29" customFormat="false" ht="15" hidden="false" customHeight="false" outlineLevel="0" collapsed="false">
      <c r="A29" s="16"/>
      <c r="B29" s="16"/>
      <c r="C29" s="16"/>
      <c r="D29" s="16"/>
      <c r="E29" s="16"/>
      <c r="F29" s="16"/>
      <c r="G29" s="17"/>
      <c r="H29" s="16"/>
      <c r="I29" s="16"/>
      <c r="J29" s="17"/>
      <c r="K29" s="17"/>
      <c r="L29" s="16"/>
      <c r="M29" s="16"/>
      <c r="N29" s="18" t="str">
        <f aca="true">IF(OR(K29="",M29="Closed"),"",IF(K29&lt;TODAY(),"OVERDUE",""))</f>
        <v/>
      </c>
      <c r="O29" s="18" t="str">
        <f aca="true">IF(A29="","",IF(AND(H29&lt;&gt;"Yes",F29&lt;&gt;"PQC available now",F29&lt;&gt;"Hybrid available now"),"No written PQC roadmap - ask for a dated commitment. ","")&amp;IF(AND(ISNUMBER(G29),F29&lt;&gt;"PQC available now"),IF(G29&lt;TODAY(),"Roadmap date has passed - re-check delivery. ",""),"")&amp;IF(AND(H29="Yes",I29=""),"Record where the written evidence is kept. ","")&amp;IF(AND(F29="Hybrid available now",H29&lt;&gt;"Yes"),"Hybrid only - ask for the pure-PQC date. ","")&amp;IF(OR(F29="Unknown",F29=""),"PQC support unknown. ","")&amp;IF(N29="OVERDUE","Follow-up overdue. ","")&amp;IF(AND(M29&lt;&gt;"Closed",K29=""),"Set a follow-up date. ",""))</f>
        <v/>
      </c>
    </row>
    <row r="30" customFormat="false" ht="15" hidden="false" customHeight="false" outlineLevel="0" collapsed="false">
      <c r="A30" s="16"/>
      <c r="B30" s="16"/>
      <c r="C30" s="16"/>
      <c r="D30" s="16"/>
      <c r="E30" s="16"/>
      <c r="F30" s="16"/>
      <c r="G30" s="17"/>
      <c r="H30" s="16"/>
      <c r="I30" s="16"/>
      <c r="J30" s="17"/>
      <c r="K30" s="17"/>
      <c r="L30" s="16"/>
      <c r="M30" s="16"/>
      <c r="N30" s="18" t="str">
        <f aca="true">IF(OR(K30="",M30="Closed"),"",IF(K30&lt;TODAY(),"OVERDUE",""))</f>
        <v/>
      </c>
      <c r="O30" s="18" t="str">
        <f aca="true">IF(A30="","",IF(AND(H30&lt;&gt;"Yes",F30&lt;&gt;"PQC available now",F30&lt;&gt;"Hybrid available now"),"No written PQC roadmap - ask for a dated commitment. ","")&amp;IF(AND(ISNUMBER(G30),F30&lt;&gt;"PQC available now"),IF(G30&lt;TODAY(),"Roadmap date has passed - re-check delivery. ",""),"")&amp;IF(AND(H30="Yes",I30=""),"Record where the written evidence is kept. ","")&amp;IF(AND(F30="Hybrid available now",H30&lt;&gt;"Yes"),"Hybrid only - ask for the pure-PQC date. ","")&amp;IF(OR(F30="Unknown",F30=""),"PQC support unknown. ","")&amp;IF(N30="OVERDUE","Follow-up overdue. ","")&amp;IF(AND(M30&lt;&gt;"Closed",K30=""),"Set a follow-up date. ",""))</f>
        <v/>
      </c>
    </row>
    <row r="31" customFormat="false" ht="15" hidden="false" customHeight="false" outlineLevel="0" collapsed="false">
      <c r="A31" s="16"/>
      <c r="B31" s="16"/>
      <c r="C31" s="16"/>
      <c r="D31" s="16"/>
      <c r="E31" s="16"/>
      <c r="F31" s="16"/>
      <c r="G31" s="17"/>
      <c r="H31" s="16"/>
      <c r="I31" s="16"/>
      <c r="J31" s="17"/>
      <c r="K31" s="17"/>
      <c r="L31" s="16"/>
      <c r="M31" s="16"/>
      <c r="N31" s="18" t="str">
        <f aca="true">IF(OR(K31="",M31="Closed"),"",IF(K31&lt;TODAY(),"OVERDUE",""))</f>
        <v/>
      </c>
      <c r="O31" s="18" t="str">
        <f aca="true">IF(A31="","",IF(AND(H31&lt;&gt;"Yes",F31&lt;&gt;"PQC available now",F31&lt;&gt;"Hybrid available now"),"No written PQC roadmap - ask for a dated commitment. ","")&amp;IF(AND(ISNUMBER(G31),F31&lt;&gt;"PQC available now"),IF(G31&lt;TODAY(),"Roadmap date has passed - re-check delivery. ",""),"")&amp;IF(AND(H31="Yes",I31=""),"Record where the written evidence is kept. ","")&amp;IF(AND(F31="Hybrid available now",H31&lt;&gt;"Yes"),"Hybrid only - ask for the pure-PQC date. ","")&amp;IF(OR(F31="Unknown",F31=""),"PQC support unknown. ","")&amp;IF(N31="OVERDUE","Follow-up overdue. ","")&amp;IF(AND(M31&lt;&gt;"Closed",K31=""),"Set a follow-up date. ",""))</f>
        <v/>
      </c>
    </row>
    <row r="32" customFormat="false" ht="15" hidden="false" customHeight="false" outlineLevel="0" collapsed="false">
      <c r="A32" s="16"/>
      <c r="B32" s="16"/>
      <c r="C32" s="16"/>
      <c r="D32" s="16"/>
      <c r="E32" s="16"/>
      <c r="F32" s="16"/>
      <c r="G32" s="17"/>
      <c r="H32" s="16"/>
      <c r="I32" s="16"/>
      <c r="J32" s="17"/>
      <c r="K32" s="17"/>
      <c r="L32" s="16"/>
      <c r="M32" s="16"/>
      <c r="N32" s="18" t="str">
        <f aca="true">IF(OR(K32="",M32="Closed"),"",IF(K32&lt;TODAY(),"OVERDUE",""))</f>
        <v/>
      </c>
      <c r="O32" s="18" t="str">
        <f aca="true">IF(A32="","",IF(AND(H32&lt;&gt;"Yes",F32&lt;&gt;"PQC available now",F32&lt;&gt;"Hybrid available now"),"No written PQC roadmap - ask for a dated commitment. ","")&amp;IF(AND(ISNUMBER(G32),F32&lt;&gt;"PQC available now"),IF(G32&lt;TODAY(),"Roadmap date has passed - re-check delivery. ",""),"")&amp;IF(AND(H32="Yes",I32=""),"Record where the written evidence is kept. ","")&amp;IF(AND(F32="Hybrid available now",H32&lt;&gt;"Yes"),"Hybrid only - ask for the pure-PQC date. ","")&amp;IF(OR(F32="Unknown",F32=""),"PQC support unknown. ","")&amp;IF(N32="OVERDUE","Follow-up overdue. ","")&amp;IF(AND(M32&lt;&gt;"Closed",K32=""),"Set a follow-up date. ",""))</f>
        <v/>
      </c>
    </row>
    <row r="33" customFormat="false" ht="15" hidden="false" customHeight="false" outlineLevel="0" collapsed="false">
      <c r="A33" s="16"/>
      <c r="B33" s="16"/>
      <c r="C33" s="16"/>
      <c r="D33" s="16"/>
      <c r="E33" s="16"/>
      <c r="F33" s="16"/>
      <c r="G33" s="17"/>
      <c r="H33" s="16"/>
      <c r="I33" s="16"/>
      <c r="J33" s="17"/>
      <c r="K33" s="17"/>
      <c r="L33" s="16"/>
      <c r="M33" s="16"/>
      <c r="N33" s="18" t="str">
        <f aca="true">IF(OR(K33="",M33="Closed"),"",IF(K33&lt;TODAY(),"OVERDUE",""))</f>
        <v/>
      </c>
      <c r="O33" s="18" t="str">
        <f aca="true">IF(A33="","",IF(AND(H33&lt;&gt;"Yes",F33&lt;&gt;"PQC available now",F33&lt;&gt;"Hybrid available now"),"No written PQC roadmap - ask for a dated commitment. ","")&amp;IF(AND(ISNUMBER(G33),F33&lt;&gt;"PQC available now"),IF(G33&lt;TODAY(),"Roadmap date has passed - re-check delivery. ",""),"")&amp;IF(AND(H33="Yes",I33=""),"Record where the written evidence is kept. ","")&amp;IF(AND(F33="Hybrid available now",H33&lt;&gt;"Yes"),"Hybrid only - ask for the pure-PQC date. ","")&amp;IF(OR(F33="Unknown",F33=""),"PQC support unknown. ","")&amp;IF(N33="OVERDUE","Follow-up overdue. ","")&amp;IF(AND(M33&lt;&gt;"Closed",K33=""),"Set a follow-up date. ",""))</f>
        <v/>
      </c>
    </row>
    <row r="34" customFormat="false" ht="15" hidden="false" customHeight="false" outlineLevel="0" collapsed="false">
      <c r="A34" s="16"/>
      <c r="B34" s="16"/>
      <c r="C34" s="16"/>
      <c r="D34" s="16"/>
      <c r="E34" s="16"/>
      <c r="F34" s="16"/>
      <c r="G34" s="17"/>
      <c r="H34" s="16"/>
      <c r="I34" s="16"/>
      <c r="J34" s="17"/>
      <c r="K34" s="17"/>
      <c r="L34" s="16"/>
      <c r="M34" s="16"/>
      <c r="N34" s="18" t="str">
        <f aca="true">IF(OR(K34="",M34="Closed"),"",IF(K34&lt;TODAY(),"OVERDUE",""))</f>
        <v/>
      </c>
      <c r="O34" s="18" t="str">
        <f aca="true">IF(A34="","",IF(AND(H34&lt;&gt;"Yes",F34&lt;&gt;"PQC available now",F34&lt;&gt;"Hybrid available now"),"No written PQC roadmap - ask for a dated commitment. ","")&amp;IF(AND(ISNUMBER(G34),F34&lt;&gt;"PQC available now"),IF(G34&lt;TODAY(),"Roadmap date has passed - re-check delivery. ",""),"")&amp;IF(AND(H34="Yes",I34=""),"Record where the written evidence is kept. ","")&amp;IF(AND(F34="Hybrid available now",H34&lt;&gt;"Yes"),"Hybrid only - ask for the pure-PQC date. ","")&amp;IF(OR(F34="Unknown",F34=""),"PQC support unknown. ","")&amp;IF(N34="OVERDUE","Follow-up overdue. ","")&amp;IF(AND(M34&lt;&gt;"Closed",K34=""),"Set a follow-up date. ",""))</f>
        <v/>
      </c>
    </row>
    <row r="35" customFormat="false" ht="15" hidden="false" customHeight="false" outlineLevel="0" collapsed="false">
      <c r="A35" s="16"/>
      <c r="B35" s="16"/>
      <c r="C35" s="16"/>
      <c r="D35" s="16"/>
      <c r="E35" s="16"/>
      <c r="F35" s="16"/>
      <c r="G35" s="17"/>
      <c r="H35" s="16"/>
      <c r="I35" s="16"/>
      <c r="J35" s="17"/>
      <c r="K35" s="17"/>
      <c r="L35" s="16"/>
      <c r="M35" s="16"/>
      <c r="N35" s="18" t="str">
        <f aca="true">IF(OR(K35="",M35="Closed"),"",IF(K35&lt;TODAY(),"OVERDUE",""))</f>
        <v/>
      </c>
      <c r="O35" s="18" t="str">
        <f aca="true">IF(A35="","",IF(AND(H35&lt;&gt;"Yes",F35&lt;&gt;"PQC available now",F35&lt;&gt;"Hybrid available now"),"No written PQC roadmap - ask for a dated commitment. ","")&amp;IF(AND(ISNUMBER(G35),F35&lt;&gt;"PQC available now"),IF(G35&lt;TODAY(),"Roadmap date has passed - re-check delivery. ",""),"")&amp;IF(AND(H35="Yes",I35=""),"Record where the written evidence is kept. ","")&amp;IF(AND(F35="Hybrid available now",H35&lt;&gt;"Yes"),"Hybrid only - ask for the pure-PQC date. ","")&amp;IF(OR(F35="Unknown",F35=""),"PQC support unknown. ","")&amp;IF(N35="OVERDUE","Follow-up overdue. ","")&amp;IF(AND(M35&lt;&gt;"Closed",K35=""),"Set a follow-up date. ",""))</f>
        <v/>
      </c>
    </row>
    <row r="36" customFormat="false" ht="15" hidden="false" customHeight="false" outlineLevel="0" collapsed="false">
      <c r="A36" s="16"/>
      <c r="B36" s="16"/>
      <c r="C36" s="16"/>
      <c r="D36" s="16"/>
      <c r="E36" s="16"/>
      <c r="F36" s="16"/>
      <c r="G36" s="17"/>
      <c r="H36" s="16"/>
      <c r="I36" s="16"/>
      <c r="J36" s="17"/>
      <c r="K36" s="17"/>
      <c r="L36" s="16"/>
      <c r="M36" s="16"/>
      <c r="N36" s="18" t="str">
        <f aca="true">IF(OR(K36="",M36="Closed"),"",IF(K36&lt;TODAY(),"OVERDUE",""))</f>
        <v/>
      </c>
      <c r="O36" s="18" t="str">
        <f aca="true">IF(A36="","",IF(AND(H36&lt;&gt;"Yes",F36&lt;&gt;"PQC available now",F36&lt;&gt;"Hybrid available now"),"No written PQC roadmap - ask for a dated commitment. ","")&amp;IF(AND(ISNUMBER(G36),F36&lt;&gt;"PQC available now"),IF(G36&lt;TODAY(),"Roadmap date has passed - re-check delivery. ",""),"")&amp;IF(AND(H36="Yes",I36=""),"Record where the written evidence is kept. ","")&amp;IF(AND(F36="Hybrid available now",H36&lt;&gt;"Yes"),"Hybrid only - ask for the pure-PQC date. ","")&amp;IF(OR(F36="Unknown",F36=""),"PQC support unknown. ","")&amp;IF(N36="OVERDUE","Follow-up overdue. ","")&amp;IF(AND(M36&lt;&gt;"Closed",K36=""),"Set a follow-up date. ",""))</f>
        <v/>
      </c>
    </row>
    <row r="37" customFormat="false" ht="15" hidden="false" customHeight="false" outlineLevel="0" collapsed="false">
      <c r="A37" s="16"/>
      <c r="B37" s="16"/>
      <c r="C37" s="16"/>
      <c r="D37" s="16"/>
      <c r="E37" s="16"/>
      <c r="F37" s="16"/>
      <c r="G37" s="17"/>
      <c r="H37" s="16"/>
      <c r="I37" s="16"/>
      <c r="J37" s="17"/>
      <c r="K37" s="17"/>
      <c r="L37" s="16"/>
      <c r="M37" s="16"/>
      <c r="N37" s="18" t="str">
        <f aca="true">IF(OR(K37="",M37="Closed"),"",IF(K37&lt;TODAY(),"OVERDUE",""))</f>
        <v/>
      </c>
      <c r="O37" s="18" t="str">
        <f aca="true">IF(A37="","",IF(AND(H37&lt;&gt;"Yes",F37&lt;&gt;"PQC available now",F37&lt;&gt;"Hybrid available now"),"No written PQC roadmap - ask for a dated commitment. ","")&amp;IF(AND(ISNUMBER(G37),F37&lt;&gt;"PQC available now"),IF(G37&lt;TODAY(),"Roadmap date has passed - re-check delivery. ",""),"")&amp;IF(AND(H37="Yes",I37=""),"Record where the written evidence is kept. ","")&amp;IF(AND(F37="Hybrid available now",H37&lt;&gt;"Yes"),"Hybrid only - ask for the pure-PQC date. ","")&amp;IF(OR(F37="Unknown",F37=""),"PQC support unknown. ","")&amp;IF(N37="OVERDUE","Follow-up overdue. ","")&amp;IF(AND(M37&lt;&gt;"Closed",K37=""),"Set a follow-up date. ",""))</f>
        <v/>
      </c>
    </row>
    <row r="38" customFormat="false" ht="15" hidden="false" customHeight="false" outlineLevel="0" collapsed="false">
      <c r="A38" s="16"/>
      <c r="B38" s="16"/>
      <c r="C38" s="16"/>
      <c r="D38" s="16"/>
      <c r="E38" s="16"/>
      <c r="F38" s="16"/>
      <c r="G38" s="17"/>
      <c r="H38" s="16"/>
      <c r="I38" s="16"/>
      <c r="J38" s="17"/>
      <c r="K38" s="17"/>
      <c r="L38" s="16"/>
      <c r="M38" s="16"/>
      <c r="N38" s="18" t="str">
        <f aca="true">IF(OR(K38="",M38="Closed"),"",IF(K38&lt;TODAY(),"OVERDUE",""))</f>
        <v/>
      </c>
      <c r="O38" s="18" t="str">
        <f aca="true">IF(A38="","",IF(AND(H38&lt;&gt;"Yes",F38&lt;&gt;"PQC available now",F38&lt;&gt;"Hybrid available now"),"No written PQC roadmap - ask for a dated commitment. ","")&amp;IF(AND(ISNUMBER(G38),F38&lt;&gt;"PQC available now"),IF(G38&lt;TODAY(),"Roadmap date has passed - re-check delivery. ",""),"")&amp;IF(AND(H38="Yes",I38=""),"Record where the written evidence is kept. ","")&amp;IF(AND(F38="Hybrid available now",H38&lt;&gt;"Yes"),"Hybrid only - ask for the pure-PQC date. ","")&amp;IF(OR(F38="Unknown",F38=""),"PQC support unknown. ","")&amp;IF(N38="OVERDUE","Follow-up overdue. ","")&amp;IF(AND(M38&lt;&gt;"Closed",K38=""),"Set a follow-up date. ",""))</f>
        <v/>
      </c>
    </row>
    <row r="39" customFormat="false" ht="15" hidden="false" customHeight="false" outlineLevel="0" collapsed="false">
      <c r="A39" s="16"/>
      <c r="B39" s="16"/>
      <c r="C39" s="16"/>
      <c r="D39" s="16"/>
      <c r="E39" s="16"/>
      <c r="F39" s="16"/>
      <c r="G39" s="17"/>
      <c r="H39" s="16"/>
      <c r="I39" s="16"/>
      <c r="J39" s="17"/>
      <c r="K39" s="17"/>
      <c r="L39" s="16"/>
      <c r="M39" s="16"/>
      <c r="N39" s="18" t="str">
        <f aca="true">IF(OR(K39="",M39="Closed"),"",IF(K39&lt;TODAY(),"OVERDUE",""))</f>
        <v/>
      </c>
      <c r="O39" s="18" t="str">
        <f aca="true">IF(A39="","",IF(AND(H39&lt;&gt;"Yes",F39&lt;&gt;"PQC available now",F39&lt;&gt;"Hybrid available now"),"No written PQC roadmap - ask for a dated commitment. ","")&amp;IF(AND(ISNUMBER(G39),F39&lt;&gt;"PQC available now"),IF(G39&lt;TODAY(),"Roadmap date has passed - re-check delivery. ",""),"")&amp;IF(AND(H39="Yes",I39=""),"Record where the written evidence is kept. ","")&amp;IF(AND(F39="Hybrid available now",H39&lt;&gt;"Yes"),"Hybrid only - ask for the pure-PQC date. ","")&amp;IF(OR(F39="Unknown",F39=""),"PQC support unknown. ","")&amp;IF(N39="OVERDUE","Follow-up overdue. ","")&amp;IF(AND(M39&lt;&gt;"Closed",K39=""),"Set a follow-up date. ",""))</f>
        <v/>
      </c>
    </row>
    <row r="40" customFormat="false" ht="15" hidden="false" customHeight="false" outlineLevel="0" collapsed="false">
      <c r="A40" s="16"/>
      <c r="B40" s="16"/>
      <c r="C40" s="16"/>
      <c r="D40" s="16"/>
      <c r="E40" s="16"/>
      <c r="F40" s="16"/>
      <c r="G40" s="17"/>
      <c r="H40" s="16"/>
      <c r="I40" s="16"/>
      <c r="J40" s="17"/>
      <c r="K40" s="17"/>
      <c r="L40" s="16"/>
      <c r="M40" s="16"/>
      <c r="N40" s="18" t="str">
        <f aca="true">IF(OR(K40="",M40="Closed"),"",IF(K40&lt;TODAY(),"OVERDUE",""))</f>
        <v/>
      </c>
      <c r="O40" s="18" t="str">
        <f aca="true">IF(A40="","",IF(AND(H40&lt;&gt;"Yes",F40&lt;&gt;"PQC available now",F40&lt;&gt;"Hybrid available now"),"No written PQC roadmap - ask for a dated commitment. ","")&amp;IF(AND(ISNUMBER(G40),F40&lt;&gt;"PQC available now"),IF(G40&lt;TODAY(),"Roadmap date has passed - re-check delivery. ",""),"")&amp;IF(AND(H40="Yes",I40=""),"Record where the written evidence is kept. ","")&amp;IF(AND(F40="Hybrid available now",H40&lt;&gt;"Yes"),"Hybrid only - ask for the pure-PQC date. ","")&amp;IF(OR(F40="Unknown",F40=""),"PQC support unknown. ","")&amp;IF(N40="OVERDUE","Follow-up overdue. ","")&amp;IF(AND(M40&lt;&gt;"Closed",K40=""),"Set a follow-up date. ",""))</f>
        <v/>
      </c>
    </row>
    <row r="41" customFormat="false" ht="15" hidden="false" customHeight="false" outlineLevel="0" collapsed="false">
      <c r="A41" s="16"/>
      <c r="B41" s="16"/>
      <c r="C41" s="16"/>
      <c r="D41" s="16"/>
      <c r="E41" s="16"/>
      <c r="F41" s="16"/>
      <c r="G41" s="17"/>
      <c r="H41" s="16"/>
      <c r="I41" s="16"/>
      <c r="J41" s="17"/>
      <c r="K41" s="17"/>
      <c r="L41" s="16"/>
      <c r="M41" s="16"/>
      <c r="N41" s="18" t="str">
        <f aca="true">IF(OR(K41="",M41="Closed"),"",IF(K41&lt;TODAY(),"OVERDUE",""))</f>
        <v/>
      </c>
      <c r="O41" s="18" t="str">
        <f aca="true">IF(A41="","",IF(AND(H41&lt;&gt;"Yes",F41&lt;&gt;"PQC available now",F41&lt;&gt;"Hybrid available now"),"No written PQC roadmap - ask for a dated commitment. ","")&amp;IF(AND(ISNUMBER(G41),F41&lt;&gt;"PQC available now"),IF(G41&lt;TODAY(),"Roadmap date has passed - re-check delivery. ",""),"")&amp;IF(AND(H41="Yes",I41=""),"Record where the written evidence is kept. ","")&amp;IF(AND(F41="Hybrid available now",H41&lt;&gt;"Yes"),"Hybrid only - ask for the pure-PQC date. ","")&amp;IF(OR(F41="Unknown",F41=""),"PQC support unknown. ","")&amp;IF(N41="OVERDUE","Follow-up overdue. ","")&amp;IF(AND(M41&lt;&gt;"Closed",K41=""),"Set a follow-up date. ",""))</f>
        <v/>
      </c>
    </row>
    <row r="42" customFormat="false" ht="15" hidden="false" customHeight="false" outlineLevel="0" collapsed="false">
      <c r="A42" s="16"/>
      <c r="B42" s="16"/>
      <c r="C42" s="16"/>
      <c r="D42" s="16"/>
      <c r="E42" s="16"/>
      <c r="F42" s="16"/>
      <c r="G42" s="17"/>
      <c r="H42" s="16"/>
      <c r="I42" s="16"/>
      <c r="J42" s="17"/>
      <c r="K42" s="17"/>
      <c r="L42" s="16"/>
      <c r="M42" s="16"/>
      <c r="N42" s="18" t="str">
        <f aca="true">IF(OR(K42="",M42="Closed"),"",IF(K42&lt;TODAY(),"OVERDUE",""))</f>
        <v/>
      </c>
      <c r="O42" s="18" t="str">
        <f aca="true">IF(A42="","",IF(AND(H42&lt;&gt;"Yes",F42&lt;&gt;"PQC available now",F42&lt;&gt;"Hybrid available now"),"No written PQC roadmap - ask for a dated commitment. ","")&amp;IF(AND(ISNUMBER(G42),F42&lt;&gt;"PQC available now"),IF(G42&lt;TODAY(),"Roadmap date has passed - re-check delivery. ",""),"")&amp;IF(AND(H42="Yes",I42=""),"Record where the written evidence is kept. ","")&amp;IF(AND(F42="Hybrid available now",H42&lt;&gt;"Yes"),"Hybrid only - ask for the pure-PQC date. ","")&amp;IF(OR(F42="Unknown",F42=""),"PQC support unknown. ","")&amp;IF(N42="OVERDUE","Follow-up overdue. ","")&amp;IF(AND(M42&lt;&gt;"Closed",K42=""),"Set a follow-up date. ",""))</f>
        <v/>
      </c>
    </row>
    <row r="43" customFormat="false" ht="15" hidden="false" customHeight="false" outlineLevel="0" collapsed="false">
      <c r="A43" s="16"/>
      <c r="B43" s="16"/>
      <c r="C43" s="16"/>
      <c r="D43" s="16"/>
      <c r="E43" s="16"/>
      <c r="F43" s="16"/>
      <c r="G43" s="17"/>
      <c r="H43" s="16"/>
      <c r="I43" s="16"/>
      <c r="J43" s="17"/>
      <c r="K43" s="17"/>
      <c r="L43" s="16"/>
      <c r="M43" s="16"/>
      <c r="N43" s="18" t="str">
        <f aca="true">IF(OR(K43="",M43="Closed"),"",IF(K43&lt;TODAY(),"OVERDUE",""))</f>
        <v/>
      </c>
      <c r="O43" s="18" t="str">
        <f aca="true">IF(A43="","",IF(AND(H43&lt;&gt;"Yes",F43&lt;&gt;"PQC available now",F43&lt;&gt;"Hybrid available now"),"No written PQC roadmap - ask for a dated commitment. ","")&amp;IF(AND(ISNUMBER(G43),F43&lt;&gt;"PQC available now"),IF(G43&lt;TODAY(),"Roadmap date has passed - re-check delivery. ",""),"")&amp;IF(AND(H43="Yes",I43=""),"Record where the written evidence is kept. ","")&amp;IF(AND(F43="Hybrid available now",H43&lt;&gt;"Yes"),"Hybrid only - ask for the pure-PQC date. ","")&amp;IF(OR(F43="Unknown",F43=""),"PQC support unknown. ","")&amp;IF(N43="OVERDUE","Follow-up overdue. ","")&amp;IF(AND(M43&lt;&gt;"Closed",K43=""),"Set a follow-up date. ",""))</f>
        <v/>
      </c>
    </row>
    <row r="44" customFormat="false" ht="15" hidden="false" customHeight="false" outlineLevel="0" collapsed="false">
      <c r="A44" s="16"/>
      <c r="B44" s="16"/>
      <c r="C44" s="16"/>
      <c r="D44" s="16"/>
      <c r="E44" s="16"/>
      <c r="F44" s="16"/>
      <c r="G44" s="17"/>
      <c r="H44" s="16"/>
      <c r="I44" s="16"/>
      <c r="J44" s="17"/>
      <c r="K44" s="17"/>
      <c r="L44" s="16"/>
      <c r="M44" s="16"/>
      <c r="N44" s="18" t="str">
        <f aca="true">IF(OR(K44="",M44="Closed"),"",IF(K44&lt;TODAY(),"OVERDUE",""))</f>
        <v/>
      </c>
      <c r="O44" s="18" t="str">
        <f aca="true">IF(A44="","",IF(AND(H44&lt;&gt;"Yes",F44&lt;&gt;"PQC available now",F44&lt;&gt;"Hybrid available now"),"No written PQC roadmap - ask for a dated commitment. ","")&amp;IF(AND(ISNUMBER(G44),F44&lt;&gt;"PQC available now"),IF(G44&lt;TODAY(),"Roadmap date has passed - re-check delivery. ",""),"")&amp;IF(AND(H44="Yes",I44=""),"Record where the written evidence is kept. ","")&amp;IF(AND(F44="Hybrid available now",H44&lt;&gt;"Yes"),"Hybrid only - ask for the pure-PQC date. ","")&amp;IF(OR(F44="Unknown",F44=""),"PQC support unknown. ","")&amp;IF(N44="OVERDUE","Follow-up overdue. ","")&amp;IF(AND(M44&lt;&gt;"Closed",K44=""),"Set a follow-up date. ",""))</f>
        <v/>
      </c>
    </row>
    <row r="45" customFormat="false" ht="15" hidden="false" customHeight="false" outlineLevel="0" collapsed="false">
      <c r="A45" s="16"/>
      <c r="B45" s="16"/>
      <c r="C45" s="16"/>
      <c r="D45" s="16"/>
      <c r="E45" s="16"/>
      <c r="F45" s="16"/>
      <c r="G45" s="17"/>
      <c r="H45" s="16"/>
      <c r="I45" s="16"/>
      <c r="J45" s="17"/>
      <c r="K45" s="17"/>
      <c r="L45" s="16"/>
      <c r="M45" s="16"/>
      <c r="N45" s="18" t="str">
        <f aca="true">IF(OR(K45="",M45="Closed"),"",IF(K45&lt;TODAY(),"OVERDUE",""))</f>
        <v/>
      </c>
      <c r="O45" s="18" t="str">
        <f aca="true">IF(A45="","",IF(AND(H45&lt;&gt;"Yes",F45&lt;&gt;"PQC available now",F45&lt;&gt;"Hybrid available now"),"No written PQC roadmap - ask for a dated commitment. ","")&amp;IF(AND(ISNUMBER(G45),F45&lt;&gt;"PQC available now"),IF(G45&lt;TODAY(),"Roadmap date has passed - re-check delivery. ",""),"")&amp;IF(AND(H45="Yes",I45=""),"Record where the written evidence is kept. ","")&amp;IF(AND(F45="Hybrid available now",H45&lt;&gt;"Yes"),"Hybrid only - ask for the pure-PQC date. ","")&amp;IF(OR(F45="Unknown",F45=""),"PQC support unknown. ","")&amp;IF(N45="OVERDUE","Follow-up overdue. ","")&amp;IF(AND(M45&lt;&gt;"Closed",K45=""),"Set a follow-up date. ",""))</f>
        <v/>
      </c>
    </row>
    <row r="46" customFormat="false" ht="15" hidden="false" customHeight="false" outlineLevel="0" collapsed="false">
      <c r="A46" s="16"/>
      <c r="B46" s="16"/>
      <c r="C46" s="16"/>
      <c r="D46" s="16"/>
      <c r="E46" s="16"/>
      <c r="F46" s="16"/>
      <c r="G46" s="17"/>
      <c r="H46" s="16"/>
      <c r="I46" s="16"/>
      <c r="J46" s="17"/>
      <c r="K46" s="17"/>
      <c r="L46" s="16"/>
      <c r="M46" s="16"/>
      <c r="N46" s="18" t="str">
        <f aca="true">IF(OR(K46="",M46="Closed"),"",IF(K46&lt;TODAY(),"OVERDUE",""))</f>
        <v/>
      </c>
      <c r="O46" s="18" t="str">
        <f aca="true">IF(A46="","",IF(AND(H46&lt;&gt;"Yes",F46&lt;&gt;"PQC available now",F46&lt;&gt;"Hybrid available now"),"No written PQC roadmap - ask for a dated commitment. ","")&amp;IF(AND(ISNUMBER(G46),F46&lt;&gt;"PQC available now"),IF(G46&lt;TODAY(),"Roadmap date has passed - re-check delivery. ",""),"")&amp;IF(AND(H46="Yes",I46=""),"Record where the written evidence is kept. ","")&amp;IF(AND(F46="Hybrid available now",H46&lt;&gt;"Yes"),"Hybrid only - ask for the pure-PQC date. ","")&amp;IF(OR(F46="Unknown",F46=""),"PQC support unknown. ","")&amp;IF(N46="OVERDUE","Follow-up overdue. ","")&amp;IF(AND(M46&lt;&gt;"Closed",K46=""),"Set a follow-up date. ",""))</f>
        <v/>
      </c>
    </row>
    <row r="47" customFormat="false" ht="15" hidden="false" customHeight="false" outlineLevel="0" collapsed="false">
      <c r="A47" s="16"/>
      <c r="B47" s="16"/>
      <c r="C47" s="16"/>
      <c r="D47" s="16"/>
      <c r="E47" s="16"/>
      <c r="F47" s="16"/>
      <c r="G47" s="17"/>
      <c r="H47" s="16"/>
      <c r="I47" s="16"/>
      <c r="J47" s="17"/>
      <c r="K47" s="17"/>
      <c r="L47" s="16"/>
      <c r="M47" s="16"/>
      <c r="N47" s="18" t="str">
        <f aca="true">IF(OR(K47="",M47="Closed"),"",IF(K47&lt;TODAY(),"OVERDUE",""))</f>
        <v/>
      </c>
      <c r="O47" s="18" t="str">
        <f aca="true">IF(A47="","",IF(AND(H47&lt;&gt;"Yes",F47&lt;&gt;"PQC available now",F47&lt;&gt;"Hybrid available now"),"No written PQC roadmap - ask for a dated commitment. ","")&amp;IF(AND(ISNUMBER(G47),F47&lt;&gt;"PQC available now"),IF(G47&lt;TODAY(),"Roadmap date has passed - re-check delivery. ",""),"")&amp;IF(AND(H47="Yes",I47=""),"Record where the written evidence is kept. ","")&amp;IF(AND(F47="Hybrid available now",H47&lt;&gt;"Yes"),"Hybrid only - ask for the pure-PQC date. ","")&amp;IF(OR(F47="Unknown",F47=""),"PQC support unknown. ","")&amp;IF(N47="OVERDUE","Follow-up overdue. ","")&amp;IF(AND(M47&lt;&gt;"Closed",K47=""),"Set a follow-up date. ",""))</f>
        <v/>
      </c>
    </row>
    <row r="48" customFormat="false" ht="15" hidden="false" customHeight="false" outlineLevel="0" collapsed="false">
      <c r="A48" s="16"/>
      <c r="B48" s="16"/>
      <c r="C48" s="16"/>
      <c r="D48" s="16"/>
      <c r="E48" s="16"/>
      <c r="F48" s="16"/>
      <c r="G48" s="17"/>
      <c r="H48" s="16"/>
      <c r="I48" s="16"/>
      <c r="J48" s="17"/>
      <c r="K48" s="17"/>
      <c r="L48" s="16"/>
      <c r="M48" s="16"/>
      <c r="N48" s="18" t="str">
        <f aca="true">IF(OR(K48="",M48="Closed"),"",IF(K48&lt;TODAY(),"OVERDUE",""))</f>
        <v/>
      </c>
      <c r="O48" s="18" t="str">
        <f aca="true">IF(A48="","",IF(AND(H48&lt;&gt;"Yes",F48&lt;&gt;"PQC available now",F48&lt;&gt;"Hybrid available now"),"No written PQC roadmap - ask for a dated commitment. ","")&amp;IF(AND(ISNUMBER(G48),F48&lt;&gt;"PQC available now"),IF(G48&lt;TODAY(),"Roadmap date has passed - re-check delivery. ",""),"")&amp;IF(AND(H48="Yes",I48=""),"Record where the written evidence is kept. ","")&amp;IF(AND(F48="Hybrid available now",H48&lt;&gt;"Yes"),"Hybrid only - ask for the pure-PQC date. ","")&amp;IF(OR(F48="Unknown",F48=""),"PQC support unknown. ","")&amp;IF(N48="OVERDUE","Follow-up overdue. ","")&amp;IF(AND(M48&lt;&gt;"Closed",K48=""),"Set a follow-up date. ",""))</f>
        <v/>
      </c>
    </row>
    <row r="49" customFormat="false" ht="15" hidden="false" customHeight="false" outlineLevel="0" collapsed="false">
      <c r="A49" s="16"/>
      <c r="B49" s="16"/>
      <c r="C49" s="16"/>
      <c r="D49" s="16"/>
      <c r="E49" s="16"/>
      <c r="F49" s="16"/>
      <c r="G49" s="17"/>
      <c r="H49" s="16"/>
      <c r="I49" s="16"/>
      <c r="J49" s="17"/>
      <c r="K49" s="17"/>
      <c r="L49" s="16"/>
      <c r="M49" s="16"/>
      <c r="N49" s="18" t="str">
        <f aca="true">IF(OR(K49="",M49="Closed"),"",IF(K49&lt;TODAY(),"OVERDUE",""))</f>
        <v/>
      </c>
      <c r="O49" s="18" t="str">
        <f aca="true">IF(A49="","",IF(AND(H49&lt;&gt;"Yes",F49&lt;&gt;"PQC available now",F49&lt;&gt;"Hybrid available now"),"No written PQC roadmap - ask for a dated commitment. ","")&amp;IF(AND(ISNUMBER(G49),F49&lt;&gt;"PQC available now"),IF(G49&lt;TODAY(),"Roadmap date has passed - re-check delivery. ",""),"")&amp;IF(AND(H49="Yes",I49=""),"Record where the written evidence is kept. ","")&amp;IF(AND(F49="Hybrid available now",H49&lt;&gt;"Yes"),"Hybrid only - ask for the pure-PQC date. ","")&amp;IF(OR(F49="Unknown",F49=""),"PQC support unknown. ","")&amp;IF(N49="OVERDUE","Follow-up overdue. ","")&amp;IF(AND(M49&lt;&gt;"Closed",K49=""),"Set a follow-up date. ",""))</f>
        <v/>
      </c>
    </row>
    <row r="50" customFormat="false" ht="15" hidden="false" customHeight="false" outlineLevel="0" collapsed="false">
      <c r="A50" s="16"/>
      <c r="B50" s="16"/>
      <c r="C50" s="16"/>
      <c r="D50" s="16"/>
      <c r="E50" s="16"/>
      <c r="F50" s="16"/>
      <c r="G50" s="17"/>
      <c r="H50" s="16"/>
      <c r="I50" s="16"/>
      <c r="J50" s="17"/>
      <c r="K50" s="17"/>
      <c r="L50" s="16"/>
      <c r="M50" s="16"/>
      <c r="N50" s="18" t="str">
        <f aca="true">IF(OR(K50="",M50="Closed"),"",IF(K50&lt;TODAY(),"OVERDUE",""))</f>
        <v/>
      </c>
      <c r="O50" s="18" t="str">
        <f aca="true">IF(A50="","",IF(AND(H50&lt;&gt;"Yes",F50&lt;&gt;"PQC available now",F50&lt;&gt;"Hybrid available now"),"No written PQC roadmap - ask for a dated commitment. ","")&amp;IF(AND(ISNUMBER(G50),F50&lt;&gt;"PQC available now"),IF(G50&lt;TODAY(),"Roadmap date has passed - re-check delivery. ",""),"")&amp;IF(AND(H50="Yes",I50=""),"Record where the written evidence is kept. ","")&amp;IF(AND(F50="Hybrid available now",H50&lt;&gt;"Yes"),"Hybrid only - ask for the pure-PQC date. ","")&amp;IF(OR(F50="Unknown",F50=""),"PQC support unknown. ","")&amp;IF(N50="OVERDUE","Follow-up overdue. ","")&amp;IF(AND(M50&lt;&gt;"Closed",K50=""),"Set a follow-up date. ",""))</f>
        <v/>
      </c>
    </row>
    <row r="51" customFormat="false" ht="15" hidden="false" customHeight="false" outlineLevel="0" collapsed="false">
      <c r="A51" s="16"/>
      <c r="B51" s="16"/>
      <c r="C51" s="16"/>
      <c r="D51" s="16"/>
      <c r="E51" s="16"/>
      <c r="F51" s="16"/>
      <c r="G51" s="17"/>
      <c r="H51" s="16"/>
      <c r="I51" s="16"/>
      <c r="J51" s="17"/>
      <c r="K51" s="17"/>
      <c r="L51" s="16"/>
      <c r="M51" s="16"/>
      <c r="N51" s="18" t="str">
        <f aca="true">IF(OR(K51="",M51="Closed"),"",IF(K51&lt;TODAY(),"OVERDUE",""))</f>
        <v/>
      </c>
      <c r="O51" s="18" t="str">
        <f aca="true">IF(A51="","",IF(AND(H51&lt;&gt;"Yes",F51&lt;&gt;"PQC available now",F51&lt;&gt;"Hybrid available now"),"No written PQC roadmap - ask for a dated commitment. ","")&amp;IF(AND(ISNUMBER(G51),F51&lt;&gt;"PQC available now"),IF(G51&lt;TODAY(),"Roadmap date has passed - re-check delivery. ",""),"")&amp;IF(AND(H51="Yes",I51=""),"Record where the written evidence is kept. ","")&amp;IF(AND(F51="Hybrid available now",H51&lt;&gt;"Yes"),"Hybrid only - ask for the pure-PQC date. ","")&amp;IF(OR(F51="Unknown",F51=""),"PQC support unknown. ","")&amp;IF(N51="OVERDUE","Follow-up overdue. ","")&amp;IF(AND(M51&lt;&gt;"Closed",K51=""),"Set a follow-up date. ",""))</f>
        <v/>
      </c>
    </row>
    <row r="52" customFormat="false" ht="15" hidden="false" customHeight="false" outlineLevel="0" collapsed="false">
      <c r="A52" s="16"/>
      <c r="B52" s="16"/>
      <c r="C52" s="16"/>
      <c r="D52" s="16"/>
      <c r="E52" s="16"/>
      <c r="F52" s="16"/>
      <c r="G52" s="17"/>
      <c r="H52" s="16"/>
      <c r="I52" s="16"/>
      <c r="J52" s="17"/>
      <c r="K52" s="17"/>
      <c r="L52" s="16"/>
      <c r="M52" s="16"/>
      <c r="N52" s="18" t="str">
        <f aca="true">IF(OR(K52="",M52="Closed"),"",IF(K52&lt;TODAY(),"OVERDUE",""))</f>
        <v/>
      </c>
      <c r="O52" s="18" t="str">
        <f aca="true">IF(A52="","",IF(AND(H52&lt;&gt;"Yes",F52&lt;&gt;"PQC available now",F52&lt;&gt;"Hybrid available now"),"No written PQC roadmap - ask for a dated commitment. ","")&amp;IF(AND(ISNUMBER(G52),F52&lt;&gt;"PQC available now"),IF(G52&lt;TODAY(),"Roadmap date has passed - re-check delivery. ",""),"")&amp;IF(AND(H52="Yes",I52=""),"Record where the written evidence is kept. ","")&amp;IF(AND(F52="Hybrid available now",H52&lt;&gt;"Yes"),"Hybrid only - ask for the pure-PQC date. ","")&amp;IF(OR(F52="Unknown",F52=""),"PQC support unknown. ","")&amp;IF(N52="OVERDUE","Follow-up overdue. ","")&amp;IF(AND(M52&lt;&gt;"Closed",K52=""),"Set a follow-up date. ",""))</f>
        <v/>
      </c>
    </row>
    <row r="53" customFormat="false" ht="15" hidden="false" customHeight="false" outlineLevel="0" collapsed="false">
      <c r="A53" s="16"/>
      <c r="B53" s="16"/>
      <c r="C53" s="16"/>
      <c r="D53" s="16"/>
      <c r="E53" s="16"/>
      <c r="F53" s="16"/>
      <c r="G53" s="17"/>
      <c r="H53" s="16"/>
      <c r="I53" s="16"/>
      <c r="J53" s="17"/>
      <c r="K53" s="17"/>
      <c r="L53" s="16"/>
      <c r="M53" s="16"/>
      <c r="N53" s="18" t="str">
        <f aca="true">IF(OR(K53="",M53="Closed"),"",IF(K53&lt;TODAY(),"OVERDUE",""))</f>
        <v/>
      </c>
      <c r="O53" s="18" t="str">
        <f aca="true">IF(A53="","",IF(AND(H53&lt;&gt;"Yes",F53&lt;&gt;"PQC available now",F53&lt;&gt;"Hybrid available now"),"No written PQC roadmap - ask for a dated commitment. ","")&amp;IF(AND(ISNUMBER(G53),F53&lt;&gt;"PQC available now"),IF(G53&lt;TODAY(),"Roadmap date has passed - re-check delivery. ",""),"")&amp;IF(AND(H53="Yes",I53=""),"Record where the written evidence is kept. ","")&amp;IF(AND(F53="Hybrid available now",H53&lt;&gt;"Yes"),"Hybrid only - ask for the pure-PQC date. ","")&amp;IF(OR(F53="Unknown",F53=""),"PQC support unknown. ","")&amp;IF(N53="OVERDUE","Follow-up overdue. ","")&amp;IF(AND(M53&lt;&gt;"Closed",K53=""),"Set a follow-up date. ",""))</f>
        <v/>
      </c>
    </row>
    <row r="54" customFormat="false" ht="15" hidden="false" customHeight="false" outlineLevel="0" collapsed="false">
      <c r="A54" s="16"/>
      <c r="B54" s="16"/>
      <c r="C54" s="16"/>
      <c r="D54" s="16"/>
      <c r="E54" s="16"/>
      <c r="F54" s="16"/>
      <c r="G54" s="17"/>
      <c r="H54" s="16"/>
      <c r="I54" s="16"/>
      <c r="J54" s="17"/>
      <c r="K54" s="17"/>
      <c r="L54" s="16"/>
      <c r="M54" s="16"/>
      <c r="N54" s="18" t="str">
        <f aca="true">IF(OR(K54="",M54="Closed"),"",IF(K54&lt;TODAY(),"OVERDUE",""))</f>
        <v/>
      </c>
      <c r="O54" s="18" t="str">
        <f aca="true">IF(A54="","",IF(AND(H54&lt;&gt;"Yes",F54&lt;&gt;"PQC available now",F54&lt;&gt;"Hybrid available now"),"No written PQC roadmap - ask for a dated commitment. ","")&amp;IF(AND(ISNUMBER(G54),F54&lt;&gt;"PQC available now"),IF(G54&lt;TODAY(),"Roadmap date has passed - re-check delivery. ",""),"")&amp;IF(AND(H54="Yes",I54=""),"Record where the written evidence is kept. ","")&amp;IF(AND(F54="Hybrid available now",H54&lt;&gt;"Yes"),"Hybrid only - ask for the pure-PQC date. ","")&amp;IF(OR(F54="Unknown",F54=""),"PQC support unknown. ","")&amp;IF(N54="OVERDUE","Follow-up overdue. ","")&amp;IF(AND(M54&lt;&gt;"Closed",K54=""),"Set a follow-up date. ",""))</f>
        <v/>
      </c>
    </row>
    <row r="55" customFormat="false" ht="15" hidden="false" customHeight="false" outlineLevel="0" collapsed="false">
      <c r="A55" s="16"/>
      <c r="B55" s="16"/>
      <c r="C55" s="16"/>
      <c r="D55" s="16"/>
      <c r="E55" s="16"/>
      <c r="F55" s="16"/>
      <c r="G55" s="17"/>
      <c r="H55" s="16"/>
      <c r="I55" s="16"/>
      <c r="J55" s="17"/>
      <c r="K55" s="17"/>
      <c r="L55" s="16"/>
      <c r="M55" s="16"/>
      <c r="N55" s="18" t="str">
        <f aca="true">IF(OR(K55="",M55="Closed"),"",IF(K55&lt;TODAY(),"OVERDUE",""))</f>
        <v/>
      </c>
      <c r="O55" s="18" t="str">
        <f aca="true">IF(A55="","",IF(AND(H55&lt;&gt;"Yes",F55&lt;&gt;"PQC available now",F55&lt;&gt;"Hybrid available now"),"No written PQC roadmap - ask for a dated commitment. ","")&amp;IF(AND(ISNUMBER(G55),F55&lt;&gt;"PQC available now"),IF(G55&lt;TODAY(),"Roadmap date has passed - re-check delivery. ",""),"")&amp;IF(AND(H55="Yes",I55=""),"Record where the written evidence is kept. ","")&amp;IF(AND(F55="Hybrid available now",H55&lt;&gt;"Yes"),"Hybrid only - ask for the pure-PQC date. ","")&amp;IF(OR(F55="Unknown",F55=""),"PQC support unknown. ","")&amp;IF(N55="OVERDUE","Follow-up overdue. ","")&amp;IF(AND(M55&lt;&gt;"Closed",K55=""),"Set a follow-up date. ",""))</f>
        <v/>
      </c>
    </row>
    <row r="56" customFormat="false" ht="15" hidden="false" customHeight="false" outlineLevel="0" collapsed="false">
      <c r="A56" s="16"/>
      <c r="B56" s="16"/>
      <c r="C56" s="16"/>
      <c r="D56" s="16"/>
      <c r="E56" s="16"/>
      <c r="F56" s="16"/>
      <c r="G56" s="17"/>
      <c r="H56" s="16"/>
      <c r="I56" s="16"/>
      <c r="J56" s="17"/>
      <c r="K56" s="17"/>
      <c r="L56" s="16"/>
      <c r="M56" s="16"/>
      <c r="N56" s="18" t="str">
        <f aca="true">IF(OR(K56="",M56="Closed"),"",IF(K56&lt;TODAY(),"OVERDUE",""))</f>
        <v/>
      </c>
      <c r="O56" s="18" t="str">
        <f aca="true">IF(A56="","",IF(AND(H56&lt;&gt;"Yes",F56&lt;&gt;"PQC available now",F56&lt;&gt;"Hybrid available now"),"No written PQC roadmap - ask for a dated commitment. ","")&amp;IF(AND(ISNUMBER(G56),F56&lt;&gt;"PQC available now"),IF(G56&lt;TODAY(),"Roadmap date has passed - re-check delivery. ",""),"")&amp;IF(AND(H56="Yes",I56=""),"Record where the written evidence is kept. ","")&amp;IF(AND(F56="Hybrid available now",H56&lt;&gt;"Yes"),"Hybrid only - ask for the pure-PQC date. ","")&amp;IF(OR(F56="Unknown",F56=""),"PQC support unknown. ","")&amp;IF(N56="OVERDUE","Follow-up overdue. ","")&amp;IF(AND(M56&lt;&gt;"Closed",K56=""),"Set a follow-up date. ",""))</f>
        <v/>
      </c>
    </row>
    <row r="57" customFormat="false" ht="15" hidden="false" customHeight="false" outlineLevel="0" collapsed="false">
      <c r="A57" s="16"/>
      <c r="B57" s="16"/>
      <c r="C57" s="16"/>
      <c r="D57" s="16"/>
      <c r="E57" s="16"/>
      <c r="F57" s="16"/>
      <c r="G57" s="17"/>
      <c r="H57" s="16"/>
      <c r="I57" s="16"/>
      <c r="J57" s="17"/>
      <c r="K57" s="17"/>
      <c r="L57" s="16"/>
      <c r="M57" s="16"/>
      <c r="N57" s="18" t="str">
        <f aca="true">IF(OR(K57="",M57="Closed"),"",IF(K57&lt;TODAY(),"OVERDUE",""))</f>
        <v/>
      </c>
      <c r="O57" s="18" t="str">
        <f aca="true">IF(A57="","",IF(AND(H57&lt;&gt;"Yes",F57&lt;&gt;"PQC available now",F57&lt;&gt;"Hybrid available now"),"No written PQC roadmap - ask for a dated commitment. ","")&amp;IF(AND(ISNUMBER(G57),F57&lt;&gt;"PQC available now"),IF(G57&lt;TODAY(),"Roadmap date has passed - re-check delivery. ",""),"")&amp;IF(AND(H57="Yes",I57=""),"Record where the written evidence is kept. ","")&amp;IF(AND(F57="Hybrid available now",H57&lt;&gt;"Yes"),"Hybrid only - ask for the pure-PQC date. ","")&amp;IF(OR(F57="Unknown",F57=""),"PQC support unknown. ","")&amp;IF(N57="OVERDUE","Follow-up overdue. ","")&amp;IF(AND(M57&lt;&gt;"Closed",K57=""),"Set a follow-up date. ",""))</f>
        <v/>
      </c>
    </row>
    <row r="58" customFormat="false" ht="15" hidden="false" customHeight="false" outlineLevel="0" collapsed="false">
      <c r="A58" s="16"/>
      <c r="B58" s="16"/>
      <c r="C58" s="16"/>
      <c r="D58" s="16"/>
      <c r="E58" s="16"/>
      <c r="F58" s="16"/>
      <c r="G58" s="17"/>
      <c r="H58" s="16"/>
      <c r="I58" s="16"/>
      <c r="J58" s="17"/>
      <c r="K58" s="17"/>
      <c r="L58" s="16"/>
      <c r="M58" s="16"/>
      <c r="N58" s="18" t="str">
        <f aca="true">IF(OR(K58="",M58="Closed"),"",IF(K58&lt;TODAY(),"OVERDUE",""))</f>
        <v/>
      </c>
      <c r="O58" s="18" t="str">
        <f aca="true">IF(A58="","",IF(AND(H58&lt;&gt;"Yes",F58&lt;&gt;"PQC available now",F58&lt;&gt;"Hybrid available now"),"No written PQC roadmap - ask for a dated commitment. ","")&amp;IF(AND(ISNUMBER(G58),F58&lt;&gt;"PQC available now"),IF(G58&lt;TODAY(),"Roadmap date has passed - re-check delivery. ",""),"")&amp;IF(AND(H58="Yes",I58=""),"Record where the written evidence is kept. ","")&amp;IF(AND(F58="Hybrid available now",H58&lt;&gt;"Yes"),"Hybrid only - ask for the pure-PQC date. ","")&amp;IF(OR(F58="Unknown",F58=""),"PQC support unknown. ","")&amp;IF(N58="OVERDUE","Follow-up overdue. ","")&amp;IF(AND(M58&lt;&gt;"Closed",K58=""),"Set a follow-up date. ",""))</f>
        <v/>
      </c>
    </row>
    <row r="59" customFormat="false" ht="15" hidden="false" customHeight="false" outlineLevel="0" collapsed="false">
      <c r="A59" s="16"/>
      <c r="B59" s="16"/>
      <c r="C59" s="16"/>
      <c r="D59" s="16"/>
      <c r="E59" s="16"/>
      <c r="F59" s="16"/>
      <c r="G59" s="17"/>
      <c r="H59" s="16"/>
      <c r="I59" s="16"/>
      <c r="J59" s="17"/>
      <c r="K59" s="17"/>
      <c r="L59" s="16"/>
      <c r="M59" s="16"/>
      <c r="N59" s="18" t="str">
        <f aca="true">IF(OR(K59="",M59="Closed"),"",IF(K59&lt;TODAY(),"OVERDUE",""))</f>
        <v/>
      </c>
      <c r="O59" s="18" t="str">
        <f aca="true">IF(A59="","",IF(AND(H59&lt;&gt;"Yes",F59&lt;&gt;"PQC available now",F59&lt;&gt;"Hybrid available now"),"No written PQC roadmap - ask for a dated commitment. ","")&amp;IF(AND(ISNUMBER(G59),F59&lt;&gt;"PQC available now"),IF(G59&lt;TODAY(),"Roadmap date has passed - re-check delivery. ",""),"")&amp;IF(AND(H59="Yes",I59=""),"Record where the written evidence is kept. ","")&amp;IF(AND(F59="Hybrid available now",H59&lt;&gt;"Yes"),"Hybrid only - ask for the pure-PQC date. ","")&amp;IF(OR(F59="Unknown",F59=""),"PQC support unknown. ","")&amp;IF(N59="OVERDUE","Follow-up overdue. ","")&amp;IF(AND(M59&lt;&gt;"Closed",K59=""),"Set a follow-up date. ",""))</f>
        <v/>
      </c>
    </row>
    <row r="60" customFormat="false" ht="15" hidden="false" customHeight="false" outlineLevel="0" collapsed="false">
      <c r="A60" s="16"/>
      <c r="B60" s="16"/>
      <c r="C60" s="16"/>
      <c r="D60" s="16"/>
      <c r="E60" s="16"/>
      <c r="F60" s="16"/>
      <c r="G60" s="17"/>
      <c r="H60" s="16"/>
      <c r="I60" s="16"/>
      <c r="J60" s="17"/>
      <c r="K60" s="17"/>
      <c r="L60" s="16"/>
      <c r="M60" s="16"/>
      <c r="N60" s="18" t="str">
        <f aca="true">IF(OR(K60="",M60="Closed"),"",IF(K60&lt;TODAY(),"OVERDUE",""))</f>
        <v/>
      </c>
      <c r="O60" s="18" t="str">
        <f aca="true">IF(A60="","",IF(AND(H60&lt;&gt;"Yes",F60&lt;&gt;"PQC available now",F60&lt;&gt;"Hybrid available now"),"No written PQC roadmap - ask for a dated commitment. ","")&amp;IF(AND(ISNUMBER(G60),F60&lt;&gt;"PQC available now"),IF(G60&lt;TODAY(),"Roadmap date has passed - re-check delivery. ",""),"")&amp;IF(AND(H60="Yes",I60=""),"Record where the written evidence is kept. ","")&amp;IF(AND(F60="Hybrid available now",H60&lt;&gt;"Yes"),"Hybrid only - ask for the pure-PQC date. ","")&amp;IF(OR(F60="Unknown",F60=""),"PQC support unknown. ","")&amp;IF(N60="OVERDUE","Follow-up overdue. ","")&amp;IF(AND(M60&lt;&gt;"Closed",K60=""),"Set a follow-up date. ",""))</f>
        <v/>
      </c>
    </row>
    <row r="61" customFormat="false" ht="15" hidden="false" customHeight="false" outlineLevel="0" collapsed="false">
      <c r="A61" s="16"/>
      <c r="B61" s="16"/>
      <c r="C61" s="16"/>
      <c r="D61" s="16"/>
      <c r="E61" s="16"/>
      <c r="F61" s="16"/>
      <c r="G61" s="17"/>
      <c r="H61" s="16"/>
      <c r="I61" s="16"/>
      <c r="J61" s="17"/>
      <c r="K61" s="17"/>
      <c r="L61" s="16"/>
      <c r="M61" s="16"/>
      <c r="N61" s="18" t="str">
        <f aca="true">IF(OR(K61="",M61="Closed"),"",IF(K61&lt;TODAY(),"OVERDUE",""))</f>
        <v/>
      </c>
      <c r="O61" s="18" t="str">
        <f aca="true">IF(A61="","",IF(AND(H61&lt;&gt;"Yes",F61&lt;&gt;"PQC available now",F61&lt;&gt;"Hybrid available now"),"No written PQC roadmap - ask for a dated commitment. ","")&amp;IF(AND(ISNUMBER(G61),F61&lt;&gt;"PQC available now"),IF(G61&lt;TODAY(),"Roadmap date has passed - re-check delivery. ",""),"")&amp;IF(AND(H61="Yes",I61=""),"Record where the written evidence is kept. ","")&amp;IF(AND(F61="Hybrid available now",H61&lt;&gt;"Yes"),"Hybrid only - ask for the pure-PQC date. ","")&amp;IF(OR(F61="Unknown",F61=""),"PQC support unknown. ","")&amp;IF(N61="OVERDUE","Follow-up overdue. ","")&amp;IF(AND(M61&lt;&gt;"Closed",K61=""),"Set a follow-up date. ",""))</f>
        <v/>
      </c>
    </row>
    <row r="62" customFormat="false" ht="15" hidden="false" customHeight="false" outlineLevel="0" collapsed="false">
      <c r="A62" s="16"/>
      <c r="B62" s="16"/>
      <c r="C62" s="16"/>
      <c r="D62" s="16"/>
      <c r="E62" s="16"/>
      <c r="F62" s="16"/>
      <c r="G62" s="17"/>
      <c r="H62" s="16"/>
      <c r="I62" s="16"/>
      <c r="J62" s="17"/>
      <c r="K62" s="17"/>
      <c r="L62" s="16"/>
      <c r="M62" s="16"/>
      <c r="N62" s="18" t="str">
        <f aca="true">IF(OR(K62="",M62="Closed"),"",IF(K62&lt;TODAY(),"OVERDUE",""))</f>
        <v/>
      </c>
      <c r="O62" s="18" t="str">
        <f aca="true">IF(A62="","",IF(AND(H62&lt;&gt;"Yes",F62&lt;&gt;"PQC available now",F62&lt;&gt;"Hybrid available now"),"No written PQC roadmap - ask for a dated commitment. ","")&amp;IF(AND(ISNUMBER(G62),F62&lt;&gt;"PQC available now"),IF(G62&lt;TODAY(),"Roadmap date has passed - re-check delivery. ",""),"")&amp;IF(AND(H62="Yes",I62=""),"Record where the written evidence is kept. ","")&amp;IF(AND(F62="Hybrid available now",H62&lt;&gt;"Yes"),"Hybrid only - ask for the pure-PQC date. ","")&amp;IF(OR(F62="Unknown",F62=""),"PQC support unknown. ","")&amp;IF(N62="OVERDUE","Follow-up overdue. ","")&amp;IF(AND(M62&lt;&gt;"Closed",K62=""),"Set a follow-up date. ",""))</f>
        <v/>
      </c>
    </row>
    <row r="63" customFormat="false" ht="15" hidden="false" customHeight="false" outlineLevel="0" collapsed="false">
      <c r="A63" s="16"/>
      <c r="B63" s="16"/>
      <c r="C63" s="16"/>
      <c r="D63" s="16"/>
      <c r="E63" s="16"/>
      <c r="F63" s="16"/>
      <c r="G63" s="17"/>
      <c r="H63" s="16"/>
      <c r="I63" s="16"/>
      <c r="J63" s="17"/>
      <c r="K63" s="17"/>
      <c r="L63" s="16"/>
      <c r="M63" s="16"/>
      <c r="N63" s="18" t="str">
        <f aca="true">IF(OR(K63="",M63="Closed"),"",IF(K63&lt;TODAY(),"OVERDUE",""))</f>
        <v/>
      </c>
      <c r="O63" s="18" t="str">
        <f aca="true">IF(A63="","",IF(AND(H63&lt;&gt;"Yes",F63&lt;&gt;"PQC available now",F63&lt;&gt;"Hybrid available now"),"No written PQC roadmap - ask for a dated commitment. ","")&amp;IF(AND(ISNUMBER(G63),F63&lt;&gt;"PQC available now"),IF(G63&lt;TODAY(),"Roadmap date has passed - re-check delivery. ",""),"")&amp;IF(AND(H63="Yes",I63=""),"Record where the written evidence is kept. ","")&amp;IF(AND(F63="Hybrid available now",H63&lt;&gt;"Yes"),"Hybrid only - ask for the pure-PQC date. ","")&amp;IF(OR(F63="Unknown",F63=""),"PQC support unknown. ","")&amp;IF(N63="OVERDUE","Follow-up overdue. ","")&amp;IF(AND(M63&lt;&gt;"Closed",K63=""),"Set a follow-up date. ",""))</f>
        <v/>
      </c>
    </row>
    <row r="64" customFormat="false" ht="15" hidden="false" customHeight="false" outlineLevel="0" collapsed="false">
      <c r="A64" s="16"/>
      <c r="B64" s="16"/>
      <c r="C64" s="16"/>
      <c r="D64" s="16"/>
      <c r="E64" s="16"/>
      <c r="F64" s="16"/>
      <c r="G64" s="17"/>
      <c r="H64" s="16"/>
      <c r="I64" s="16"/>
      <c r="J64" s="17"/>
      <c r="K64" s="17"/>
      <c r="L64" s="16"/>
      <c r="M64" s="16"/>
      <c r="N64" s="18" t="str">
        <f aca="true">IF(OR(K64="",M64="Closed"),"",IF(K64&lt;TODAY(),"OVERDUE",""))</f>
        <v/>
      </c>
      <c r="O64" s="18" t="str">
        <f aca="true">IF(A64="","",IF(AND(H64&lt;&gt;"Yes",F64&lt;&gt;"PQC available now",F64&lt;&gt;"Hybrid available now"),"No written PQC roadmap - ask for a dated commitment. ","")&amp;IF(AND(ISNUMBER(G64),F64&lt;&gt;"PQC available now"),IF(G64&lt;TODAY(),"Roadmap date has passed - re-check delivery. ",""),"")&amp;IF(AND(H64="Yes",I64=""),"Record where the written evidence is kept. ","")&amp;IF(AND(F64="Hybrid available now",H64&lt;&gt;"Yes"),"Hybrid only - ask for the pure-PQC date. ","")&amp;IF(OR(F64="Unknown",F64=""),"PQC support unknown. ","")&amp;IF(N64="OVERDUE","Follow-up overdue. ","")&amp;IF(AND(M64&lt;&gt;"Closed",K64=""),"Set a follow-up date. ",""))</f>
        <v/>
      </c>
    </row>
    <row r="65" customFormat="false" ht="15" hidden="false" customHeight="false" outlineLevel="0" collapsed="false">
      <c r="A65" s="16"/>
      <c r="B65" s="16"/>
      <c r="C65" s="16"/>
      <c r="D65" s="16"/>
      <c r="E65" s="16"/>
      <c r="F65" s="16"/>
      <c r="G65" s="17"/>
      <c r="H65" s="16"/>
      <c r="I65" s="16"/>
      <c r="J65" s="17"/>
      <c r="K65" s="17"/>
      <c r="L65" s="16"/>
      <c r="M65" s="16"/>
      <c r="N65" s="18" t="str">
        <f aca="true">IF(OR(K65="",M65="Closed"),"",IF(K65&lt;TODAY(),"OVERDUE",""))</f>
        <v/>
      </c>
      <c r="O65" s="18" t="str">
        <f aca="true">IF(A65="","",IF(AND(H65&lt;&gt;"Yes",F65&lt;&gt;"PQC available now",F65&lt;&gt;"Hybrid available now"),"No written PQC roadmap - ask for a dated commitment. ","")&amp;IF(AND(ISNUMBER(G65),F65&lt;&gt;"PQC available now"),IF(G65&lt;TODAY(),"Roadmap date has passed - re-check delivery. ",""),"")&amp;IF(AND(H65="Yes",I65=""),"Record where the written evidence is kept. ","")&amp;IF(AND(F65="Hybrid available now",H65&lt;&gt;"Yes"),"Hybrid only - ask for the pure-PQC date. ","")&amp;IF(OR(F65="Unknown",F65=""),"PQC support unknown. ","")&amp;IF(N65="OVERDUE","Follow-up overdue. ","")&amp;IF(AND(M65&lt;&gt;"Closed",K65=""),"Set a follow-up date. ",""))</f>
        <v/>
      </c>
    </row>
    <row r="66" customFormat="false" ht="15" hidden="false" customHeight="false" outlineLevel="0" collapsed="false">
      <c r="A66" s="16"/>
      <c r="B66" s="16"/>
      <c r="C66" s="16"/>
      <c r="D66" s="16"/>
      <c r="E66" s="16"/>
      <c r="F66" s="16"/>
      <c r="G66" s="17"/>
      <c r="H66" s="16"/>
      <c r="I66" s="16"/>
      <c r="J66" s="17"/>
      <c r="K66" s="17"/>
      <c r="L66" s="16"/>
      <c r="M66" s="16"/>
      <c r="N66" s="18" t="str">
        <f aca="true">IF(OR(K66="",M66="Closed"),"",IF(K66&lt;TODAY(),"OVERDUE",""))</f>
        <v/>
      </c>
      <c r="O66" s="18" t="str">
        <f aca="true">IF(A66="","",IF(AND(H66&lt;&gt;"Yes",F66&lt;&gt;"PQC available now",F66&lt;&gt;"Hybrid available now"),"No written PQC roadmap - ask for a dated commitment. ","")&amp;IF(AND(ISNUMBER(G66),F66&lt;&gt;"PQC available now"),IF(G66&lt;TODAY(),"Roadmap date has passed - re-check delivery. ",""),"")&amp;IF(AND(H66="Yes",I66=""),"Record where the written evidence is kept. ","")&amp;IF(AND(F66="Hybrid available now",H66&lt;&gt;"Yes"),"Hybrid only - ask for the pure-PQC date. ","")&amp;IF(OR(F66="Unknown",F66=""),"PQC support unknown. ","")&amp;IF(N66="OVERDUE","Follow-up overdue. ","")&amp;IF(AND(M66&lt;&gt;"Closed",K66=""),"Set a follow-up date. ",""))</f>
        <v/>
      </c>
    </row>
    <row r="67" customFormat="false" ht="15" hidden="false" customHeight="false" outlineLevel="0" collapsed="false">
      <c r="A67" s="16"/>
      <c r="B67" s="16"/>
      <c r="C67" s="16"/>
      <c r="D67" s="16"/>
      <c r="E67" s="16"/>
      <c r="F67" s="16"/>
      <c r="G67" s="17"/>
      <c r="H67" s="16"/>
      <c r="I67" s="16"/>
      <c r="J67" s="17"/>
      <c r="K67" s="17"/>
      <c r="L67" s="16"/>
      <c r="M67" s="16"/>
      <c r="N67" s="18" t="str">
        <f aca="true">IF(OR(K67="",M67="Closed"),"",IF(K67&lt;TODAY(),"OVERDUE",""))</f>
        <v/>
      </c>
      <c r="O67" s="18" t="str">
        <f aca="true">IF(A67="","",IF(AND(H67&lt;&gt;"Yes",F67&lt;&gt;"PQC available now",F67&lt;&gt;"Hybrid available now"),"No written PQC roadmap - ask for a dated commitment. ","")&amp;IF(AND(ISNUMBER(G67),F67&lt;&gt;"PQC available now"),IF(G67&lt;TODAY(),"Roadmap date has passed - re-check delivery. ",""),"")&amp;IF(AND(H67="Yes",I67=""),"Record where the written evidence is kept. ","")&amp;IF(AND(F67="Hybrid available now",H67&lt;&gt;"Yes"),"Hybrid only - ask for the pure-PQC date. ","")&amp;IF(OR(F67="Unknown",F67=""),"PQC support unknown. ","")&amp;IF(N67="OVERDUE","Follow-up overdue. ","")&amp;IF(AND(M67&lt;&gt;"Closed",K67=""),"Set a follow-up date. ",""))</f>
        <v/>
      </c>
    </row>
    <row r="68" customFormat="false" ht="15" hidden="false" customHeight="false" outlineLevel="0" collapsed="false">
      <c r="A68" s="16"/>
      <c r="B68" s="16"/>
      <c r="C68" s="16"/>
      <c r="D68" s="16"/>
      <c r="E68" s="16"/>
      <c r="F68" s="16"/>
      <c r="G68" s="17"/>
      <c r="H68" s="16"/>
      <c r="I68" s="16"/>
      <c r="J68" s="17"/>
      <c r="K68" s="17"/>
      <c r="L68" s="16"/>
      <c r="M68" s="16"/>
      <c r="N68" s="18" t="str">
        <f aca="true">IF(OR(K68="",M68="Closed"),"",IF(K68&lt;TODAY(),"OVERDUE",""))</f>
        <v/>
      </c>
      <c r="O68" s="18" t="str">
        <f aca="true">IF(A68="","",IF(AND(H68&lt;&gt;"Yes",F68&lt;&gt;"PQC available now",F68&lt;&gt;"Hybrid available now"),"No written PQC roadmap - ask for a dated commitment. ","")&amp;IF(AND(ISNUMBER(G68),F68&lt;&gt;"PQC available now"),IF(G68&lt;TODAY(),"Roadmap date has passed - re-check delivery. ",""),"")&amp;IF(AND(H68="Yes",I68=""),"Record where the written evidence is kept. ","")&amp;IF(AND(F68="Hybrid available now",H68&lt;&gt;"Yes"),"Hybrid only - ask for the pure-PQC date. ","")&amp;IF(OR(F68="Unknown",F68=""),"PQC support unknown. ","")&amp;IF(N68="OVERDUE","Follow-up overdue. ","")&amp;IF(AND(M68&lt;&gt;"Closed",K68=""),"Set a follow-up date. ",""))</f>
        <v/>
      </c>
    </row>
    <row r="69" customFormat="false" ht="15" hidden="false" customHeight="false" outlineLevel="0" collapsed="false">
      <c r="A69" s="16"/>
      <c r="B69" s="16"/>
      <c r="C69" s="16"/>
      <c r="D69" s="16"/>
      <c r="E69" s="16"/>
      <c r="F69" s="16"/>
      <c r="G69" s="17"/>
      <c r="H69" s="16"/>
      <c r="I69" s="16"/>
      <c r="J69" s="17"/>
      <c r="K69" s="17"/>
      <c r="L69" s="16"/>
      <c r="M69" s="16"/>
      <c r="N69" s="18" t="str">
        <f aca="true">IF(OR(K69="",M69="Closed"),"",IF(K69&lt;TODAY(),"OVERDUE",""))</f>
        <v/>
      </c>
      <c r="O69" s="18" t="str">
        <f aca="true">IF(A69="","",IF(AND(H69&lt;&gt;"Yes",F69&lt;&gt;"PQC available now",F69&lt;&gt;"Hybrid available now"),"No written PQC roadmap - ask for a dated commitment. ","")&amp;IF(AND(ISNUMBER(G69),F69&lt;&gt;"PQC available now"),IF(G69&lt;TODAY(),"Roadmap date has passed - re-check delivery. ",""),"")&amp;IF(AND(H69="Yes",I69=""),"Record where the written evidence is kept. ","")&amp;IF(AND(F69="Hybrid available now",H69&lt;&gt;"Yes"),"Hybrid only - ask for the pure-PQC date. ","")&amp;IF(OR(F69="Unknown",F69=""),"PQC support unknown. ","")&amp;IF(N69="OVERDUE","Follow-up overdue. ","")&amp;IF(AND(M69&lt;&gt;"Closed",K69=""),"Set a follow-up date. ",""))</f>
        <v/>
      </c>
    </row>
    <row r="70" customFormat="false" ht="15" hidden="false" customHeight="false" outlineLevel="0" collapsed="false">
      <c r="A70" s="16"/>
      <c r="B70" s="16"/>
      <c r="C70" s="16"/>
      <c r="D70" s="16"/>
      <c r="E70" s="16"/>
      <c r="F70" s="16"/>
      <c r="G70" s="17"/>
      <c r="H70" s="16"/>
      <c r="I70" s="16"/>
      <c r="J70" s="17"/>
      <c r="K70" s="17"/>
      <c r="L70" s="16"/>
      <c r="M70" s="16"/>
      <c r="N70" s="18" t="str">
        <f aca="true">IF(OR(K70="",M70="Closed"),"",IF(K70&lt;TODAY(),"OVERDUE",""))</f>
        <v/>
      </c>
      <c r="O70" s="18" t="str">
        <f aca="true">IF(A70="","",IF(AND(H70&lt;&gt;"Yes",F70&lt;&gt;"PQC available now",F70&lt;&gt;"Hybrid available now"),"No written PQC roadmap - ask for a dated commitment. ","")&amp;IF(AND(ISNUMBER(G70),F70&lt;&gt;"PQC available now"),IF(G70&lt;TODAY(),"Roadmap date has passed - re-check delivery. ",""),"")&amp;IF(AND(H70="Yes",I70=""),"Record where the written evidence is kept. ","")&amp;IF(AND(F70="Hybrid available now",H70&lt;&gt;"Yes"),"Hybrid only - ask for the pure-PQC date. ","")&amp;IF(OR(F70="Unknown",F70=""),"PQC support unknown. ","")&amp;IF(N70="OVERDUE","Follow-up overdue. ","")&amp;IF(AND(M70&lt;&gt;"Closed",K70=""),"Set a follow-up date. ",""))</f>
        <v/>
      </c>
    </row>
    <row r="71" customFormat="false" ht="15" hidden="false" customHeight="false" outlineLevel="0" collapsed="false">
      <c r="A71" s="16"/>
      <c r="B71" s="16"/>
      <c r="C71" s="16"/>
      <c r="D71" s="16"/>
      <c r="E71" s="16"/>
      <c r="F71" s="16"/>
      <c r="G71" s="17"/>
      <c r="H71" s="16"/>
      <c r="I71" s="16"/>
      <c r="J71" s="17"/>
      <c r="K71" s="17"/>
      <c r="L71" s="16"/>
      <c r="M71" s="16"/>
      <c r="N71" s="18" t="str">
        <f aca="true">IF(OR(K71="",M71="Closed"),"",IF(K71&lt;TODAY(),"OVERDUE",""))</f>
        <v/>
      </c>
      <c r="O71" s="18" t="str">
        <f aca="true">IF(A71="","",IF(AND(H71&lt;&gt;"Yes",F71&lt;&gt;"PQC available now",F71&lt;&gt;"Hybrid available now"),"No written PQC roadmap - ask for a dated commitment. ","")&amp;IF(AND(ISNUMBER(G71),F71&lt;&gt;"PQC available now"),IF(G71&lt;TODAY(),"Roadmap date has passed - re-check delivery. ",""),"")&amp;IF(AND(H71="Yes",I71=""),"Record where the written evidence is kept. ","")&amp;IF(AND(F71="Hybrid available now",H71&lt;&gt;"Yes"),"Hybrid only - ask for the pure-PQC date. ","")&amp;IF(OR(F71="Unknown",F71=""),"PQC support unknown. ","")&amp;IF(N71="OVERDUE","Follow-up overdue. ","")&amp;IF(AND(M71&lt;&gt;"Closed",K71=""),"Set a follow-up date. ",""))</f>
        <v/>
      </c>
    </row>
    <row r="72" customFormat="false" ht="15" hidden="false" customHeight="false" outlineLevel="0" collapsed="false">
      <c r="A72" s="16"/>
      <c r="B72" s="16"/>
      <c r="C72" s="16"/>
      <c r="D72" s="16"/>
      <c r="E72" s="16"/>
      <c r="F72" s="16"/>
      <c r="G72" s="17"/>
      <c r="H72" s="16"/>
      <c r="I72" s="16"/>
      <c r="J72" s="17"/>
      <c r="K72" s="17"/>
      <c r="L72" s="16"/>
      <c r="M72" s="16"/>
      <c r="N72" s="18" t="str">
        <f aca="true">IF(OR(K72="",M72="Closed"),"",IF(K72&lt;TODAY(),"OVERDUE",""))</f>
        <v/>
      </c>
      <c r="O72" s="18" t="str">
        <f aca="true">IF(A72="","",IF(AND(H72&lt;&gt;"Yes",F72&lt;&gt;"PQC available now",F72&lt;&gt;"Hybrid available now"),"No written PQC roadmap - ask for a dated commitment. ","")&amp;IF(AND(ISNUMBER(G72),F72&lt;&gt;"PQC available now"),IF(G72&lt;TODAY(),"Roadmap date has passed - re-check delivery. ",""),"")&amp;IF(AND(H72="Yes",I72=""),"Record where the written evidence is kept. ","")&amp;IF(AND(F72="Hybrid available now",H72&lt;&gt;"Yes"),"Hybrid only - ask for the pure-PQC date. ","")&amp;IF(OR(F72="Unknown",F72=""),"PQC support unknown. ","")&amp;IF(N72="OVERDUE","Follow-up overdue. ","")&amp;IF(AND(M72&lt;&gt;"Closed",K72=""),"Set a follow-up date. ",""))</f>
        <v/>
      </c>
    </row>
    <row r="73" customFormat="false" ht="15" hidden="false" customHeight="false" outlineLevel="0" collapsed="false">
      <c r="A73" s="16"/>
      <c r="B73" s="16"/>
      <c r="C73" s="16"/>
      <c r="D73" s="16"/>
      <c r="E73" s="16"/>
      <c r="F73" s="16"/>
      <c r="G73" s="17"/>
      <c r="H73" s="16"/>
      <c r="I73" s="16"/>
      <c r="J73" s="17"/>
      <c r="K73" s="17"/>
      <c r="L73" s="16"/>
      <c r="M73" s="16"/>
      <c r="N73" s="18" t="str">
        <f aca="true">IF(OR(K73="",M73="Closed"),"",IF(K73&lt;TODAY(),"OVERDUE",""))</f>
        <v/>
      </c>
      <c r="O73" s="18" t="str">
        <f aca="true">IF(A73="","",IF(AND(H73&lt;&gt;"Yes",F73&lt;&gt;"PQC available now",F73&lt;&gt;"Hybrid available now"),"No written PQC roadmap - ask for a dated commitment. ","")&amp;IF(AND(ISNUMBER(G73),F73&lt;&gt;"PQC available now"),IF(G73&lt;TODAY(),"Roadmap date has passed - re-check delivery. ",""),"")&amp;IF(AND(H73="Yes",I73=""),"Record where the written evidence is kept. ","")&amp;IF(AND(F73="Hybrid available now",H73&lt;&gt;"Yes"),"Hybrid only - ask for the pure-PQC date. ","")&amp;IF(OR(F73="Unknown",F73=""),"PQC support unknown. ","")&amp;IF(N73="OVERDUE","Follow-up overdue. ","")&amp;IF(AND(M73&lt;&gt;"Closed",K73=""),"Set a follow-up date. ",""))</f>
        <v/>
      </c>
    </row>
    <row r="74" customFormat="false" ht="15" hidden="false" customHeight="false" outlineLevel="0" collapsed="false">
      <c r="A74" s="16"/>
      <c r="B74" s="16"/>
      <c r="C74" s="16"/>
      <c r="D74" s="16"/>
      <c r="E74" s="16"/>
      <c r="F74" s="16"/>
      <c r="G74" s="17"/>
      <c r="H74" s="16"/>
      <c r="I74" s="16"/>
      <c r="J74" s="17"/>
      <c r="K74" s="17"/>
      <c r="L74" s="16"/>
      <c r="M74" s="16"/>
      <c r="N74" s="18" t="str">
        <f aca="true">IF(OR(K74="",M74="Closed"),"",IF(K74&lt;TODAY(),"OVERDUE",""))</f>
        <v/>
      </c>
      <c r="O74" s="18" t="str">
        <f aca="true">IF(A74="","",IF(AND(H74&lt;&gt;"Yes",F74&lt;&gt;"PQC available now",F74&lt;&gt;"Hybrid available now"),"No written PQC roadmap - ask for a dated commitment. ","")&amp;IF(AND(ISNUMBER(G74),F74&lt;&gt;"PQC available now"),IF(G74&lt;TODAY(),"Roadmap date has passed - re-check delivery. ",""),"")&amp;IF(AND(H74="Yes",I74=""),"Record where the written evidence is kept. ","")&amp;IF(AND(F74="Hybrid available now",H74&lt;&gt;"Yes"),"Hybrid only - ask for the pure-PQC date. ","")&amp;IF(OR(F74="Unknown",F74=""),"PQC support unknown. ","")&amp;IF(N74="OVERDUE","Follow-up overdue. ","")&amp;IF(AND(M74&lt;&gt;"Closed",K74=""),"Set a follow-up date. ",""))</f>
        <v/>
      </c>
    </row>
    <row r="75" customFormat="false" ht="15" hidden="false" customHeight="false" outlineLevel="0" collapsed="false">
      <c r="A75" s="16"/>
      <c r="B75" s="16"/>
      <c r="C75" s="16"/>
      <c r="D75" s="16"/>
      <c r="E75" s="16"/>
      <c r="F75" s="16"/>
      <c r="G75" s="17"/>
      <c r="H75" s="16"/>
      <c r="I75" s="16"/>
      <c r="J75" s="17"/>
      <c r="K75" s="17"/>
      <c r="L75" s="16"/>
      <c r="M75" s="16"/>
      <c r="N75" s="18" t="str">
        <f aca="true">IF(OR(K75="",M75="Closed"),"",IF(K75&lt;TODAY(),"OVERDUE",""))</f>
        <v/>
      </c>
      <c r="O75" s="18" t="str">
        <f aca="true">IF(A75="","",IF(AND(H75&lt;&gt;"Yes",F75&lt;&gt;"PQC available now",F75&lt;&gt;"Hybrid available now"),"No written PQC roadmap - ask for a dated commitment. ","")&amp;IF(AND(ISNUMBER(G75),F75&lt;&gt;"PQC available now"),IF(G75&lt;TODAY(),"Roadmap date has passed - re-check delivery. ",""),"")&amp;IF(AND(H75="Yes",I75=""),"Record where the written evidence is kept. ","")&amp;IF(AND(F75="Hybrid available now",H75&lt;&gt;"Yes"),"Hybrid only - ask for the pure-PQC date. ","")&amp;IF(OR(F75="Unknown",F75=""),"PQC support unknown. ","")&amp;IF(N75="OVERDUE","Follow-up overdue. ","")&amp;IF(AND(M75&lt;&gt;"Closed",K75=""),"Set a follow-up date. ",""))</f>
        <v/>
      </c>
    </row>
    <row r="76" customFormat="false" ht="15" hidden="false" customHeight="false" outlineLevel="0" collapsed="false">
      <c r="A76" s="16"/>
      <c r="B76" s="16"/>
      <c r="C76" s="16"/>
      <c r="D76" s="16"/>
      <c r="E76" s="16"/>
      <c r="F76" s="16"/>
      <c r="G76" s="17"/>
      <c r="H76" s="16"/>
      <c r="I76" s="16"/>
      <c r="J76" s="17"/>
      <c r="K76" s="17"/>
      <c r="L76" s="16"/>
      <c r="M76" s="16"/>
      <c r="N76" s="18" t="str">
        <f aca="true">IF(OR(K76="",M76="Closed"),"",IF(K76&lt;TODAY(),"OVERDUE",""))</f>
        <v/>
      </c>
      <c r="O76" s="18" t="str">
        <f aca="true">IF(A76="","",IF(AND(H76&lt;&gt;"Yes",F76&lt;&gt;"PQC available now",F76&lt;&gt;"Hybrid available now"),"No written PQC roadmap - ask for a dated commitment. ","")&amp;IF(AND(ISNUMBER(G76),F76&lt;&gt;"PQC available now"),IF(G76&lt;TODAY(),"Roadmap date has passed - re-check delivery. ",""),"")&amp;IF(AND(H76="Yes",I76=""),"Record where the written evidence is kept. ","")&amp;IF(AND(F76="Hybrid available now",H76&lt;&gt;"Yes"),"Hybrid only - ask for the pure-PQC date. ","")&amp;IF(OR(F76="Unknown",F76=""),"PQC support unknown. ","")&amp;IF(N76="OVERDUE","Follow-up overdue. ","")&amp;IF(AND(M76&lt;&gt;"Closed",K76=""),"Set a follow-up date. ",""))</f>
        <v/>
      </c>
    </row>
    <row r="77" customFormat="false" ht="15" hidden="false" customHeight="false" outlineLevel="0" collapsed="false">
      <c r="A77" s="16"/>
      <c r="B77" s="16"/>
      <c r="C77" s="16"/>
      <c r="D77" s="16"/>
      <c r="E77" s="16"/>
      <c r="F77" s="16"/>
      <c r="G77" s="17"/>
      <c r="H77" s="16"/>
      <c r="I77" s="16"/>
      <c r="J77" s="17"/>
      <c r="K77" s="17"/>
      <c r="L77" s="16"/>
      <c r="M77" s="16"/>
      <c r="N77" s="18" t="str">
        <f aca="true">IF(OR(K77="",M77="Closed"),"",IF(K77&lt;TODAY(),"OVERDUE",""))</f>
        <v/>
      </c>
      <c r="O77" s="18" t="str">
        <f aca="true">IF(A77="","",IF(AND(H77&lt;&gt;"Yes",F77&lt;&gt;"PQC available now",F77&lt;&gt;"Hybrid available now"),"No written PQC roadmap - ask for a dated commitment. ","")&amp;IF(AND(ISNUMBER(G77),F77&lt;&gt;"PQC available now"),IF(G77&lt;TODAY(),"Roadmap date has passed - re-check delivery. ",""),"")&amp;IF(AND(H77="Yes",I77=""),"Record where the written evidence is kept. ","")&amp;IF(AND(F77="Hybrid available now",H77&lt;&gt;"Yes"),"Hybrid only - ask for the pure-PQC date. ","")&amp;IF(OR(F77="Unknown",F77=""),"PQC support unknown. ","")&amp;IF(N77="OVERDUE","Follow-up overdue. ","")&amp;IF(AND(M77&lt;&gt;"Closed",K77=""),"Set a follow-up date. ",""))</f>
        <v/>
      </c>
    </row>
    <row r="78" customFormat="false" ht="15" hidden="false" customHeight="false" outlineLevel="0" collapsed="false">
      <c r="A78" s="16"/>
      <c r="B78" s="16"/>
      <c r="C78" s="16"/>
      <c r="D78" s="16"/>
      <c r="E78" s="16"/>
      <c r="F78" s="16"/>
      <c r="G78" s="17"/>
      <c r="H78" s="16"/>
      <c r="I78" s="16"/>
      <c r="J78" s="17"/>
      <c r="K78" s="17"/>
      <c r="L78" s="16"/>
      <c r="M78" s="16"/>
      <c r="N78" s="18" t="str">
        <f aca="true">IF(OR(K78="",M78="Closed"),"",IF(K78&lt;TODAY(),"OVERDUE",""))</f>
        <v/>
      </c>
      <c r="O78" s="18" t="str">
        <f aca="true">IF(A78="","",IF(AND(H78&lt;&gt;"Yes",F78&lt;&gt;"PQC available now",F78&lt;&gt;"Hybrid available now"),"No written PQC roadmap - ask for a dated commitment. ","")&amp;IF(AND(ISNUMBER(G78),F78&lt;&gt;"PQC available now"),IF(G78&lt;TODAY(),"Roadmap date has passed - re-check delivery. ",""),"")&amp;IF(AND(H78="Yes",I78=""),"Record where the written evidence is kept. ","")&amp;IF(AND(F78="Hybrid available now",H78&lt;&gt;"Yes"),"Hybrid only - ask for the pure-PQC date. ","")&amp;IF(OR(F78="Unknown",F78=""),"PQC support unknown. ","")&amp;IF(N78="OVERDUE","Follow-up overdue. ","")&amp;IF(AND(M78&lt;&gt;"Closed",K78=""),"Set a follow-up date. ",""))</f>
        <v/>
      </c>
    </row>
    <row r="79" customFormat="false" ht="15" hidden="false" customHeight="false" outlineLevel="0" collapsed="false">
      <c r="A79" s="16"/>
      <c r="B79" s="16"/>
      <c r="C79" s="16"/>
      <c r="D79" s="16"/>
      <c r="E79" s="16"/>
      <c r="F79" s="16"/>
      <c r="G79" s="17"/>
      <c r="H79" s="16"/>
      <c r="I79" s="16"/>
      <c r="J79" s="17"/>
      <c r="K79" s="17"/>
      <c r="L79" s="16"/>
      <c r="M79" s="16"/>
      <c r="N79" s="18" t="str">
        <f aca="true">IF(OR(K79="",M79="Closed"),"",IF(K79&lt;TODAY(),"OVERDUE",""))</f>
        <v/>
      </c>
      <c r="O79" s="18" t="str">
        <f aca="true">IF(A79="","",IF(AND(H79&lt;&gt;"Yes",F79&lt;&gt;"PQC available now",F79&lt;&gt;"Hybrid available now"),"No written PQC roadmap - ask for a dated commitment. ","")&amp;IF(AND(ISNUMBER(G79),F79&lt;&gt;"PQC available now"),IF(G79&lt;TODAY(),"Roadmap date has passed - re-check delivery. ",""),"")&amp;IF(AND(H79="Yes",I79=""),"Record where the written evidence is kept. ","")&amp;IF(AND(F79="Hybrid available now",H79&lt;&gt;"Yes"),"Hybrid only - ask for the pure-PQC date. ","")&amp;IF(OR(F79="Unknown",F79=""),"PQC support unknown. ","")&amp;IF(N79="OVERDUE","Follow-up overdue. ","")&amp;IF(AND(M79&lt;&gt;"Closed",K79=""),"Set a follow-up date. ",""))</f>
        <v/>
      </c>
    </row>
    <row r="80" customFormat="false" ht="15" hidden="false" customHeight="false" outlineLevel="0" collapsed="false">
      <c r="A80" s="16"/>
      <c r="B80" s="16"/>
      <c r="C80" s="16"/>
      <c r="D80" s="16"/>
      <c r="E80" s="16"/>
      <c r="F80" s="16"/>
      <c r="G80" s="17"/>
      <c r="H80" s="16"/>
      <c r="I80" s="16"/>
      <c r="J80" s="17"/>
      <c r="K80" s="17"/>
      <c r="L80" s="16"/>
      <c r="M80" s="16"/>
      <c r="N80" s="18" t="str">
        <f aca="true">IF(OR(K80="",M80="Closed"),"",IF(K80&lt;TODAY(),"OVERDUE",""))</f>
        <v/>
      </c>
      <c r="O80" s="18" t="str">
        <f aca="true">IF(A80="","",IF(AND(H80&lt;&gt;"Yes",F80&lt;&gt;"PQC available now",F80&lt;&gt;"Hybrid available now"),"No written PQC roadmap - ask for a dated commitment. ","")&amp;IF(AND(ISNUMBER(G80),F80&lt;&gt;"PQC available now"),IF(G80&lt;TODAY(),"Roadmap date has passed - re-check delivery. ",""),"")&amp;IF(AND(H80="Yes",I80=""),"Record where the written evidence is kept. ","")&amp;IF(AND(F80="Hybrid available now",H80&lt;&gt;"Yes"),"Hybrid only - ask for the pure-PQC date. ","")&amp;IF(OR(F80="Unknown",F80=""),"PQC support unknown. ","")&amp;IF(N80="OVERDUE","Follow-up overdue. ","")&amp;IF(AND(M80&lt;&gt;"Closed",K80=""),"Set a follow-up date. ",""))</f>
        <v/>
      </c>
    </row>
    <row r="81" customFormat="false" ht="15" hidden="false" customHeight="false" outlineLevel="0" collapsed="false">
      <c r="A81" s="16"/>
      <c r="B81" s="16"/>
      <c r="C81" s="16"/>
      <c r="D81" s="16"/>
      <c r="E81" s="16"/>
      <c r="F81" s="16"/>
      <c r="G81" s="17"/>
      <c r="H81" s="16"/>
      <c r="I81" s="16"/>
      <c r="J81" s="17"/>
      <c r="K81" s="17"/>
      <c r="L81" s="16"/>
      <c r="M81" s="16"/>
      <c r="N81" s="18" t="str">
        <f aca="true">IF(OR(K81="",M81="Closed"),"",IF(K81&lt;TODAY(),"OVERDUE",""))</f>
        <v/>
      </c>
      <c r="O81" s="18" t="str">
        <f aca="true">IF(A81="","",IF(AND(H81&lt;&gt;"Yes",F81&lt;&gt;"PQC available now",F81&lt;&gt;"Hybrid available now"),"No written PQC roadmap - ask for a dated commitment. ","")&amp;IF(AND(ISNUMBER(G81),F81&lt;&gt;"PQC available now"),IF(G81&lt;TODAY(),"Roadmap date has passed - re-check delivery. ",""),"")&amp;IF(AND(H81="Yes",I81=""),"Record where the written evidence is kept. ","")&amp;IF(AND(F81="Hybrid available now",H81&lt;&gt;"Yes"),"Hybrid only - ask for the pure-PQC date. ","")&amp;IF(OR(F81="Unknown",F81=""),"PQC support unknown. ","")&amp;IF(N81="OVERDUE","Follow-up overdue. ","")&amp;IF(AND(M81&lt;&gt;"Closed",K81=""),"Set a follow-up date. ",""))</f>
        <v/>
      </c>
    </row>
    <row r="82" customFormat="false" ht="15" hidden="false" customHeight="false" outlineLevel="0" collapsed="false">
      <c r="A82" s="16"/>
      <c r="B82" s="16"/>
      <c r="C82" s="16"/>
      <c r="D82" s="16"/>
      <c r="E82" s="16"/>
      <c r="F82" s="16"/>
      <c r="G82" s="17"/>
      <c r="H82" s="16"/>
      <c r="I82" s="16"/>
      <c r="J82" s="17"/>
      <c r="K82" s="17"/>
      <c r="L82" s="16"/>
      <c r="M82" s="16"/>
      <c r="N82" s="18" t="str">
        <f aca="true">IF(OR(K82="",M82="Closed"),"",IF(K82&lt;TODAY(),"OVERDUE",""))</f>
        <v/>
      </c>
      <c r="O82" s="18" t="str">
        <f aca="true">IF(A82="","",IF(AND(H82&lt;&gt;"Yes",F82&lt;&gt;"PQC available now",F82&lt;&gt;"Hybrid available now"),"No written PQC roadmap - ask for a dated commitment. ","")&amp;IF(AND(ISNUMBER(G82),F82&lt;&gt;"PQC available now"),IF(G82&lt;TODAY(),"Roadmap date has passed - re-check delivery. ",""),"")&amp;IF(AND(H82="Yes",I82=""),"Record where the written evidence is kept. ","")&amp;IF(AND(F82="Hybrid available now",H82&lt;&gt;"Yes"),"Hybrid only - ask for the pure-PQC date. ","")&amp;IF(OR(F82="Unknown",F82=""),"PQC support unknown. ","")&amp;IF(N82="OVERDUE","Follow-up overdue. ","")&amp;IF(AND(M82&lt;&gt;"Closed",K82=""),"Set a follow-up date. ",""))</f>
        <v/>
      </c>
    </row>
    <row r="83" customFormat="false" ht="15" hidden="false" customHeight="false" outlineLevel="0" collapsed="false">
      <c r="A83" s="16"/>
      <c r="B83" s="16"/>
      <c r="C83" s="16"/>
      <c r="D83" s="16"/>
      <c r="E83" s="16"/>
      <c r="F83" s="16"/>
      <c r="G83" s="17"/>
      <c r="H83" s="16"/>
      <c r="I83" s="16"/>
      <c r="J83" s="17"/>
      <c r="K83" s="17"/>
      <c r="L83" s="16"/>
      <c r="M83" s="16"/>
      <c r="N83" s="18" t="str">
        <f aca="true">IF(OR(K83="",M83="Closed"),"",IF(K83&lt;TODAY(),"OVERDUE",""))</f>
        <v/>
      </c>
      <c r="O83" s="18" t="str">
        <f aca="true">IF(A83="","",IF(AND(H83&lt;&gt;"Yes",F83&lt;&gt;"PQC available now",F83&lt;&gt;"Hybrid available now"),"No written PQC roadmap - ask for a dated commitment. ","")&amp;IF(AND(ISNUMBER(G83),F83&lt;&gt;"PQC available now"),IF(G83&lt;TODAY(),"Roadmap date has passed - re-check delivery. ",""),"")&amp;IF(AND(H83="Yes",I83=""),"Record where the written evidence is kept. ","")&amp;IF(AND(F83="Hybrid available now",H83&lt;&gt;"Yes"),"Hybrid only - ask for the pure-PQC date. ","")&amp;IF(OR(F83="Unknown",F83=""),"PQC support unknown. ","")&amp;IF(N83="OVERDUE","Follow-up overdue. ","")&amp;IF(AND(M83&lt;&gt;"Closed",K83=""),"Set a follow-up date. ",""))</f>
        <v/>
      </c>
    </row>
    <row r="84" customFormat="false" ht="15" hidden="false" customHeight="false" outlineLevel="0" collapsed="false">
      <c r="A84" s="16"/>
      <c r="B84" s="16"/>
      <c r="C84" s="16"/>
      <c r="D84" s="16"/>
      <c r="E84" s="16"/>
      <c r="F84" s="16"/>
      <c r="G84" s="17"/>
      <c r="H84" s="16"/>
      <c r="I84" s="16"/>
      <c r="J84" s="17"/>
      <c r="K84" s="17"/>
      <c r="L84" s="16"/>
      <c r="M84" s="16"/>
      <c r="N84" s="18" t="str">
        <f aca="true">IF(OR(K84="",M84="Closed"),"",IF(K84&lt;TODAY(),"OVERDUE",""))</f>
        <v/>
      </c>
      <c r="O84" s="18" t="str">
        <f aca="true">IF(A84="","",IF(AND(H84&lt;&gt;"Yes",F84&lt;&gt;"PQC available now",F84&lt;&gt;"Hybrid available now"),"No written PQC roadmap - ask for a dated commitment. ","")&amp;IF(AND(ISNUMBER(G84),F84&lt;&gt;"PQC available now"),IF(G84&lt;TODAY(),"Roadmap date has passed - re-check delivery. ",""),"")&amp;IF(AND(H84="Yes",I84=""),"Record where the written evidence is kept. ","")&amp;IF(AND(F84="Hybrid available now",H84&lt;&gt;"Yes"),"Hybrid only - ask for the pure-PQC date. ","")&amp;IF(OR(F84="Unknown",F84=""),"PQC support unknown. ","")&amp;IF(N84="OVERDUE","Follow-up overdue. ","")&amp;IF(AND(M84&lt;&gt;"Closed",K84=""),"Set a follow-up date. ",""))</f>
        <v/>
      </c>
    </row>
    <row r="85" customFormat="false" ht="15" hidden="false" customHeight="false" outlineLevel="0" collapsed="false">
      <c r="A85" s="16"/>
      <c r="B85" s="16"/>
      <c r="C85" s="16"/>
      <c r="D85" s="16"/>
      <c r="E85" s="16"/>
      <c r="F85" s="16"/>
      <c r="G85" s="17"/>
      <c r="H85" s="16"/>
      <c r="I85" s="16"/>
      <c r="J85" s="17"/>
      <c r="K85" s="17"/>
      <c r="L85" s="16"/>
      <c r="M85" s="16"/>
      <c r="N85" s="18" t="str">
        <f aca="true">IF(OR(K85="",M85="Closed"),"",IF(K85&lt;TODAY(),"OVERDUE",""))</f>
        <v/>
      </c>
      <c r="O85" s="18" t="str">
        <f aca="true">IF(A85="","",IF(AND(H85&lt;&gt;"Yes",F85&lt;&gt;"PQC available now",F85&lt;&gt;"Hybrid available now"),"No written PQC roadmap - ask for a dated commitment. ","")&amp;IF(AND(ISNUMBER(G85),F85&lt;&gt;"PQC available now"),IF(G85&lt;TODAY(),"Roadmap date has passed - re-check delivery. ",""),"")&amp;IF(AND(H85="Yes",I85=""),"Record where the written evidence is kept. ","")&amp;IF(AND(F85="Hybrid available now",H85&lt;&gt;"Yes"),"Hybrid only - ask for the pure-PQC date. ","")&amp;IF(OR(F85="Unknown",F85=""),"PQC support unknown. ","")&amp;IF(N85="OVERDUE","Follow-up overdue. ","")&amp;IF(AND(M85&lt;&gt;"Closed",K85=""),"Set a follow-up date. ",""))</f>
        <v/>
      </c>
    </row>
    <row r="86" customFormat="false" ht="15" hidden="false" customHeight="false" outlineLevel="0" collapsed="false">
      <c r="A86" s="16"/>
      <c r="B86" s="16"/>
      <c r="C86" s="16"/>
      <c r="D86" s="16"/>
      <c r="E86" s="16"/>
      <c r="F86" s="16"/>
      <c r="G86" s="17"/>
      <c r="H86" s="16"/>
      <c r="I86" s="16"/>
      <c r="J86" s="17"/>
      <c r="K86" s="17"/>
      <c r="L86" s="16"/>
      <c r="M86" s="16"/>
      <c r="N86" s="18" t="str">
        <f aca="true">IF(OR(K86="",M86="Closed"),"",IF(K86&lt;TODAY(),"OVERDUE",""))</f>
        <v/>
      </c>
      <c r="O86" s="18" t="str">
        <f aca="true">IF(A86="","",IF(AND(H86&lt;&gt;"Yes",F86&lt;&gt;"PQC available now",F86&lt;&gt;"Hybrid available now"),"No written PQC roadmap - ask for a dated commitment. ","")&amp;IF(AND(ISNUMBER(G86),F86&lt;&gt;"PQC available now"),IF(G86&lt;TODAY(),"Roadmap date has passed - re-check delivery. ",""),"")&amp;IF(AND(H86="Yes",I86=""),"Record where the written evidence is kept. ","")&amp;IF(AND(F86="Hybrid available now",H86&lt;&gt;"Yes"),"Hybrid only - ask for the pure-PQC date. ","")&amp;IF(OR(F86="Unknown",F86=""),"PQC support unknown. ","")&amp;IF(N86="OVERDUE","Follow-up overdue. ","")&amp;IF(AND(M86&lt;&gt;"Closed",K86=""),"Set a follow-up date. ",""))</f>
        <v/>
      </c>
    </row>
    <row r="87" customFormat="false" ht="15" hidden="false" customHeight="false" outlineLevel="0" collapsed="false">
      <c r="A87" s="16"/>
      <c r="B87" s="16"/>
      <c r="C87" s="16"/>
      <c r="D87" s="16"/>
      <c r="E87" s="16"/>
      <c r="F87" s="16"/>
      <c r="G87" s="17"/>
      <c r="H87" s="16"/>
      <c r="I87" s="16"/>
      <c r="J87" s="17"/>
      <c r="K87" s="17"/>
      <c r="L87" s="16"/>
      <c r="M87" s="16"/>
      <c r="N87" s="18" t="str">
        <f aca="true">IF(OR(K87="",M87="Closed"),"",IF(K87&lt;TODAY(),"OVERDUE",""))</f>
        <v/>
      </c>
      <c r="O87" s="18" t="str">
        <f aca="true">IF(A87="","",IF(AND(H87&lt;&gt;"Yes",F87&lt;&gt;"PQC available now",F87&lt;&gt;"Hybrid available now"),"No written PQC roadmap - ask for a dated commitment. ","")&amp;IF(AND(ISNUMBER(G87),F87&lt;&gt;"PQC available now"),IF(G87&lt;TODAY(),"Roadmap date has passed - re-check delivery. ",""),"")&amp;IF(AND(H87="Yes",I87=""),"Record where the written evidence is kept. ","")&amp;IF(AND(F87="Hybrid available now",H87&lt;&gt;"Yes"),"Hybrid only - ask for the pure-PQC date. ","")&amp;IF(OR(F87="Unknown",F87=""),"PQC support unknown. ","")&amp;IF(N87="OVERDUE","Follow-up overdue. ","")&amp;IF(AND(M87&lt;&gt;"Closed",K87=""),"Set a follow-up date. ",""))</f>
        <v/>
      </c>
    </row>
    <row r="88" customFormat="false" ht="15" hidden="false" customHeight="false" outlineLevel="0" collapsed="false">
      <c r="A88" s="16"/>
      <c r="B88" s="16"/>
      <c r="C88" s="16"/>
      <c r="D88" s="16"/>
      <c r="E88" s="16"/>
      <c r="F88" s="16"/>
      <c r="G88" s="17"/>
      <c r="H88" s="16"/>
      <c r="I88" s="16"/>
      <c r="J88" s="17"/>
      <c r="K88" s="17"/>
      <c r="L88" s="16"/>
      <c r="M88" s="16"/>
      <c r="N88" s="18" t="str">
        <f aca="true">IF(OR(K88="",M88="Closed"),"",IF(K88&lt;TODAY(),"OVERDUE",""))</f>
        <v/>
      </c>
      <c r="O88" s="18" t="str">
        <f aca="true">IF(A88="","",IF(AND(H88&lt;&gt;"Yes",F88&lt;&gt;"PQC available now",F88&lt;&gt;"Hybrid available now"),"No written PQC roadmap - ask for a dated commitment. ","")&amp;IF(AND(ISNUMBER(G88),F88&lt;&gt;"PQC available now"),IF(G88&lt;TODAY(),"Roadmap date has passed - re-check delivery. ",""),"")&amp;IF(AND(H88="Yes",I88=""),"Record where the written evidence is kept. ","")&amp;IF(AND(F88="Hybrid available now",H88&lt;&gt;"Yes"),"Hybrid only - ask for the pure-PQC date. ","")&amp;IF(OR(F88="Unknown",F88=""),"PQC support unknown. ","")&amp;IF(N88="OVERDUE","Follow-up overdue. ","")&amp;IF(AND(M88&lt;&gt;"Closed",K88=""),"Set a follow-up date. ",""))</f>
        <v/>
      </c>
    </row>
    <row r="89" customFormat="false" ht="15" hidden="false" customHeight="false" outlineLevel="0" collapsed="false">
      <c r="A89" s="16"/>
      <c r="B89" s="16"/>
      <c r="C89" s="16"/>
      <c r="D89" s="16"/>
      <c r="E89" s="16"/>
      <c r="F89" s="16"/>
      <c r="G89" s="17"/>
      <c r="H89" s="16"/>
      <c r="I89" s="16"/>
      <c r="J89" s="17"/>
      <c r="K89" s="17"/>
      <c r="L89" s="16"/>
      <c r="M89" s="16"/>
      <c r="N89" s="18" t="str">
        <f aca="true">IF(OR(K89="",M89="Closed"),"",IF(K89&lt;TODAY(),"OVERDUE",""))</f>
        <v/>
      </c>
      <c r="O89" s="18" t="str">
        <f aca="true">IF(A89="","",IF(AND(H89&lt;&gt;"Yes",F89&lt;&gt;"PQC available now",F89&lt;&gt;"Hybrid available now"),"No written PQC roadmap - ask for a dated commitment. ","")&amp;IF(AND(ISNUMBER(G89),F89&lt;&gt;"PQC available now"),IF(G89&lt;TODAY(),"Roadmap date has passed - re-check delivery. ",""),"")&amp;IF(AND(H89="Yes",I89=""),"Record where the written evidence is kept. ","")&amp;IF(AND(F89="Hybrid available now",H89&lt;&gt;"Yes"),"Hybrid only - ask for the pure-PQC date. ","")&amp;IF(OR(F89="Unknown",F89=""),"PQC support unknown. ","")&amp;IF(N89="OVERDUE","Follow-up overdue. ","")&amp;IF(AND(M89&lt;&gt;"Closed",K89=""),"Set a follow-up date. ",""))</f>
        <v/>
      </c>
    </row>
    <row r="90" customFormat="false" ht="15" hidden="false" customHeight="false" outlineLevel="0" collapsed="false">
      <c r="A90" s="16"/>
      <c r="B90" s="16"/>
      <c r="C90" s="16"/>
      <c r="D90" s="16"/>
      <c r="E90" s="16"/>
      <c r="F90" s="16"/>
      <c r="G90" s="17"/>
      <c r="H90" s="16"/>
      <c r="I90" s="16"/>
      <c r="J90" s="17"/>
      <c r="K90" s="17"/>
      <c r="L90" s="16"/>
      <c r="M90" s="16"/>
      <c r="N90" s="18" t="str">
        <f aca="true">IF(OR(K90="",M90="Closed"),"",IF(K90&lt;TODAY(),"OVERDUE",""))</f>
        <v/>
      </c>
      <c r="O90" s="18" t="str">
        <f aca="true">IF(A90="","",IF(AND(H90&lt;&gt;"Yes",F90&lt;&gt;"PQC available now",F90&lt;&gt;"Hybrid available now"),"No written PQC roadmap - ask for a dated commitment. ","")&amp;IF(AND(ISNUMBER(G90),F90&lt;&gt;"PQC available now"),IF(G90&lt;TODAY(),"Roadmap date has passed - re-check delivery. ",""),"")&amp;IF(AND(H90="Yes",I90=""),"Record where the written evidence is kept. ","")&amp;IF(AND(F90="Hybrid available now",H90&lt;&gt;"Yes"),"Hybrid only - ask for the pure-PQC date. ","")&amp;IF(OR(F90="Unknown",F90=""),"PQC support unknown. ","")&amp;IF(N90="OVERDUE","Follow-up overdue. ","")&amp;IF(AND(M90&lt;&gt;"Closed",K90=""),"Set a follow-up date. ",""))</f>
        <v/>
      </c>
    </row>
    <row r="91" customFormat="false" ht="15" hidden="false" customHeight="false" outlineLevel="0" collapsed="false">
      <c r="A91" s="16"/>
      <c r="B91" s="16"/>
      <c r="C91" s="16"/>
      <c r="D91" s="16"/>
      <c r="E91" s="16"/>
      <c r="F91" s="16"/>
      <c r="G91" s="17"/>
      <c r="H91" s="16"/>
      <c r="I91" s="16"/>
      <c r="J91" s="17"/>
      <c r="K91" s="17"/>
      <c r="L91" s="16"/>
      <c r="M91" s="16"/>
      <c r="N91" s="18" t="str">
        <f aca="true">IF(OR(K91="",M91="Closed"),"",IF(K91&lt;TODAY(),"OVERDUE",""))</f>
        <v/>
      </c>
      <c r="O91" s="18" t="str">
        <f aca="true">IF(A91="","",IF(AND(H91&lt;&gt;"Yes",F91&lt;&gt;"PQC available now",F91&lt;&gt;"Hybrid available now"),"No written PQC roadmap - ask for a dated commitment. ","")&amp;IF(AND(ISNUMBER(G91),F91&lt;&gt;"PQC available now"),IF(G91&lt;TODAY(),"Roadmap date has passed - re-check delivery. ",""),"")&amp;IF(AND(H91="Yes",I91=""),"Record where the written evidence is kept. ","")&amp;IF(AND(F91="Hybrid available now",H91&lt;&gt;"Yes"),"Hybrid only - ask for the pure-PQC date. ","")&amp;IF(OR(F91="Unknown",F91=""),"PQC support unknown. ","")&amp;IF(N91="OVERDUE","Follow-up overdue. ","")&amp;IF(AND(M91&lt;&gt;"Closed",K91=""),"Set a follow-up date. ",""))</f>
        <v/>
      </c>
    </row>
    <row r="92" customFormat="false" ht="15" hidden="false" customHeight="false" outlineLevel="0" collapsed="false">
      <c r="A92" s="16"/>
      <c r="B92" s="16"/>
      <c r="C92" s="16"/>
      <c r="D92" s="16"/>
      <c r="E92" s="16"/>
      <c r="F92" s="16"/>
      <c r="G92" s="17"/>
      <c r="H92" s="16"/>
      <c r="I92" s="16"/>
      <c r="J92" s="17"/>
      <c r="K92" s="17"/>
      <c r="L92" s="16"/>
      <c r="M92" s="16"/>
      <c r="N92" s="18" t="str">
        <f aca="true">IF(OR(K92="",M92="Closed"),"",IF(K92&lt;TODAY(),"OVERDUE",""))</f>
        <v/>
      </c>
      <c r="O92" s="18" t="str">
        <f aca="true">IF(A92="","",IF(AND(H92&lt;&gt;"Yes",F92&lt;&gt;"PQC available now",F92&lt;&gt;"Hybrid available now"),"No written PQC roadmap - ask for a dated commitment. ","")&amp;IF(AND(ISNUMBER(G92),F92&lt;&gt;"PQC available now"),IF(G92&lt;TODAY(),"Roadmap date has passed - re-check delivery. ",""),"")&amp;IF(AND(H92="Yes",I92=""),"Record where the written evidence is kept. ","")&amp;IF(AND(F92="Hybrid available now",H92&lt;&gt;"Yes"),"Hybrid only - ask for the pure-PQC date. ","")&amp;IF(OR(F92="Unknown",F92=""),"PQC support unknown. ","")&amp;IF(N92="OVERDUE","Follow-up overdue. ","")&amp;IF(AND(M92&lt;&gt;"Closed",K92=""),"Set a follow-up date. ",""))</f>
        <v/>
      </c>
    </row>
    <row r="93" customFormat="false" ht="15" hidden="false" customHeight="false" outlineLevel="0" collapsed="false">
      <c r="A93" s="16"/>
      <c r="B93" s="16"/>
      <c r="C93" s="16"/>
      <c r="D93" s="16"/>
      <c r="E93" s="16"/>
      <c r="F93" s="16"/>
      <c r="G93" s="17"/>
      <c r="H93" s="16"/>
      <c r="I93" s="16"/>
      <c r="J93" s="17"/>
      <c r="K93" s="17"/>
      <c r="L93" s="16"/>
      <c r="M93" s="16"/>
      <c r="N93" s="18" t="str">
        <f aca="true">IF(OR(K93="",M93="Closed"),"",IF(K93&lt;TODAY(),"OVERDUE",""))</f>
        <v/>
      </c>
      <c r="O93" s="18" t="str">
        <f aca="true">IF(A93="","",IF(AND(H93&lt;&gt;"Yes",F93&lt;&gt;"PQC available now",F93&lt;&gt;"Hybrid available now"),"No written PQC roadmap - ask for a dated commitment. ","")&amp;IF(AND(ISNUMBER(G93),F93&lt;&gt;"PQC available now"),IF(G93&lt;TODAY(),"Roadmap date has passed - re-check delivery. ",""),"")&amp;IF(AND(H93="Yes",I93=""),"Record where the written evidence is kept. ","")&amp;IF(AND(F93="Hybrid available now",H93&lt;&gt;"Yes"),"Hybrid only - ask for the pure-PQC date. ","")&amp;IF(OR(F93="Unknown",F93=""),"PQC support unknown. ","")&amp;IF(N93="OVERDUE","Follow-up overdue. ","")&amp;IF(AND(M93&lt;&gt;"Closed",K93=""),"Set a follow-up date. ",""))</f>
        <v/>
      </c>
    </row>
    <row r="94" customFormat="false" ht="15" hidden="false" customHeight="false" outlineLevel="0" collapsed="false">
      <c r="A94" s="16"/>
      <c r="B94" s="16"/>
      <c r="C94" s="16"/>
      <c r="D94" s="16"/>
      <c r="E94" s="16"/>
      <c r="F94" s="16"/>
      <c r="G94" s="17"/>
      <c r="H94" s="16"/>
      <c r="I94" s="16"/>
      <c r="J94" s="17"/>
      <c r="K94" s="17"/>
      <c r="L94" s="16"/>
      <c r="M94" s="16"/>
      <c r="N94" s="18" t="str">
        <f aca="true">IF(OR(K94="",M94="Closed"),"",IF(K94&lt;TODAY(),"OVERDUE",""))</f>
        <v/>
      </c>
      <c r="O94" s="18" t="str">
        <f aca="true">IF(A94="","",IF(AND(H94&lt;&gt;"Yes",F94&lt;&gt;"PQC available now",F94&lt;&gt;"Hybrid available now"),"No written PQC roadmap - ask for a dated commitment. ","")&amp;IF(AND(ISNUMBER(G94),F94&lt;&gt;"PQC available now"),IF(G94&lt;TODAY(),"Roadmap date has passed - re-check delivery. ",""),"")&amp;IF(AND(H94="Yes",I94=""),"Record where the written evidence is kept. ","")&amp;IF(AND(F94="Hybrid available now",H94&lt;&gt;"Yes"),"Hybrid only - ask for the pure-PQC date. ","")&amp;IF(OR(F94="Unknown",F94=""),"PQC support unknown. ","")&amp;IF(N94="OVERDUE","Follow-up overdue. ","")&amp;IF(AND(M94&lt;&gt;"Closed",K94=""),"Set a follow-up date. ",""))</f>
        <v/>
      </c>
    </row>
    <row r="95" customFormat="false" ht="15" hidden="false" customHeight="false" outlineLevel="0" collapsed="false">
      <c r="A95" s="16"/>
      <c r="B95" s="16"/>
      <c r="C95" s="16"/>
      <c r="D95" s="16"/>
      <c r="E95" s="16"/>
      <c r="F95" s="16"/>
      <c r="G95" s="17"/>
      <c r="H95" s="16"/>
      <c r="I95" s="16"/>
      <c r="J95" s="17"/>
      <c r="K95" s="17"/>
      <c r="L95" s="16"/>
      <c r="M95" s="16"/>
      <c r="N95" s="18" t="str">
        <f aca="true">IF(OR(K95="",M95="Closed"),"",IF(K95&lt;TODAY(),"OVERDUE",""))</f>
        <v/>
      </c>
      <c r="O95" s="18" t="str">
        <f aca="true">IF(A95="","",IF(AND(H95&lt;&gt;"Yes",F95&lt;&gt;"PQC available now",F95&lt;&gt;"Hybrid available now"),"No written PQC roadmap - ask for a dated commitment. ","")&amp;IF(AND(ISNUMBER(G95),F95&lt;&gt;"PQC available now"),IF(G95&lt;TODAY(),"Roadmap date has passed - re-check delivery. ",""),"")&amp;IF(AND(H95="Yes",I95=""),"Record where the written evidence is kept. ","")&amp;IF(AND(F95="Hybrid available now",H95&lt;&gt;"Yes"),"Hybrid only - ask for the pure-PQC date. ","")&amp;IF(OR(F95="Unknown",F95=""),"PQC support unknown. ","")&amp;IF(N95="OVERDUE","Follow-up overdue. ","")&amp;IF(AND(M95&lt;&gt;"Closed",K95=""),"Set a follow-up date. ",""))</f>
        <v/>
      </c>
    </row>
    <row r="96" customFormat="false" ht="15" hidden="false" customHeight="false" outlineLevel="0" collapsed="false">
      <c r="A96" s="16"/>
      <c r="B96" s="16"/>
      <c r="C96" s="16"/>
      <c r="D96" s="16"/>
      <c r="E96" s="16"/>
      <c r="F96" s="16"/>
      <c r="G96" s="17"/>
      <c r="H96" s="16"/>
      <c r="I96" s="16"/>
      <c r="J96" s="17"/>
      <c r="K96" s="17"/>
      <c r="L96" s="16"/>
      <c r="M96" s="16"/>
      <c r="N96" s="18" t="str">
        <f aca="true">IF(OR(K96="",M96="Closed"),"",IF(K96&lt;TODAY(),"OVERDUE",""))</f>
        <v/>
      </c>
      <c r="O96" s="18" t="str">
        <f aca="true">IF(A96="","",IF(AND(H96&lt;&gt;"Yes",F96&lt;&gt;"PQC available now",F96&lt;&gt;"Hybrid available now"),"No written PQC roadmap - ask for a dated commitment. ","")&amp;IF(AND(ISNUMBER(G96),F96&lt;&gt;"PQC available now"),IF(G96&lt;TODAY(),"Roadmap date has passed - re-check delivery. ",""),"")&amp;IF(AND(H96="Yes",I96=""),"Record where the written evidence is kept. ","")&amp;IF(AND(F96="Hybrid available now",H96&lt;&gt;"Yes"),"Hybrid only - ask for the pure-PQC date. ","")&amp;IF(OR(F96="Unknown",F96=""),"PQC support unknown. ","")&amp;IF(N96="OVERDUE","Follow-up overdue. ","")&amp;IF(AND(M96&lt;&gt;"Closed",K96=""),"Set a follow-up date. ",""))</f>
        <v/>
      </c>
    </row>
    <row r="97" customFormat="false" ht="15" hidden="false" customHeight="false" outlineLevel="0" collapsed="false">
      <c r="A97" s="16"/>
      <c r="B97" s="16"/>
      <c r="C97" s="16"/>
      <c r="D97" s="16"/>
      <c r="E97" s="16"/>
      <c r="F97" s="16"/>
      <c r="G97" s="17"/>
      <c r="H97" s="16"/>
      <c r="I97" s="16"/>
      <c r="J97" s="17"/>
      <c r="K97" s="17"/>
      <c r="L97" s="16"/>
      <c r="M97" s="16"/>
      <c r="N97" s="18" t="str">
        <f aca="true">IF(OR(K97="",M97="Closed"),"",IF(K97&lt;TODAY(),"OVERDUE",""))</f>
        <v/>
      </c>
      <c r="O97" s="18" t="str">
        <f aca="true">IF(A97="","",IF(AND(H97&lt;&gt;"Yes",F97&lt;&gt;"PQC available now",F97&lt;&gt;"Hybrid available now"),"No written PQC roadmap - ask for a dated commitment. ","")&amp;IF(AND(ISNUMBER(G97),F97&lt;&gt;"PQC available now"),IF(G97&lt;TODAY(),"Roadmap date has passed - re-check delivery. ",""),"")&amp;IF(AND(H97="Yes",I97=""),"Record where the written evidence is kept. ","")&amp;IF(AND(F97="Hybrid available now",H97&lt;&gt;"Yes"),"Hybrid only - ask for the pure-PQC date. ","")&amp;IF(OR(F97="Unknown",F97=""),"PQC support unknown. ","")&amp;IF(N97="OVERDUE","Follow-up overdue. ","")&amp;IF(AND(M97&lt;&gt;"Closed",K97=""),"Set a follow-up date. ",""))</f>
        <v/>
      </c>
    </row>
    <row r="98" customFormat="false" ht="15" hidden="false" customHeight="false" outlineLevel="0" collapsed="false">
      <c r="A98" s="16"/>
      <c r="B98" s="16"/>
      <c r="C98" s="16"/>
      <c r="D98" s="16"/>
      <c r="E98" s="16"/>
      <c r="F98" s="16"/>
      <c r="G98" s="17"/>
      <c r="H98" s="16"/>
      <c r="I98" s="16"/>
      <c r="J98" s="17"/>
      <c r="K98" s="17"/>
      <c r="L98" s="16"/>
      <c r="M98" s="16"/>
      <c r="N98" s="18" t="str">
        <f aca="true">IF(OR(K98="",M98="Closed"),"",IF(K98&lt;TODAY(),"OVERDUE",""))</f>
        <v/>
      </c>
      <c r="O98" s="18" t="str">
        <f aca="true">IF(A98="","",IF(AND(H98&lt;&gt;"Yes",F98&lt;&gt;"PQC available now",F98&lt;&gt;"Hybrid available now"),"No written PQC roadmap - ask for a dated commitment. ","")&amp;IF(AND(ISNUMBER(G98),F98&lt;&gt;"PQC available now"),IF(G98&lt;TODAY(),"Roadmap date has passed - re-check delivery. ",""),"")&amp;IF(AND(H98="Yes",I98=""),"Record where the written evidence is kept. ","")&amp;IF(AND(F98="Hybrid available now",H98&lt;&gt;"Yes"),"Hybrid only - ask for the pure-PQC date. ","")&amp;IF(OR(F98="Unknown",F98=""),"PQC support unknown. ","")&amp;IF(N98="OVERDUE","Follow-up overdue. ","")&amp;IF(AND(M98&lt;&gt;"Closed",K98=""),"Set a follow-up date. ",""))</f>
        <v/>
      </c>
    </row>
    <row r="99" customFormat="false" ht="15" hidden="false" customHeight="false" outlineLevel="0" collapsed="false">
      <c r="A99" s="16"/>
      <c r="B99" s="16"/>
      <c r="C99" s="16"/>
      <c r="D99" s="16"/>
      <c r="E99" s="16"/>
      <c r="F99" s="16"/>
      <c r="G99" s="17"/>
      <c r="H99" s="16"/>
      <c r="I99" s="16"/>
      <c r="J99" s="17"/>
      <c r="K99" s="17"/>
      <c r="L99" s="16"/>
      <c r="M99" s="16"/>
      <c r="N99" s="18" t="str">
        <f aca="true">IF(OR(K99="",M99="Closed"),"",IF(K99&lt;TODAY(),"OVERDUE",""))</f>
        <v/>
      </c>
      <c r="O99" s="18" t="str">
        <f aca="true">IF(A99="","",IF(AND(H99&lt;&gt;"Yes",F99&lt;&gt;"PQC available now",F99&lt;&gt;"Hybrid available now"),"No written PQC roadmap - ask for a dated commitment. ","")&amp;IF(AND(ISNUMBER(G99),F99&lt;&gt;"PQC available now"),IF(G99&lt;TODAY(),"Roadmap date has passed - re-check delivery. ",""),"")&amp;IF(AND(H99="Yes",I99=""),"Record where the written evidence is kept. ","")&amp;IF(AND(F99="Hybrid available now",H99&lt;&gt;"Yes"),"Hybrid only - ask for the pure-PQC date. ","")&amp;IF(OR(F99="Unknown",F99=""),"PQC support unknown. ","")&amp;IF(N99="OVERDUE","Follow-up overdue. ","")&amp;IF(AND(M99&lt;&gt;"Closed",K99=""),"Set a follow-up date. ",""))</f>
        <v/>
      </c>
    </row>
    <row r="100" customFormat="false" ht="15" hidden="false" customHeight="false" outlineLevel="0" collapsed="false">
      <c r="A100" s="16"/>
      <c r="B100" s="16"/>
      <c r="C100" s="16"/>
      <c r="D100" s="16"/>
      <c r="E100" s="16"/>
      <c r="F100" s="16"/>
      <c r="G100" s="17"/>
      <c r="H100" s="16"/>
      <c r="I100" s="16"/>
      <c r="J100" s="17"/>
      <c r="K100" s="17"/>
      <c r="L100" s="16"/>
      <c r="M100" s="16"/>
      <c r="N100" s="18" t="str">
        <f aca="true">IF(OR(K100="",M100="Closed"),"",IF(K100&lt;TODAY(),"OVERDUE",""))</f>
        <v/>
      </c>
      <c r="O100" s="18" t="str">
        <f aca="true">IF(A100="","",IF(AND(H100&lt;&gt;"Yes",F100&lt;&gt;"PQC available now",F100&lt;&gt;"Hybrid available now"),"No written PQC roadmap - ask for a dated commitment. ","")&amp;IF(AND(ISNUMBER(G100),F100&lt;&gt;"PQC available now"),IF(G100&lt;TODAY(),"Roadmap date has passed - re-check delivery. ",""),"")&amp;IF(AND(H100="Yes",I100=""),"Record where the written evidence is kept. ","")&amp;IF(AND(F100="Hybrid available now",H100&lt;&gt;"Yes"),"Hybrid only - ask for the pure-PQC date. ","")&amp;IF(OR(F100="Unknown",F100=""),"PQC support unknown. ","")&amp;IF(N100="OVERDUE","Follow-up overdue. ","")&amp;IF(AND(M100&lt;&gt;"Closed",K100=""),"Set a follow-up date. ",""))</f>
        <v/>
      </c>
    </row>
    <row r="101" customFormat="false" ht="15" hidden="false" customHeight="false" outlineLevel="0" collapsed="false">
      <c r="A101" s="16"/>
      <c r="B101" s="16"/>
      <c r="C101" s="16"/>
      <c r="D101" s="16"/>
      <c r="E101" s="16"/>
      <c r="F101" s="16"/>
      <c r="G101" s="17"/>
      <c r="H101" s="16"/>
      <c r="I101" s="16"/>
      <c r="J101" s="17"/>
      <c r="K101" s="17"/>
      <c r="L101" s="16"/>
      <c r="M101" s="16"/>
      <c r="N101" s="18" t="str">
        <f aca="true">IF(OR(K101="",M101="Closed"),"",IF(K101&lt;TODAY(),"OVERDUE",""))</f>
        <v/>
      </c>
      <c r="O101" s="18" t="str">
        <f aca="true">IF(A101="","",IF(AND(H101&lt;&gt;"Yes",F101&lt;&gt;"PQC available now",F101&lt;&gt;"Hybrid available now"),"No written PQC roadmap - ask for a dated commitment. ","")&amp;IF(AND(ISNUMBER(G101),F101&lt;&gt;"PQC available now"),IF(G101&lt;TODAY(),"Roadmap date has passed - re-check delivery. ",""),"")&amp;IF(AND(H101="Yes",I101=""),"Record where the written evidence is kept. ","")&amp;IF(AND(F101="Hybrid available now",H101&lt;&gt;"Yes"),"Hybrid only - ask for the pure-PQC date. ","")&amp;IF(OR(F101="Unknown",F101=""),"PQC support unknown. ","")&amp;IF(N101="OVERDUE","Follow-up overdue. ","")&amp;IF(AND(M101&lt;&gt;"Closed",K101=""),"Set a follow-up date. ",""))</f>
        <v/>
      </c>
    </row>
    <row r="102" customFormat="false" ht="15" hidden="false" customHeight="false" outlineLevel="0" collapsed="false">
      <c r="A102" s="16"/>
      <c r="B102" s="16"/>
      <c r="C102" s="16"/>
      <c r="D102" s="16"/>
      <c r="E102" s="16"/>
      <c r="F102" s="16"/>
      <c r="G102" s="17"/>
      <c r="H102" s="16"/>
      <c r="I102" s="16"/>
      <c r="J102" s="17"/>
      <c r="K102" s="17"/>
      <c r="L102" s="16"/>
      <c r="M102" s="16"/>
      <c r="N102" s="18" t="str">
        <f aca="true">IF(OR(K102="",M102="Closed"),"",IF(K102&lt;TODAY(),"OVERDUE",""))</f>
        <v/>
      </c>
      <c r="O102" s="18" t="str">
        <f aca="true">IF(A102="","",IF(AND(H102&lt;&gt;"Yes",F102&lt;&gt;"PQC available now",F102&lt;&gt;"Hybrid available now"),"No written PQC roadmap - ask for a dated commitment. ","")&amp;IF(AND(ISNUMBER(G102),F102&lt;&gt;"PQC available now"),IF(G102&lt;TODAY(),"Roadmap date has passed - re-check delivery. ",""),"")&amp;IF(AND(H102="Yes",I102=""),"Record where the written evidence is kept. ","")&amp;IF(AND(F102="Hybrid available now",H102&lt;&gt;"Yes"),"Hybrid only - ask for the pure-PQC date. ","")&amp;IF(OR(F102="Unknown",F102=""),"PQC support unknown. ","")&amp;IF(N102="OVERDUE","Follow-up overdue. ","")&amp;IF(AND(M102&lt;&gt;"Closed",K102=""),"Set a follow-up date. ",""))</f>
        <v/>
      </c>
    </row>
    <row r="103" customFormat="false" ht="15" hidden="false" customHeight="false" outlineLevel="0" collapsed="false">
      <c r="A103" s="16"/>
      <c r="B103" s="16"/>
      <c r="C103" s="16"/>
      <c r="D103" s="16"/>
      <c r="E103" s="16"/>
      <c r="F103" s="16"/>
      <c r="G103" s="17"/>
      <c r="H103" s="16"/>
      <c r="I103" s="16"/>
      <c r="J103" s="17"/>
      <c r="K103" s="17"/>
      <c r="L103" s="16"/>
      <c r="M103" s="16"/>
      <c r="N103" s="18" t="str">
        <f aca="true">IF(OR(K103="",M103="Closed"),"",IF(K103&lt;TODAY(),"OVERDUE",""))</f>
        <v/>
      </c>
      <c r="O103" s="18" t="str">
        <f aca="true">IF(A103="","",IF(AND(H103&lt;&gt;"Yes",F103&lt;&gt;"PQC available now",F103&lt;&gt;"Hybrid available now"),"No written PQC roadmap - ask for a dated commitment. ","")&amp;IF(AND(ISNUMBER(G103),F103&lt;&gt;"PQC available now"),IF(G103&lt;TODAY(),"Roadmap date has passed - re-check delivery. ",""),"")&amp;IF(AND(H103="Yes",I103=""),"Record where the written evidence is kept. ","")&amp;IF(AND(F103="Hybrid available now",H103&lt;&gt;"Yes"),"Hybrid only - ask for the pure-PQC date. ","")&amp;IF(OR(F103="Unknown",F103=""),"PQC support unknown. ","")&amp;IF(N103="OVERDUE","Follow-up overdue. ","")&amp;IF(AND(M103&lt;&gt;"Closed",K103=""),"Set a follow-up date. ",""))</f>
        <v/>
      </c>
    </row>
    <row r="104" customFormat="false" ht="15" hidden="false" customHeight="false" outlineLevel="0" collapsed="false">
      <c r="A104" s="16"/>
      <c r="B104" s="16"/>
      <c r="C104" s="16"/>
      <c r="D104" s="16"/>
      <c r="E104" s="16"/>
      <c r="F104" s="16"/>
      <c r="G104" s="17"/>
      <c r="H104" s="16"/>
      <c r="I104" s="16"/>
      <c r="J104" s="17"/>
      <c r="K104" s="17"/>
      <c r="L104" s="16"/>
      <c r="M104" s="16"/>
      <c r="N104" s="18" t="str">
        <f aca="true">IF(OR(K104="",M104="Closed"),"",IF(K104&lt;TODAY(),"OVERDUE",""))</f>
        <v/>
      </c>
      <c r="O104" s="18" t="str">
        <f aca="true">IF(A104="","",IF(AND(H104&lt;&gt;"Yes",F104&lt;&gt;"PQC available now",F104&lt;&gt;"Hybrid available now"),"No written PQC roadmap - ask for a dated commitment. ","")&amp;IF(AND(ISNUMBER(G104),F104&lt;&gt;"PQC available now"),IF(G104&lt;TODAY(),"Roadmap date has passed - re-check delivery. ",""),"")&amp;IF(AND(H104="Yes",I104=""),"Record where the written evidence is kept. ","")&amp;IF(AND(F104="Hybrid available now",H104&lt;&gt;"Yes"),"Hybrid only - ask for the pure-PQC date. ","")&amp;IF(OR(F104="Unknown",F104=""),"PQC support unknown. ","")&amp;IF(N104="OVERDUE","Follow-up overdue. ","")&amp;IF(AND(M104&lt;&gt;"Closed",K104=""),"Set a follow-up date. ",""))</f>
        <v/>
      </c>
    </row>
    <row r="105" customFormat="false" ht="15" hidden="false" customHeight="false" outlineLevel="0" collapsed="false">
      <c r="A105" s="16"/>
      <c r="B105" s="16"/>
      <c r="C105" s="16"/>
      <c r="D105" s="16"/>
      <c r="E105" s="16"/>
      <c r="F105" s="16"/>
      <c r="G105" s="17"/>
      <c r="H105" s="16"/>
      <c r="I105" s="16"/>
      <c r="J105" s="17"/>
      <c r="K105" s="17"/>
      <c r="L105" s="16"/>
      <c r="M105" s="16"/>
      <c r="N105" s="18" t="str">
        <f aca="true">IF(OR(K105="",M105="Closed"),"",IF(K105&lt;TODAY(),"OVERDUE",""))</f>
        <v/>
      </c>
      <c r="O105" s="18" t="str">
        <f aca="true">IF(A105="","",IF(AND(H105&lt;&gt;"Yes",F105&lt;&gt;"PQC available now",F105&lt;&gt;"Hybrid available now"),"No written PQC roadmap - ask for a dated commitment. ","")&amp;IF(AND(ISNUMBER(G105),F105&lt;&gt;"PQC available now"),IF(G105&lt;TODAY(),"Roadmap date has passed - re-check delivery. ",""),"")&amp;IF(AND(H105="Yes",I105=""),"Record where the written evidence is kept. ","")&amp;IF(AND(F105="Hybrid available now",H105&lt;&gt;"Yes"),"Hybrid only - ask for the pure-PQC date. ","")&amp;IF(OR(F105="Unknown",F105=""),"PQC support unknown. ","")&amp;IF(N105="OVERDUE","Follow-up overdue. ","")&amp;IF(AND(M105&lt;&gt;"Closed",K105=""),"Set a follow-up date. ",""))</f>
        <v/>
      </c>
    </row>
  </sheetData>
  <autoFilter ref="A5:O105"/>
  <conditionalFormatting sqref="O6:O105">
    <cfRule type="expression" priority="2" aboveAverage="0" equalAverage="0" bottom="0" percent="0" rank="0" text="" dxfId="10">
      <formula>LEN(O6)&gt;0</formula>
    </cfRule>
  </conditionalFormatting>
  <conditionalFormatting sqref="N6:N105">
    <cfRule type="cellIs" priority="3" operator="equal" aboveAverage="0" equalAverage="0" bottom="0" percent="0" rank="0" text="" dxfId="0">
      <formula>"OVERDUE"</formula>
    </cfRule>
  </conditionalFormatting>
  <dataValidations count="3">
    <dataValidation allowBlank="true" error="Pick a value from the list" errorStyle="stop" errorTitle="Not in list" operator="between" showDropDown="false" showErrorMessage="false" showInputMessage="false" sqref="F6:F105" type="list">
      <formula1>Lists!$I$6:$I$10</formula1>
      <formula2>0</formula2>
    </dataValidation>
    <dataValidation allowBlank="true" error="Pick a value from the list" errorStyle="stop" errorTitle="Not in list" operator="between" showDropDown="false" showErrorMessage="false" showInputMessage="false" sqref="H6:H105" type="list">
      <formula1>Lists!$A$6:$A$7</formula1>
      <formula2>0</formula2>
    </dataValidation>
    <dataValidation allowBlank="true" error="Pick a value from the list" errorStyle="stop" errorTitle="Not in list" operator="between" showDropDown="false" showErrorMessage="false" showInputMessage="false" sqref="M6:M105" type="list">
      <formula1>Lists!$J$6:$J$7</formula1>
      <formula2>0</formula2>
    </dataValidation>
  </dataValidation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52"/>
    <col collapsed="false" customWidth="true" hidden="false" outlineLevel="0" max="3" min="3" style="0" width="22"/>
    <col collapsed="false" customWidth="true" hidden="false" outlineLevel="0" max="4" min="4" style="0" width="70"/>
    <col collapsed="false" customWidth="true" hidden="false" outlineLevel="0" max="5" min="5" style="0" width="4"/>
  </cols>
  <sheetData>
    <row r="1" customFormat="false" ht="48" hidden="false" customHeight="true" outlineLevel="0" collapsed="false">
      <c r="B1" s="1" t="s">
        <v>127</v>
      </c>
    </row>
    <row r="2" customFormat="false" ht="18" hidden="false" customHeight="true" outlineLevel="0" collapsed="false">
      <c r="B2" s="2" t="s">
        <v>1</v>
      </c>
    </row>
    <row r="3" customFormat="false" ht="3.75" hidden="false" customHeight="true" outlineLevel="0" collapsed="false">
      <c r="A3" s="3"/>
      <c r="B3" s="3"/>
      <c r="C3" s="3"/>
      <c r="D3" s="3"/>
      <c r="E3" s="3"/>
    </row>
    <row r="5" customFormat="false" ht="15" hidden="false" customHeight="false" outlineLevel="0" collapsed="false">
      <c r="B5" s="6" t="s">
        <v>128</v>
      </c>
      <c r="C5" s="6" t="s">
        <v>129</v>
      </c>
      <c r="D5" s="6" t="s">
        <v>130</v>
      </c>
    </row>
    <row r="6" customFormat="false" ht="57.75" hidden="false" customHeight="true" outlineLevel="0" collapsed="false">
      <c r="B6" s="19" t="s">
        <v>131</v>
      </c>
      <c r="C6" s="20"/>
      <c r="D6" s="21" t="s">
        <v>132</v>
      </c>
    </row>
    <row r="7" customFormat="false" ht="30" hidden="false" customHeight="true" outlineLevel="0" collapsed="false">
      <c r="B7" s="19" t="s">
        <v>133</v>
      </c>
      <c r="C7" s="22"/>
      <c r="D7" s="21" t="s">
        <v>134</v>
      </c>
    </row>
    <row r="8" customFormat="false" ht="30" hidden="false" customHeight="true" outlineLevel="0" collapsed="false">
      <c r="B8" s="19" t="s">
        <v>135</v>
      </c>
      <c r="C8" s="23"/>
      <c r="D8" s="21" t="s">
        <v>136</v>
      </c>
    </row>
    <row r="9" customFormat="false" ht="30" hidden="false" customHeight="true" outlineLevel="0" collapsed="false">
      <c r="B9" s="19" t="s">
        <v>137</v>
      </c>
      <c r="C9" s="23"/>
      <c r="D9" s="21" t="s">
        <v>138</v>
      </c>
    </row>
    <row r="10" customFormat="false" ht="30" hidden="false" customHeight="true" outlineLevel="0" collapsed="false">
      <c r="B10" s="19" t="s">
        <v>139</v>
      </c>
      <c r="C10" s="22"/>
      <c r="D10" s="21" t="s">
        <v>140</v>
      </c>
    </row>
    <row r="12" customFormat="false" ht="15" hidden="false" customHeight="false" outlineLevel="0" collapsed="false">
      <c r="B12" s="6" t="s">
        <v>141</v>
      </c>
      <c r="C12" s="6" t="s">
        <v>142</v>
      </c>
      <c r="D12" s="6" t="s">
        <v>143</v>
      </c>
    </row>
    <row r="13" customFormat="false" ht="27.75" hidden="false" customHeight="true" outlineLevel="0" collapsed="false">
      <c r="B13" s="21" t="s">
        <v>144</v>
      </c>
      <c r="C13" s="24" t="n">
        <v>30</v>
      </c>
      <c r="D13" s="21" t="s">
        <v>145</v>
      </c>
    </row>
    <row r="14" customFormat="false" ht="27.75" hidden="false" customHeight="true" outlineLevel="0" collapsed="false">
      <c r="B14" s="21" t="s">
        <v>42</v>
      </c>
      <c r="C14" s="24" t="n">
        <v>20</v>
      </c>
      <c r="D14" s="21" t="s">
        <v>146</v>
      </c>
    </row>
    <row r="15" customFormat="false" ht="27.75" hidden="false" customHeight="true" outlineLevel="0" collapsed="false">
      <c r="B15" s="21" t="s">
        <v>147</v>
      </c>
      <c r="C15" s="24" t="n">
        <v>15</v>
      </c>
      <c r="D15" s="21" t="s">
        <v>148</v>
      </c>
    </row>
    <row r="16" customFormat="false" ht="27.75" hidden="false" customHeight="true" outlineLevel="0" collapsed="false">
      <c r="B16" s="21" t="s">
        <v>149</v>
      </c>
      <c r="C16" s="24" t="n">
        <v>15</v>
      </c>
      <c r="D16" s="21" t="s">
        <v>150</v>
      </c>
    </row>
    <row r="17" customFormat="false" ht="27.75" hidden="false" customHeight="true" outlineLevel="0" collapsed="false">
      <c r="B17" s="21" t="s">
        <v>151</v>
      </c>
      <c r="C17" s="24" t="n">
        <v>10</v>
      </c>
      <c r="D17" s="21" t="s">
        <v>152</v>
      </c>
    </row>
    <row r="18" customFormat="false" ht="27.75" hidden="false" customHeight="true" outlineLevel="0" collapsed="false">
      <c r="B18" s="21" t="s">
        <v>153</v>
      </c>
      <c r="C18" s="24" t="n">
        <v>5</v>
      </c>
      <c r="D18" s="21" t="s">
        <v>154</v>
      </c>
    </row>
    <row r="19" customFormat="false" ht="27.75" hidden="false" customHeight="true" outlineLevel="0" collapsed="false">
      <c r="B19" s="21" t="s">
        <v>155</v>
      </c>
      <c r="C19" s="24" t="n">
        <v>10</v>
      </c>
      <c r="D19" s="21" t="s">
        <v>156</v>
      </c>
    </row>
    <row r="20" customFormat="false" ht="27.75" hidden="false" customHeight="true" outlineLevel="0" collapsed="false">
      <c r="B20" s="21" t="s">
        <v>157</v>
      </c>
      <c r="C20" s="24" t="n">
        <v>5</v>
      </c>
      <c r="D20" s="21" t="s">
        <v>158</v>
      </c>
    </row>
    <row r="21" customFormat="false" ht="27.75" hidden="false" customHeight="true" outlineLevel="0" collapsed="false">
      <c r="B21" s="21" t="s">
        <v>159</v>
      </c>
      <c r="C21" s="24" t="n">
        <v>5</v>
      </c>
      <c r="D21" s="21" t="s">
        <v>160</v>
      </c>
    </row>
    <row r="22" customFormat="false" ht="27.75" hidden="false" customHeight="true" outlineLevel="0" collapsed="false">
      <c r="B22" s="21" t="s">
        <v>161</v>
      </c>
      <c r="C22" s="24" t="n">
        <v>3</v>
      </c>
      <c r="D22" s="21" t="s">
        <v>162</v>
      </c>
    </row>
    <row r="23" customFormat="false" ht="27.75" hidden="false" customHeight="true" outlineLevel="0" collapsed="false">
      <c r="B23" s="21" t="s">
        <v>163</v>
      </c>
      <c r="C23" s="24" t="n">
        <v>60</v>
      </c>
      <c r="D23" s="21" t="s">
        <v>164</v>
      </c>
    </row>
    <row r="24" customFormat="false" ht="27.75" hidden="false" customHeight="true" outlineLevel="0" collapsed="false">
      <c r="B24" s="21" t="s">
        <v>165</v>
      </c>
      <c r="C24" s="24" t="n">
        <v>30</v>
      </c>
      <c r="D24" s="21" t="s">
        <v>166</v>
      </c>
    </row>
    <row r="25" customFormat="false" ht="27.75" hidden="false" customHeight="true" outlineLevel="0" collapsed="false">
      <c r="B25" s="21" t="s">
        <v>167</v>
      </c>
      <c r="C25" s="24" t="n">
        <v>90</v>
      </c>
      <c r="D25" s="21" t="s">
        <v>168</v>
      </c>
    </row>
    <row r="26" customFormat="false" ht="15" hidden="false" customHeight="false" outlineLevel="0" collapsed="false">
      <c r="B26" s="25" t="s">
        <v>169</v>
      </c>
      <c r="C26" s="26" t="n">
        <f aca="false">C13+C14+C15+C16+C19+C20+C21</f>
        <v>100</v>
      </c>
    </row>
    <row r="28" customFormat="false" ht="72" hidden="false" customHeight="true" outlineLevel="0" collapsed="false">
      <c r="B28" s="14" t="s">
        <v>170</v>
      </c>
    </row>
  </sheetData>
  <conditionalFormatting sqref="C6">
    <cfRule type="expression" priority="2" aboveAverage="0" equalAverage="0" bottom="0" percent="0" rank="0" text="" dxfId="0">
      <formula>LEN(C6)=0</formula>
    </cfRule>
  </conditionalFormatting>
  <conditionalFormatting sqref="C26">
    <cfRule type="cellIs" priority="3" operator="notEqual" aboveAverage="0" equalAverage="0" bottom="0" percent="0" rank="0" text="" dxfId="11">
      <formula>100</formula>
    </cfRule>
  </conditionalFormatting>
  <dataValidations count="1">
    <dataValidation allowBlank="true" error="Enter a number of years between 0 and 50" errorStyle="stop" errorTitle="Years" operator="between" showDropDown="false" showErrorMessage="false" showInputMessage="false" sqref="C6" type="decimal">
      <formula1>0</formula1>
      <formula2>50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2"/>
    <col collapsed="false" customWidth="true" hidden="false" outlineLevel="0" max="4" min="4" style="0" width="30"/>
    <col collapsed="false" customWidth="true" hidden="false" outlineLevel="0" max="5" min="5" style="0" width="16"/>
    <col collapsed="false" customWidth="true" hidden="false" outlineLevel="0" max="6" min="6" style="0" width="84"/>
  </cols>
  <sheetData>
    <row r="1" customFormat="false" ht="48" hidden="false" customHeight="true" outlineLevel="0" collapsed="false">
      <c r="B1" s="1" t="s">
        <v>171</v>
      </c>
    </row>
    <row r="2" customFormat="false" ht="18" hidden="false" customHeight="true" outlineLevel="0" collapsed="false">
      <c r="B2" s="2" t="s">
        <v>1</v>
      </c>
    </row>
    <row r="3" customFormat="false" ht="3.75" hidden="false" customHeight="true" outlineLevel="0" collapsed="false">
      <c r="A3" s="3"/>
      <c r="B3" s="3"/>
      <c r="C3" s="3"/>
      <c r="D3" s="3"/>
      <c r="E3" s="3"/>
      <c r="F3" s="3"/>
    </row>
    <row r="5" customFormat="false" ht="30" hidden="false" customHeight="true" outlineLevel="0" collapsed="false">
      <c r="B5" s="6" t="s">
        <v>172</v>
      </c>
      <c r="C5" s="6" t="s">
        <v>173</v>
      </c>
      <c r="D5" s="6" t="s">
        <v>174</v>
      </c>
      <c r="E5" s="6" t="s">
        <v>78</v>
      </c>
      <c r="F5" s="6" t="s">
        <v>175</v>
      </c>
    </row>
    <row r="6" customFormat="false" ht="25.5" hidden="false" customHeight="true" outlineLevel="0" collapsed="false">
      <c r="B6" s="27" t="s">
        <v>176</v>
      </c>
      <c r="C6" s="27" t="s">
        <v>177</v>
      </c>
      <c r="D6" s="27" t="s">
        <v>178</v>
      </c>
      <c r="E6" s="27" t="s">
        <v>95</v>
      </c>
      <c r="F6" s="27" t="s">
        <v>179</v>
      </c>
    </row>
    <row r="7" customFormat="false" ht="25.5" hidden="false" customHeight="true" outlineLevel="0" collapsed="false">
      <c r="B7" s="27" t="s">
        <v>180</v>
      </c>
      <c r="C7" s="27" t="s">
        <v>177</v>
      </c>
      <c r="D7" s="27" t="s">
        <v>178</v>
      </c>
      <c r="E7" s="27" t="s">
        <v>95</v>
      </c>
      <c r="F7" s="27" t="s">
        <v>181</v>
      </c>
    </row>
    <row r="8" customFormat="false" ht="25.5" hidden="false" customHeight="true" outlineLevel="0" collapsed="false">
      <c r="B8" s="27" t="s">
        <v>182</v>
      </c>
      <c r="C8" s="27" t="s">
        <v>177</v>
      </c>
      <c r="D8" s="27" t="s">
        <v>178</v>
      </c>
      <c r="E8" s="27" t="s">
        <v>95</v>
      </c>
      <c r="F8" s="27" t="s">
        <v>181</v>
      </c>
    </row>
    <row r="9" customFormat="false" ht="25.5" hidden="false" customHeight="true" outlineLevel="0" collapsed="false">
      <c r="B9" s="27" t="s">
        <v>183</v>
      </c>
      <c r="C9" s="27" t="s">
        <v>184</v>
      </c>
      <c r="D9" s="27" t="s">
        <v>185</v>
      </c>
      <c r="E9" s="27" t="s">
        <v>95</v>
      </c>
      <c r="F9" s="27" t="s">
        <v>186</v>
      </c>
    </row>
    <row r="10" customFormat="false" ht="25.5" hidden="false" customHeight="true" outlineLevel="0" collapsed="false">
      <c r="B10" s="27" t="s">
        <v>187</v>
      </c>
      <c r="C10" s="27" t="s">
        <v>184</v>
      </c>
      <c r="D10" s="27" t="s">
        <v>185</v>
      </c>
      <c r="E10" s="27" t="s">
        <v>95</v>
      </c>
      <c r="F10" s="27" t="s">
        <v>186</v>
      </c>
    </row>
    <row r="11" customFormat="false" ht="25.5" hidden="false" customHeight="true" outlineLevel="0" collapsed="false">
      <c r="B11" s="27" t="s">
        <v>188</v>
      </c>
      <c r="C11" s="27" t="s">
        <v>189</v>
      </c>
      <c r="D11" s="27" t="s">
        <v>190</v>
      </c>
      <c r="E11" s="27" t="s">
        <v>95</v>
      </c>
      <c r="F11" s="27" t="s">
        <v>191</v>
      </c>
    </row>
    <row r="12" customFormat="false" ht="25.5" hidden="false" customHeight="true" outlineLevel="0" collapsed="false">
      <c r="B12" s="27" t="s">
        <v>98</v>
      </c>
      <c r="C12" s="27" t="s">
        <v>189</v>
      </c>
      <c r="D12" s="27" t="s">
        <v>190</v>
      </c>
      <c r="E12" s="27" t="s">
        <v>95</v>
      </c>
      <c r="F12" s="27" t="s">
        <v>192</v>
      </c>
    </row>
    <row r="13" customFormat="false" ht="25.5" hidden="false" customHeight="true" outlineLevel="0" collapsed="false">
      <c r="B13" s="27" t="s">
        <v>193</v>
      </c>
      <c r="C13" s="27" t="s">
        <v>194</v>
      </c>
      <c r="D13" s="27" t="s">
        <v>185</v>
      </c>
      <c r="E13" s="27" t="s">
        <v>95</v>
      </c>
      <c r="F13" s="27" t="s">
        <v>195</v>
      </c>
    </row>
    <row r="14" customFormat="false" ht="25.5" hidden="false" customHeight="true" outlineLevel="0" collapsed="false">
      <c r="B14" s="27" t="s">
        <v>196</v>
      </c>
      <c r="C14" s="27" t="s">
        <v>197</v>
      </c>
      <c r="D14" s="27" t="s">
        <v>190</v>
      </c>
      <c r="E14" s="27" t="s">
        <v>95</v>
      </c>
      <c r="F14" s="27" t="s">
        <v>198</v>
      </c>
    </row>
    <row r="15" customFormat="false" ht="25.5" hidden="false" customHeight="true" outlineLevel="0" collapsed="false">
      <c r="B15" s="27" t="s">
        <v>199</v>
      </c>
      <c r="C15" s="27" t="s">
        <v>200</v>
      </c>
      <c r="D15" s="27" t="s">
        <v>201</v>
      </c>
      <c r="E15" s="27" t="s">
        <v>202</v>
      </c>
      <c r="F15" s="27" t="s">
        <v>203</v>
      </c>
    </row>
    <row r="16" customFormat="false" ht="25.5" hidden="false" customHeight="true" outlineLevel="0" collapsed="false">
      <c r="B16" s="27" t="s">
        <v>204</v>
      </c>
      <c r="C16" s="27" t="s">
        <v>200</v>
      </c>
      <c r="D16" s="27" t="s">
        <v>201</v>
      </c>
      <c r="E16" s="27" t="s">
        <v>202</v>
      </c>
      <c r="F16" s="27" t="s">
        <v>205</v>
      </c>
    </row>
    <row r="17" customFormat="false" ht="25.5" hidden="false" customHeight="true" outlineLevel="0" collapsed="false">
      <c r="B17" s="27" t="s">
        <v>206</v>
      </c>
      <c r="C17" s="27" t="s">
        <v>207</v>
      </c>
      <c r="D17" s="27" t="s">
        <v>208</v>
      </c>
      <c r="E17" s="27" t="s">
        <v>202</v>
      </c>
      <c r="F17" s="27" t="s">
        <v>209</v>
      </c>
    </row>
    <row r="18" customFormat="false" ht="25.5" hidden="false" customHeight="true" outlineLevel="0" collapsed="false">
      <c r="B18" s="27" t="s">
        <v>210</v>
      </c>
      <c r="C18" s="27" t="s">
        <v>207</v>
      </c>
      <c r="D18" s="27" t="s">
        <v>208</v>
      </c>
      <c r="E18" s="27" t="s">
        <v>202</v>
      </c>
      <c r="F18" s="27" t="s">
        <v>209</v>
      </c>
    </row>
    <row r="19" customFormat="false" ht="25.5" hidden="false" customHeight="true" outlineLevel="0" collapsed="false">
      <c r="B19" s="27" t="s">
        <v>211</v>
      </c>
      <c r="C19" s="27" t="s">
        <v>212</v>
      </c>
      <c r="D19" s="27" t="s">
        <v>208</v>
      </c>
      <c r="E19" s="27" t="s">
        <v>202</v>
      </c>
      <c r="F19" s="27" t="s">
        <v>213</v>
      </c>
    </row>
    <row r="20" customFormat="false" ht="25.5" hidden="false" customHeight="true" outlineLevel="0" collapsed="false">
      <c r="B20" s="27" t="s">
        <v>214</v>
      </c>
      <c r="C20" s="27" t="s">
        <v>215</v>
      </c>
      <c r="D20" s="27" t="s">
        <v>216</v>
      </c>
      <c r="E20" s="27" t="s">
        <v>202</v>
      </c>
      <c r="F20" s="27" t="s">
        <v>217</v>
      </c>
    </row>
    <row r="21" customFormat="false" ht="25.5" hidden="false" customHeight="true" outlineLevel="0" collapsed="false">
      <c r="B21" s="27" t="s">
        <v>218</v>
      </c>
      <c r="C21" s="27" t="s">
        <v>215</v>
      </c>
      <c r="D21" s="27" t="s">
        <v>216</v>
      </c>
      <c r="E21" s="27" t="s">
        <v>202</v>
      </c>
      <c r="F21" s="27" t="s">
        <v>219</v>
      </c>
    </row>
    <row r="22" customFormat="false" ht="25.5" hidden="false" customHeight="true" outlineLevel="0" collapsed="false">
      <c r="B22" s="27" t="s">
        <v>220</v>
      </c>
      <c r="C22" s="27" t="s">
        <v>215</v>
      </c>
      <c r="D22" s="27" t="s">
        <v>216</v>
      </c>
      <c r="E22" s="27" t="s">
        <v>202</v>
      </c>
      <c r="F22" s="27" t="s">
        <v>221</v>
      </c>
    </row>
    <row r="23" customFormat="false" ht="25.5" hidden="false" customHeight="true" outlineLevel="0" collapsed="false">
      <c r="B23" s="27" t="s">
        <v>222</v>
      </c>
      <c r="C23" s="27" t="s">
        <v>223</v>
      </c>
      <c r="D23" s="27" t="s">
        <v>224</v>
      </c>
      <c r="E23" s="27" t="s">
        <v>202</v>
      </c>
      <c r="F23" s="27" t="s">
        <v>225</v>
      </c>
    </row>
    <row r="24" customFormat="false" ht="25.5" hidden="false" customHeight="true" outlineLevel="0" collapsed="false">
      <c r="B24" s="27" t="s">
        <v>226</v>
      </c>
      <c r="C24" s="27" t="s">
        <v>223</v>
      </c>
      <c r="D24" s="27" t="s">
        <v>224</v>
      </c>
      <c r="E24" s="27" t="s">
        <v>202</v>
      </c>
      <c r="F24" s="27" t="s">
        <v>227</v>
      </c>
    </row>
    <row r="25" customFormat="false" ht="25.5" hidden="false" customHeight="true" outlineLevel="0" collapsed="false">
      <c r="B25" s="27" t="s">
        <v>228</v>
      </c>
      <c r="C25" s="27" t="s">
        <v>223</v>
      </c>
      <c r="D25" s="27" t="s">
        <v>224</v>
      </c>
      <c r="E25" s="27" t="s">
        <v>202</v>
      </c>
      <c r="F25" s="27" t="s">
        <v>229</v>
      </c>
    </row>
    <row r="26" customFormat="false" ht="25.5" hidden="false" customHeight="true" outlineLevel="0" collapsed="false">
      <c r="B26" s="27" t="s">
        <v>230</v>
      </c>
      <c r="C26" s="27" t="s">
        <v>230</v>
      </c>
      <c r="D26" s="27" t="s">
        <v>231</v>
      </c>
      <c r="E26" s="27" t="s">
        <v>202</v>
      </c>
      <c r="F26" s="27" t="s">
        <v>232</v>
      </c>
    </row>
    <row r="27" customFormat="false" ht="25.5" hidden="false" customHeight="true" outlineLevel="0" collapsed="false">
      <c r="B27" s="27" t="s">
        <v>233</v>
      </c>
      <c r="C27" s="27" t="s">
        <v>234</v>
      </c>
      <c r="D27" s="27" t="s">
        <v>231</v>
      </c>
      <c r="E27" s="27" t="s">
        <v>202</v>
      </c>
      <c r="F27" s="27" t="s">
        <v>235</v>
      </c>
    </row>
    <row r="28" customFormat="false" ht="25.5" hidden="false" customHeight="true" outlineLevel="0" collapsed="false">
      <c r="B28" s="27" t="s">
        <v>236</v>
      </c>
      <c r="C28" s="27" t="s">
        <v>237</v>
      </c>
      <c r="D28" s="27" t="s">
        <v>238</v>
      </c>
      <c r="E28" s="27" t="s">
        <v>202</v>
      </c>
      <c r="F28" s="27" t="s">
        <v>239</v>
      </c>
    </row>
    <row r="29" customFormat="false" ht="25.5" hidden="false" customHeight="true" outlineLevel="0" collapsed="false">
      <c r="B29" s="27" t="s">
        <v>240</v>
      </c>
      <c r="C29" s="27" t="s">
        <v>237</v>
      </c>
      <c r="D29" s="27" t="s">
        <v>238</v>
      </c>
      <c r="E29" s="27" t="s">
        <v>202</v>
      </c>
      <c r="F29" s="27" t="s">
        <v>241</v>
      </c>
    </row>
    <row r="30" customFormat="false" ht="25.5" hidden="false" customHeight="true" outlineLevel="0" collapsed="false">
      <c r="B30" s="27" t="s">
        <v>242</v>
      </c>
      <c r="C30" s="27" t="s">
        <v>237</v>
      </c>
      <c r="D30" s="27" t="s">
        <v>238</v>
      </c>
      <c r="E30" s="27" t="s">
        <v>202</v>
      </c>
      <c r="F30" s="27" t="s">
        <v>241</v>
      </c>
    </row>
    <row r="31" customFormat="false" ht="25.5" hidden="false" customHeight="true" outlineLevel="0" collapsed="false">
      <c r="B31" s="27" t="s">
        <v>243</v>
      </c>
      <c r="C31" s="27" t="s">
        <v>243</v>
      </c>
      <c r="D31" s="27" t="s">
        <v>243</v>
      </c>
      <c r="E31" s="27" t="s">
        <v>244</v>
      </c>
      <c r="F31" s="27" t="s">
        <v>245</v>
      </c>
    </row>
    <row r="32" customFormat="false" ht="25.5" hidden="false" customHeight="true" outlineLevel="0" collapsed="false">
      <c r="B32" s="16"/>
      <c r="C32" s="16"/>
      <c r="D32" s="16"/>
      <c r="E32" s="16"/>
      <c r="F32" s="16"/>
    </row>
    <row r="33" customFormat="false" ht="25.5" hidden="false" customHeight="true" outlineLevel="0" collapsed="false">
      <c r="B33" s="16"/>
      <c r="C33" s="16"/>
      <c r="D33" s="16"/>
      <c r="E33" s="16"/>
      <c r="F33" s="16"/>
    </row>
    <row r="34" customFormat="false" ht="25.5" hidden="false" customHeight="true" outlineLevel="0" collapsed="false">
      <c r="B34" s="16"/>
      <c r="C34" s="16"/>
      <c r="D34" s="16"/>
      <c r="E34" s="16"/>
      <c r="F34" s="16"/>
    </row>
    <row r="35" customFormat="false" ht="25.5" hidden="false" customHeight="true" outlineLevel="0" collapsed="false">
      <c r="B35" s="16"/>
      <c r="C35" s="16"/>
      <c r="D35" s="16"/>
      <c r="E35" s="16"/>
      <c r="F35" s="16"/>
    </row>
    <row r="36" customFormat="false" ht="25.5" hidden="false" customHeight="true" outlineLevel="0" collapsed="false">
      <c r="B36" s="16"/>
      <c r="C36" s="16"/>
      <c r="D36" s="16"/>
      <c r="E36" s="16"/>
      <c r="F36" s="16"/>
    </row>
    <row r="37" customFormat="false" ht="25.5" hidden="false" customHeight="true" outlineLevel="0" collapsed="false">
      <c r="B37" s="16"/>
      <c r="C37" s="16"/>
      <c r="D37" s="16"/>
      <c r="E37" s="16"/>
      <c r="F37" s="16"/>
    </row>
    <row r="38" customFormat="false" ht="25.5" hidden="false" customHeight="true" outlineLevel="0" collapsed="false">
      <c r="B38" s="16"/>
      <c r="C38" s="16"/>
      <c r="D38" s="16"/>
      <c r="E38" s="16"/>
      <c r="F38" s="16"/>
    </row>
    <row r="39" customFormat="false" ht="25.5" hidden="false" customHeight="true" outlineLevel="0" collapsed="false">
      <c r="B39" s="16"/>
      <c r="C39" s="16"/>
      <c r="D39" s="16"/>
      <c r="E39" s="16"/>
      <c r="F39" s="16"/>
    </row>
    <row r="40" customFormat="false" ht="25.5" hidden="false" customHeight="true" outlineLevel="0" collapsed="false">
      <c r="B40" s="16"/>
      <c r="C40" s="16"/>
      <c r="D40" s="16"/>
      <c r="E40" s="16"/>
      <c r="F40" s="16"/>
    </row>
    <row r="41" customFormat="false" ht="25.5" hidden="false" customHeight="true" outlineLevel="0" collapsed="false">
      <c r="B41" s="16"/>
      <c r="C41" s="16"/>
      <c r="D41" s="16"/>
      <c r="E41" s="16"/>
      <c r="F41" s="16"/>
    </row>
    <row r="43" customFormat="false" ht="15" hidden="false" customHeight="false" outlineLevel="0" collapsed="false">
      <c r="B43" s="28" t="s">
        <v>246</v>
      </c>
    </row>
  </sheetData>
  <dataValidations count="1">
    <dataValidation allowBlank="true" errorStyle="stop" operator="between" showDropDown="false" showErrorMessage="false" showInputMessage="false" sqref="E32:E41" type="list">
      <formula1>"Yes,No,Unknown - investigate"</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26"/>
    <col collapsed="false" customWidth="true" hidden="false" outlineLevel="0" max="4" min="4" style="0" width="18"/>
    <col collapsed="false" customWidth="true" hidden="false" outlineLevel="0" max="5" min="5" style="0" width="58"/>
    <col collapsed="false" customWidth="true" hidden="false" outlineLevel="0" max="6" min="6" style="0" width="22"/>
    <col collapsed="false" customWidth="true" hidden="false" outlineLevel="0" max="7" min="7" style="0" width="40"/>
    <col collapsed="false" customWidth="true" hidden="false" outlineLevel="0" max="8" min="8" style="0" width="30"/>
  </cols>
  <sheetData>
    <row r="1" customFormat="false" ht="48" hidden="false" customHeight="true" outlineLevel="0" collapsed="false">
      <c r="B1" s="1" t="s">
        <v>247</v>
      </c>
    </row>
    <row r="2" customFormat="false" ht="18" hidden="false" customHeight="true" outlineLevel="0" collapsed="false">
      <c r="B2" s="2" t="s">
        <v>1</v>
      </c>
    </row>
    <row r="3" customFormat="false" ht="3.75" hidden="false" customHeight="true" outlineLevel="0" collapsed="false">
      <c r="A3" s="3"/>
      <c r="B3" s="3"/>
      <c r="C3" s="3"/>
      <c r="D3" s="3"/>
      <c r="E3" s="3"/>
      <c r="F3" s="3"/>
      <c r="G3" s="3"/>
      <c r="H3" s="3"/>
    </row>
    <row r="5" customFormat="false" ht="31.5" hidden="false" customHeight="true" outlineLevel="0" collapsed="false">
      <c r="B5" s="6" t="s">
        <v>248</v>
      </c>
      <c r="C5" s="6" t="s">
        <v>249</v>
      </c>
      <c r="D5" s="6" t="s">
        <v>250</v>
      </c>
      <c r="E5" s="6" t="s">
        <v>251</v>
      </c>
      <c r="F5" s="6" t="s">
        <v>252</v>
      </c>
      <c r="G5" s="6" t="s">
        <v>253</v>
      </c>
      <c r="H5" s="6" t="s">
        <v>254</v>
      </c>
    </row>
    <row r="6" customFormat="false" ht="51" hidden="false" customHeight="true" outlineLevel="0" collapsed="false">
      <c r="B6" s="29" t="s">
        <v>255</v>
      </c>
      <c r="C6" s="29" t="s">
        <v>256</v>
      </c>
      <c r="D6" s="30" t="s">
        <v>257</v>
      </c>
      <c r="E6" s="29" t="s">
        <v>258</v>
      </c>
      <c r="F6" s="29" t="s">
        <v>259</v>
      </c>
      <c r="G6" s="31" t="s">
        <v>260</v>
      </c>
      <c r="H6" s="29" t="s">
        <v>261</v>
      </c>
    </row>
    <row r="7" customFormat="false" ht="81" hidden="false" customHeight="true" outlineLevel="0" collapsed="false">
      <c r="B7" s="29" t="s">
        <v>255</v>
      </c>
      <c r="C7" s="29" t="s">
        <v>262</v>
      </c>
      <c r="D7" s="30" t="s">
        <v>263</v>
      </c>
      <c r="E7" s="29" t="s">
        <v>264</v>
      </c>
      <c r="F7" s="29" t="s">
        <v>265</v>
      </c>
      <c r="G7" s="31" t="s">
        <v>266</v>
      </c>
      <c r="H7" s="29" t="s">
        <v>267</v>
      </c>
    </row>
    <row r="8" customFormat="false" ht="66" hidden="false" customHeight="true" outlineLevel="0" collapsed="false">
      <c r="B8" s="29" t="s">
        <v>255</v>
      </c>
      <c r="C8" s="29" t="s">
        <v>268</v>
      </c>
      <c r="D8" s="30" t="s">
        <v>269</v>
      </c>
      <c r="E8" s="29" t="s">
        <v>270</v>
      </c>
      <c r="F8" s="29" t="s">
        <v>271</v>
      </c>
      <c r="G8" s="31" t="s">
        <v>266</v>
      </c>
      <c r="H8" s="29" t="s">
        <v>272</v>
      </c>
    </row>
    <row r="9" customFormat="false" ht="81" hidden="false" customHeight="true" outlineLevel="0" collapsed="false">
      <c r="B9" s="29" t="s">
        <v>273</v>
      </c>
      <c r="C9" s="29" t="s">
        <v>274</v>
      </c>
      <c r="D9" s="30" t="s">
        <v>275</v>
      </c>
      <c r="E9" s="29" t="s">
        <v>276</v>
      </c>
      <c r="F9" s="29" t="s">
        <v>277</v>
      </c>
      <c r="G9" s="31" t="s">
        <v>278</v>
      </c>
      <c r="H9" s="29" t="s">
        <v>279</v>
      </c>
    </row>
    <row r="10" customFormat="false" ht="51" hidden="false" customHeight="true" outlineLevel="0" collapsed="false">
      <c r="B10" s="29" t="s">
        <v>273</v>
      </c>
      <c r="C10" s="29" t="s">
        <v>280</v>
      </c>
      <c r="D10" s="30" t="s">
        <v>281</v>
      </c>
      <c r="E10" s="29" t="s">
        <v>282</v>
      </c>
      <c r="F10" s="29" t="s">
        <v>283</v>
      </c>
      <c r="G10" s="31" t="s">
        <v>278</v>
      </c>
      <c r="H10" s="29" t="s">
        <v>284</v>
      </c>
    </row>
    <row r="11" customFormat="false" ht="51" hidden="false" customHeight="true" outlineLevel="0" collapsed="false">
      <c r="B11" s="29" t="s">
        <v>273</v>
      </c>
      <c r="C11" s="29" t="s">
        <v>285</v>
      </c>
      <c r="D11" s="30" t="s">
        <v>286</v>
      </c>
      <c r="E11" s="29" t="s">
        <v>287</v>
      </c>
      <c r="F11" s="29" t="s">
        <v>288</v>
      </c>
      <c r="G11" s="31" t="s">
        <v>278</v>
      </c>
      <c r="H11" s="29" t="s">
        <v>289</v>
      </c>
    </row>
    <row r="12" customFormat="false" ht="96" hidden="false" customHeight="true" outlineLevel="0" collapsed="false">
      <c r="B12" s="29" t="s">
        <v>290</v>
      </c>
      <c r="C12" s="29" t="s">
        <v>291</v>
      </c>
      <c r="D12" s="30" t="s">
        <v>292</v>
      </c>
      <c r="E12" s="29" t="s">
        <v>293</v>
      </c>
      <c r="F12" s="29" t="s">
        <v>277</v>
      </c>
      <c r="G12" s="31" t="s">
        <v>294</v>
      </c>
      <c r="H12" s="29" t="s">
        <v>295</v>
      </c>
    </row>
    <row r="13" customFormat="false" ht="51" hidden="false" customHeight="true" outlineLevel="0" collapsed="false">
      <c r="B13" s="29" t="s">
        <v>290</v>
      </c>
      <c r="C13" s="29" t="s">
        <v>296</v>
      </c>
      <c r="D13" s="30" t="s">
        <v>297</v>
      </c>
      <c r="E13" s="29" t="s">
        <v>298</v>
      </c>
      <c r="F13" s="29" t="s">
        <v>299</v>
      </c>
      <c r="G13" s="31" t="s">
        <v>294</v>
      </c>
      <c r="H13" s="29" t="s">
        <v>300</v>
      </c>
    </row>
    <row r="14" customFormat="false" ht="66" hidden="false" customHeight="true" outlineLevel="0" collapsed="false">
      <c r="B14" s="29" t="s">
        <v>301</v>
      </c>
      <c r="C14" s="29" t="s">
        <v>302</v>
      </c>
      <c r="D14" s="30" t="s">
        <v>303</v>
      </c>
      <c r="E14" s="29" t="s">
        <v>304</v>
      </c>
      <c r="F14" s="29" t="s">
        <v>305</v>
      </c>
      <c r="G14" s="31" t="s">
        <v>306</v>
      </c>
      <c r="H14" s="29" t="s">
        <v>307</v>
      </c>
    </row>
    <row r="15" customFormat="false" ht="81" hidden="false" customHeight="true" outlineLevel="0" collapsed="false">
      <c r="B15" s="29" t="s">
        <v>308</v>
      </c>
      <c r="C15" s="29" t="s">
        <v>309</v>
      </c>
      <c r="D15" s="30" t="s">
        <v>310</v>
      </c>
      <c r="E15" s="29" t="s">
        <v>311</v>
      </c>
      <c r="F15" s="29" t="s">
        <v>312</v>
      </c>
      <c r="G15" s="31" t="s">
        <v>313</v>
      </c>
      <c r="H15" s="29" t="s">
        <v>314</v>
      </c>
    </row>
    <row r="17" customFormat="false" ht="15" hidden="false" customHeight="false" outlineLevel="0" collapsed="false">
      <c r="B17" s="28" t="s">
        <v>315</v>
      </c>
    </row>
  </sheetData>
  <hyperlinks>
    <hyperlink ref="G6" r:id="rId1" display="https://www.nist.gov/news-events/news/2024/08/nist-releases-first-3-finalized-post-quantum-encryption-standards"/>
    <hyperlink ref="G7" r:id="rId2" display="https://csrc.nist.gov/pubs/ir/8547/final"/>
    <hyperlink ref="G8" r:id="rId3" display="https://csrc.nist.gov/pubs/ir/8547/final"/>
    <hyperlink ref="G9" r:id="rId4" display="https://www.federalregister.gov/d/2026-12909"/>
    <hyperlink ref="G10" r:id="rId5" display="https://www.federalregister.gov/d/2026-12909"/>
    <hyperlink ref="G11" r:id="rId6" display="https://www.federalregister.gov/d/2026-12909"/>
    <hyperlink ref="G12" r:id="rId7" display="https://www.whitehouse.gov/wp-content/uploads/2026/06/M-26-15-Execution-of-the-Migration-to-Post-Quantum-Cryptography.pdf"/>
    <hyperlink ref="G13" r:id="rId8" display="https://www.whitehouse.gov/wp-content/uploads/2026/06/M-26-15-Execution-of-the-Migration-to-Post-Quantum-Cryptography.pdf"/>
    <hyperlink ref="G14" r:id="rId9" display="https://www.ncsc.gov.uk/guidance/pqc-migration-timelines"/>
    <hyperlink ref="G15" r:id="rId10" display="https://digital-strategy.ec.europa.eu/en/library/coordinated-implementation-roadmap-transition-post-quantum-cryptography"/>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70"/>
    <col collapsed="false" customWidth="true" hidden="false" outlineLevel="0" max="3" min="3" style="0" width="80"/>
  </cols>
  <sheetData>
    <row r="1" customFormat="false" ht="48" hidden="false" customHeight="true" outlineLevel="0" collapsed="false">
      <c r="B1" s="1" t="s">
        <v>316</v>
      </c>
    </row>
    <row r="2" customFormat="false" ht="18" hidden="false" customHeight="true" outlineLevel="0" collapsed="false">
      <c r="B2" s="2" t="s">
        <v>1</v>
      </c>
    </row>
    <row r="3" customFormat="false" ht="3.75" hidden="false" customHeight="true" outlineLevel="0" collapsed="false">
      <c r="A3" s="3"/>
      <c r="B3" s="3"/>
      <c r="C3" s="3"/>
    </row>
    <row r="5" customFormat="false" ht="15" hidden="false" customHeight="false" outlineLevel="0" collapsed="false">
      <c r="B5" s="6" t="s">
        <v>317</v>
      </c>
      <c r="C5" s="6" t="s">
        <v>318</v>
      </c>
    </row>
    <row r="6" customFormat="false" ht="30" hidden="false" customHeight="true" outlineLevel="0" collapsed="false">
      <c r="B6" s="32" t="s">
        <v>319</v>
      </c>
      <c r="C6" s="33" t="s">
        <v>260</v>
      </c>
    </row>
    <row r="7" customFormat="false" ht="30" hidden="false" customHeight="true" outlineLevel="0" collapsed="false">
      <c r="B7" s="32" t="s">
        <v>320</v>
      </c>
      <c r="C7" s="33" t="s">
        <v>321</v>
      </c>
    </row>
    <row r="8" customFormat="false" ht="30" hidden="false" customHeight="true" outlineLevel="0" collapsed="false">
      <c r="B8" s="32" t="s">
        <v>322</v>
      </c>
      <c r="C8" s="33" t="s">
        <v>323</v>
      </c>
    </row>
    <row r="9" customFormat="false" ht="30" hidden="false" customHeight="true" outlineLevel="0" collapsed="false">
      <c r="B9" s="32" t="s">
        <v>324</v>
      </c>
      <c r="C9" s="33" t="s">
        <v>325</v>
      </c>
    </row>
    <row r="10" customFormat="false" ht="43.5" hidden="false" customHeight="true" outlineLevel="0" collapsed="false">
      <c r="B10" s="32" t="s">
        <v>326</v>
      </c>
      <c r="C10" s="33" t="s">
        <v>266</v>
      </c>
    </row>
    <row r="11" customFormat="false" ht="30" hidden="false" customHeight="true" outlineLevel="0" collapsed="false">
      <c r="B11" s="32" t="s">
        <v>327</v>
      </c>
      <c r="C11" s="33" t="s">
        <v>278</v>
      </c>
    </row>
    <row r="12" customFormat="false" ht="30" hidden="false" customHeight="true" outlineLevel="0" collapsed="false">
      <c r="B12" s="32" t="s">
        <v>328</v>
      </c>
      <c r="C12" s="33" t="s">
        <v>329</v>
      </c>
    </row>
    <row r="13" customFormat="false" ht="30" hidden="false" customHeight="true" outlineLevel="0" collapsed="false">
      <c r="B13" s="32" t="s">
        <v>330</v>
      </c>
      <c r="C13" s="33" t="s">
        <v>294</v>
      </c>
    </row>
    <row r="14" customFormat="false" ht="30" hidden="false" customHeight="true" outlineLevel="0" collapsed="false">
      <c r="B14" s="32" t="s">
        <v>331</v>
      </c>
      <c r="C14" s="33" t="s">
        <v>332</v>
      </c>
    </row>
    <row r="15" customFormat="false" ht="30" hidden="false" customHeight="true" outlineLevel="0" collapsed="false">
      <c r="B15" s="32" t="s">
        <v>333</v>
      </c>
      <c r="C15" s="33" t="s">
        <v>306</v>
      </c>
    </row>
    <row r="16" customFormat="false" ht="30" hidden="false" customHeight="true" outlineLevel="0" collapsed="false">
      <c r="B16" s="32" t="s">
        <v>334</v>
      </c>
      <c r="C16" s="33" t="s">
        <v>313</v>
      </c>
    </row>
    <row r="17" customFormat="false" ht="30" hidden="false" customHeight="true" outlineLevel="0" collapsed="false">
      <c r="B17" s="32" t="s">
        <v>335</v>
      </c>
      <c r="C17" s="33" t="s">
        <v>336</v>
      </c>
    </row>
    <row r="18" customFormat="false" ht="43.5" hidden="false" customHeight="true" outlineLevel="0" collapsed="false">
      <c r="B18" s="32" t="s">
        <v>337</v>
      </c>
      <c r="C18" s="33" t="s">
        <v>338</v>
      </c>
    </row>
    <row r="20" customFormat="false" ht="15" hidden="false" customHeight="false" outlineLevel="0" collapsed="false">
      <c r="B20" s="28" t="s">
        <v>339</v>
      </c>
    </row>
    <row r="21" customFormat="false" ht="15" hidden="false" customHeight="false" outlineLevel="0" collapsed="false">
      <c r="B21" s="34" t="s">
        <v>340</v>
      </c>
    </row>
  </sheetData>
  <hyperlinks>
    <hyperlink ref="C6" r:id="rId1" display="https://www.nist.gov/news-events/news/2024/08/nist-releases-first-3-finalized-post-quantum-encryption-standards"/>
    <hyperlink ref="C7" r:id="rId2" display="https://csrc.nist.gov/pubs/fips/203/final"/>
    <hyperlink ref="C8" r:id="rId3" display="https://csrc.nist.gov/pubs/fips/204/final"/>
    <hyperlink ref="C9" r:id="rId4" display="https://csrc.nist.gov/pubs/fips/205/final"/>
    <hyperlink ref="C10" r:id="rId5" display="https://csrc.nist.gov/pubs/ir/8547/final"/>
    <hyperlink ref="C11" r:id="rId6" display="https://www.federalregister.gov/d/2026-12909"/>
    <hyperlink ref="C12" r:id="rId7" display="https://www.govinfo.gov/app/details/DCPD-202600417"/>
    <hyperlink ref="C13" r:id="rId8" display="https://www.whitehouse.gov/wp-content/uploads/2026/06/M-26-15-Execution-of-the-Migration-to-Post-Quantum-Cryptography.pdf"/>
    <hyperlink ref="C14" r:id="rId9" display="https://blog.cloudflare.com/post-quantum-eo-2026/"/>
    <hyperlink ref="C15" r:id="rId10" display="https://www.ncsc.gov.uk/guidance/pqc-migration-timelines"/>
    <hyperlink ref="C16" r:id="rId11" display="https://digital-strategy.ec.europa.eu/en/library/coordinated-implementation-roadmap-transition-post-quantum-cryptography"/>
    <hyperlink ref="C17" r:id="rId12" display="https://www.rfc-editor.org/rfc/rfc10024"/>
    <hyperlink ref="C18" r:id="rId13" display="https://eprint.iacr.org/2015/1075"/>
  </hyperlink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0" min="1" style="0" width="34"/>
  </cols>
  <sheetData>
    <row r="1" customFormat="false" ht="48" hidden="false" customHeight="true" outlineLevel="0" collapsed="false">
      <c r="B1" s="1" t="s">
        <v>341</v>
      </c>
    </row>
    <row r="2" customFormat="false" ht="18" hidden="false" customHeight="true" outlineLevel="0" collapsed="false">
      <c r="B2" s="2" t="s">
        <v>1</v>
      </c>
    </row>
    <row r="3" customFormat="false" ht="3.75" hidden="false" customHeight="true" outlineLevel="0" collapsed="false">
      <c r="A3" s="3"/>
      <c r="B3" s="3"/>
      <c r="C3" s="3"/>
      <c r="D3" s="3"/>
      <c r="E3" s="3"/>
      <c r="F3" s="3"/>
      <c r="G3" s="3"/>
      <c r="H3" s="3"/>
      <c r="I3" s="3"/>
      <c r="J3" s="3"/>
    </row>
    <row r="5" customFormat="false" ht="15" hidden="false" customHeight="false" outlineLevel="0" collapsed="false">
      <c r="A5" s="6" t="s">
        <v>342</v>
      </c>
      <c r="B5" s="6" t="s">
        <v>66</v>
      </c>
      <c r="C5" s="6" t="s">
        <v>343</v>
      </c>
      <c r="D5" s="6" t="s">
        <v>344</v>
      </c>
      <c r="E5" s="6" t="s">
        <v>345</v>
      </c>
      <c r="F5" s="6" t="s">
        <v>346</v>
      </c>
      <c r="G5" s="6" t="s">
        <v>347</v>
      </c>
      <c r="H5" s="6" t="s">
        <v>348</v>
      </c>
      <c r="I5" s="6" t="s">
        <v>349</v>
      </c>
      <c r="J5" s="6" t="s">
        <v>350</v>
      </c>
    </row>
    <row r="6" customFormat="false" ht="15" hidden="false" customHeight="false" outlineLevel="0" collapsed="false">
      <c r="A6" s="35" t="s">
        <v>95</v>
      </c>
      <c r="B6" s="35" t="s">
        <v>94</v>
      </c>
      <c r="C6" s="35" t="s">
        <v>351</v>
      </c>
      <c r="D6" s="35" t="s">
        <v>29</v>
      </c>
      <c r="E6" s="35" t="s">
        <v>97</v>
      </c>
      <c r="F6" s="35" t="s">
        <v>352</v>
      </c>
      <c r="G6" s="35" t="s">
        <v>353</v>
      </c>
      <c r="H6" s="35" t="s">
        <v>354</v>
      </c>
      <c r="I6" s="35" t="s">
        <v>352</v>
      </c>
      <c r="J6" s="35" t="s">
        <v>126</v>
      </c>
    </row>
    <row r="7" customFormat="false" ht="15" hidden="false" customHeight="false" outlineLevel="0" collapsed="false">
      <c r="A7" s="35" t="s">
        <v>202</v>
      </c>
      <c r="B7" s="35" t="s">
        <v>355</v>
      </c>
      <c r="C7" s="35" t="s">
        <v>96</v>
      </c>
      <c r="D7" s="35" t="s">
        <v>31</v>
      </c>
      <c r="E7" s="35" t="s">
        <v>356</v>
      </c>
      <c r="F7" s="35" t="s">
        <v>123</v>
      </c>
      <c r="G7" s="35" t="s">
        <v>357</v>
      </c>
      <c r="H7" s="35" t="s">
        <v>104</v>
      </c>
      <c r="I7" s="35" t="s">
        <v>123</v>
      </c>
      <c r="J7" s="35" t="s">
        <v>358</v>
      </c>
    </row>
    <row r="8" customFormat="false" ht="15" hidden="false" customHeight="false" outlineLevel="0" collapsed="false">
      <c r="B8" s="35" t="s">
        <v>359</v>
      </c>
      <c r="C8" s="35" t="s">
        <v>360</v>
      </c>
      <c r="D8" s="35" t="s">
        <v>33</v>
      </c>
      <c r="E8" s="35" t="s">
        <v>361</v>
      </c>
      <c r="F8" s="35" t="s">
        <v>101</v>
      </c>
      <c r="G8" s="35" t="s">
        <v>362</v>
      </c>
      <c r="H8" s="35" t="s">
        <v>363</v>
      </c>
      <c r="I8" s="35" t="s">
        <v>364</v>
      </c>
    </row>
    <row r="9" customFormat="false" ht="15" hidden="false" customHeight="false" outlineLevel="0" collapsed="false">
      <c r="B9" s="35" t="s">
        <v>365</v>
      </c>
      <c r="C9" s="35" t="s">
        <v>366</v>
      </c>
      <c r="D9" s="35" t="s">
        <v>35</v>
      </c>
      <c r="E9" s="35" t="s">
        <v>367</v>
      </c>
      <c r="F9" s="35" t="s">
        <v>368</v>
      </c>
      <c r="G9" s="35" t="s">
        <v>369</v>
      </c>
      <c r="H9" s="35" t="s">
        <v>370</v>
      </c>
      <c r="I9" s="35" t="s">
        <v>371</v>
      </c>
    </row>
    <row r="10" customFormat="false" ht="15" hidden="false" customHeight="false" outlineLevel="0" collapsed="false">
      <c r="B10" s="35" t="s">
        <v>372</v>
      </c>
      <c r="D10" s="35" t="s">
        <v>37</v>
      </c>
      <c r="E10" s="35" t="s">
        <v>373</v>
      </c>
      <c r="F10" s="35" t="s">
        <v>374</v>
      </c>
      <c r="G10" s="35" t="s">
        <v>375</v>
      </c>
      <c r="H10" s="35" t="s">
        <v>376</v>
      </c>
      <c r="I10" s="35" t="s">
        <v>243</v>
      </c>
    </row>
    <row r="11" customFormat="false" ht="15" hidden="false" customHeight="false" outlineLevel="0" collapsed="false">
      <c r="B11" s="35" t="s">
        <v>377</v>
      </c>
      <c r="D11" s="35" t="s">
        <v>39</v>
      </c>
      <c r="E11" s="35" t="s">
        <v>378</v>
      </c>
      <c r="F11" s="35" t="s">
        <v>379</v>
      </c>
      <c r="G11" s="35" t="s">
        <v>102</v>
      </c>
      <c r="H11" s="35" t="s">
        <v>380</v>
      </c>
    </row>
    <row r="12" customFormat="false" ht="15" hidden="false" customHeight="false" outlineLevel="0" collapsed="false">
      <c r="D12" s="35" t="s">
        <v>41</v>
      </c>
      <c r="F12" s="35" t="s">
        <v>381</v>
      </c>
      <c r="G12" s="35" t="s">
        <v>382</v>
      </c>
      <c r="H12" s="35" t="s">
        <v>383</v>
      </c>
    </row>
    <row r="13" customFormat="false" ht="15" hidden="false" customHeight="false" outlineLevel="0" collapsed="false">
      <c r="D13" s="35" t="s">
        <v>43</v>
      </c>
      <c r="G13" s="35" t="s">
        <v>384</v>
      </c>
      <c r="H13" s="35" t="s">
        <v>385</v>
      </c>
    </row>
    <row r="14" customFormat="false" ht="15" hidden="false" customHeight="false" outlineLevel="0" collapsed="false">
      <c r="D14" s="35" t="s">
        <v>45</v>
      </c>
      <c r="G14" s="35" t="s">
        <v>386</v>
      </c>
    </row>
    <row r="15" customFormat="false" ht="15" hidden="false" customHeight="false" outlineLevel="0" collapsed="false">
      <c r="D15" s="35" t="s">
        <v>47</v>
      </c>
      <c r="G15" s="35" t="s">
        <v>387</v>
      </c>
    </row>
    <row r="16" customFormat="false" ht="15" hidden="false" customHeight="false" outlineLevel="0" collapsed="false">
      <c r="D16" s="35" t="s">
        <v>49</v>
      </c>
      <c r="G16" s="35" t="s">
        <v>388</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2026-10-27T13:44:24Z</dcterms:created>
  <dc:creator>John Bommeraveni Joseph - GRC Made Simple</dc:creator>
  <dc:description/>
  <dc:language>en-CA</dc:language>
  <cp:lastModifiedBy/>
  <dcterms:modified xsi:type="dcterms:W3CDTF">2026-10-27T13:44:25Z</dcterms:modified>
  <cp:revision>0</cp:revision>
  <dc:subject/>
  <dc:title>Cryptographic Inventory &amp; PQC Migration Workbook</dc:title>
</cp:coreProperties>
</file>

<file path=docProps/custom.xml><?xml version="1.0" encoding="utf-8"?>
<Properties xmlns="http://schemas.openxmlformats.org/officeDocument/2006/custom-properties" xmlns:vt="http://schemas.openxmlformats.org/officeDocument/2006/docPropsVTypes"/>
</file>