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Applicability Screen" sheetId="3" state="visible" r:id="rId5"/>
    <sheet name="Checklist" sheetId="4" state="visible" r:id="rId6"/>
    <sheet name="Timeline" sheetId="5" state="visible" r:id="rId7"/>
    <sheet name="Penalties" sheetId="6" state="visible" r:id="rId8"/>
    <sheet name="Sources" sheetId="7" state="visible" r:id="rId9"/>
    <sheet name="Lists" sheetId="8" state="visible" r:id="rId10"/>
  </sheets>
  <definedNames>
    <definedName function="false" hidden="false" localSheetId="3" name="_xlnm.Print_Titles" vbProcedure="false">Checklist!$5:$5</definedName>
    <definedName function="false" hidden="true" localSheetId="3" name="_xlnm._FilterDatabase" vbProcedure="false">Checklist!$A$5:$R$119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<sst xmlns="http://schemas.openxmlformats.org/spreadsheetml/2006/main" count="900" uniqueCount="556">
  <si>
    <t xml:space="preserve">DPDP Act 2023 &amp; DPDP Rules 2025 - Readiness Checklist</t>
  </si>
  <si>
    <t xml:space="preserve">By John Bommeraveni Joseph  |  linkedin.com/in/john-bj  |  Free every weekday: GRC Made Simple Daily</t>
  </si>
  <si>
    <t xml:space="preserve">What this is</t>
  </si>
  <si>
    <t xml:space="preserve">A working checklist for India's Digital Personal Data Protection Act, 2023 and the Digital Personal Data Protection Rules, 2025 (notified 13 November 2025). Every row cites the section of the Act and/or rule it comes from, says who the duty falls on, and when it comes into force under the phased commencement. Built for privacy, GRC and security teams in India and for companies outside India that serve people in India.</t>
  </si>
  <si>
    <t xml:space="preserve">Important</t>
  </si>
  <si>
    <t xml:space="preserve">This template is not legal advice. It supports, and does not replace, the official text of the Act and Rules or advice from qualified counsel. Requirement summaries are in our own words; where wording matters, read the Gazette text linked on the Sources tab. Other Indian laws and sector rules (for example CERT-In directions or a sector regulator's requirements) may impose separate obligations and shorter timelines - they are not covered here. Penalty amounts are maximums from the Act's Schedule. Not affiliated with MeitY or the Data Protection Board.</t>
  </si>
  <si>
    <t xml:space="preserve">How to use it (about half a day for a first pass)</t>
  </si>
  <si>
    <t xml:space="preserve">1. Applicability Screen: answer the 13 questions. Your answers switch rows on or off in the Checklist ('Applies (from screen)' column).</t>
  </si>
  <si>
    <t xml:space="preserve">2. Timeline: check the date the phased deadlines are counted from. The default is the Gazette date, 13 November 2025. Change it only if your counsel advises a different reading - every 'In force from' date follows it.</t>
  </si>
  <si>
    <t xml:space="preserve">3. Checklist: for each row set Status, record where the evidence lives, name an owner, describe the gap, set a priority and a target date. Mark rows that do not apply 'Not applicable' and say why in the Gap column.</t>
  </si>
  <si>
    <t xml:space="preserve">4. Read the Flags column: it warns about rows your screen says do not apply, duties already in force, target dates later than the date the duty applies, High priority rows with no owner, and 'Done' rows with no evidence.</t>
  </si>
  <si>
    <t xml:space="preserve">5. Dashboard: readiness % by area, open High priority gaps, overdue items and days left to each deadline - the summary for your steering committee or board.</t>
  </si>
  <si>
    <t xml:space="preserve">6. Add your own controls in the blank rows at the bottom of the Checklist (pick an Area from the drop-down).</t>
  </si>
  <si>
    <t xml:space="preserve">Legend</t>
  </si>
  <si>
    <t xml:space="preserve">Yellow cell = your input.   Grey cell = calculated - do not type in it.   White cell = requirement text from the template.   Red text 'VERIFY' = the official texts do not settle the point - take advice before relying on it.   '(good practice)' in a reference = a practical step that supports a legal duty, not a separate legal duty.</t>
  </si>
  <si>
    <t xml:space="preserve">Rows NOT-01, BRE-05 and CGR-01 carry worked examples (italic) - overwrite or clear them. They show an in-progress row, an overdue High priority row with no owner, and a 'Done' row with no evidence.</t>
  </si>
  <si>
    <t xml:space="preserve">Who the duties fall on</t>
  </si>
  <si>
    <t xml:space="preserve">The Act places duties on the Data Fiduciary (who decides purpose and means), with extra duties for a Significant Data Fiduciary (once notified by the Central Government) and for Consent Managers (registered with the Board). It places no direct duties on a Data Processor: the Data Fiduciary remains responsible and passes duties on by contract. Data Principals have duties too (s.15).</t>
  </si>
  <si>
    <t xml:space="preserve">Version 1.0 - 27 October 2026. Texts checked against the official Gazette PDFs on 27 October 2026.   Free to use and share with this credit kept.</t>
  </si>
  <si>
    <t xml:space="preserve">DPDP Readiness Dashboard</t>
  </si>
  <si>
    <t xml:space="preserve">Headline</t>
  </si>
  <si>
    <t xml:space="preserve">Value</t>
  </si>
  <si>
    <t xml:space="preserve">Days until Phase 2 (Consent Managers)</t>
  </si>
  <si>
    <t xml:space="preserve">Days until Phase 3 (main obligations)</t>
  </si>
  <si>
    <t xml:space="preserve">Overall readiness (Done / in scope)</t>
  </si>
  <si>
    <t xml:space="preserve">Open High priority gaps</t>
  </si>
  <si>
    <t xml:space="preserve">Overdue items</t>
  </si>
  <si>
    <t xml:space="preserve">Rows with a target date after the duty applies</t>
  </si>
  <si>
    <t xml:space="preserve">Rows marked Done with no evidence location</t>
  </si>
  <si>
    <t xml:space="preserve">Rows your screen says are not triggered (not yet N/A)</t>
  </si>
  <si>
    <t xml:space="preserve">Area</t>
  </si>
  <si>
    <t xml:space="preserve">Requirements</t>
  </si>
  <si>
    <t xml:space="preserve">Not applicable</t>
  </si>
  <si>
    <t xml:space="preserve">In scope</t>
  </si>
  <si>
    <t xml:space="preserve">Done</t>
  </si>
  <si>
    <t xml:space="preserve">In progress</t>
  </si>
  <si>
    <t xml:space="preserve">Not started</t>
  </si>
  <si>
    <t xml:space="preserve">Readiness %</t>
  </si>
  <si>
    <t xml:space="preserve">Open High gaps</t>
  </si>
  <si>
    <t xml:space="preserve">Overdue</t>
  </si>
  <si>
    <t xml:space="preserve">Applicability and roles</t>
  </si>
  <si>
    <t xml:space="preserve">Notice</t>
  </si>
  <si>
    <t xml:space="preserve">Consent and withdrawal</t>
  </si>
  <si>
    <t xml:space="preserve">Legitimate uses</t>
  </si>
  <si>
    <t xml:space="preserve">Governance and data accuracy</t>
  </si>
  <si>
    <t xml:space="preserve">Security safeguards</t>
  </si>
  <si>
    <t xml:space="preserve">Breach intimation</t>
  </si>
  <si>
    <t xml:space="preserve">Retention and erasure</t>
  </si>
  <si>
    <t xml:space="preserve">Contact and grievance</t>
  </si>
  <si>
    <t xml:space="preserve">Data Processors and contracts</t>
  </si>
  <si>
    <t xml:space="preserve">Children and persons with disability</t>
  </si>
  <si>
    <t xml:space="preserve">Significant Data Fiduciary</t>
  </si>
  <si>
    <t xml:space="preserve">Data Principal rights</t>
  </si>
  <si>
    <t xml:space="preserve">Consent Managers</t>
  </si>
  <si>
    <t xml:space="preserve">Cross-border transfer</t>
  </si>
  <si>
    <t xml:space="preserve">Records and information requests</t>
  </si>
  <si>
    <t xml:space="preserve">Total</t>
  </si>
  <si>
    <t xml:space="preserve">First 10 open High priority gaps (in Checklist order)</t>
  </si>
  <si>
    <t xml:space="preserve">#</t>
  </si>
  <si>
    <t xml:space="preserve">ID</t>
  </si>
  <si>
    <t xml:space="preserve">Owner</t>
  </si>
  <si>
    <t xml:space="preserve">Target date</t>
  </si>
  <si>
    <t xml:space="preserve">Overdue?</t>
  </si>
  <si>
    <t xml:space="preserve">Red = needs action. Readiness % = Done / (requirements - Not applicable); blank status counts as Not started. The worked examples on NOT-01, BRE-05 and CGR-01 are counted until you clear them.</t>
  </si>
  <si>
    <t xml:space="preserve">Applicability Screen</t>
  </si>
  <si>
    <t xml:space="preserve">Overall result</t>
  </si>
  <si>
    <t xml:space="preserve">No.</t>
  </si>
  <si>
    <t xml:space="preserve">Question</t>
  </si>
  <si>
    <t xml:space="preserve">Reference</t>
  </si>
  <si>
    <t xml:space="preserve">Your answer</t>
  </si>
  <si>
    <t xml:space="preserve">What it means</t>
  </si>
  <si>
    <t xml:space="preserve">Key</t>
  </si>
  <si>
    <t xml:space="preserve">Do you process personal data in digital form in India - collected digitally, or collected on paper and digitised later?</t>
  </si>
  <si>
    <t xml:space="preserve">s.3(a)</t>
  </si>
  <si>
    <t xml:space="preserve">IN_INDIA</t>
  </si>
  <si>
    <t xml:space="preserve">Do you process digital personal data outside India in connection with offering goods or services to people in India?</t>
  </si>
  <si>
    <t xml:space="preserve">s.3(b)</t>
  </si>
  <si>
    <t xml:space="preserve">OUTSIDE</t>
  </si>
  <si>
    <t xml:space="preserve">Is ALL of your processing done by an individual for purely personal or domestic purposes?</t>
  </si>
  <si>
    <t xml:space="preserve">s.3(c)(i)</t>
  </si>
  <si>
    <t xml:space="preserve">DOMESTIC</t>
  </si>
  <si>
    <t xml:space="preserve">Do you decide, alone or with others, why and how personal data is processed (Data Fiduciary)?</t>
  </si>
  <si>
    <t xml:space="preserve">s.2(i)</t>
  </si>
  <si>
    <t xml:space="preserve">DF</t>
  </si>
  <si>
    <t xml:space="preserve">Do you process personal data on behalf of another organisation (Data Processor)?</t>
  </si>
  <si>
    <t xml:space="preserve">s.2(k), s.8(2)</t>
  </si>
  <si>
    <t xml:space="preserve">PROC</t>
  </si>
  <si>
    <t xml:space="preserve">Has the Central Government notified you, or a class you belong to, as a Significant Data Fiduciary?</t>
  </si>
  <si>
    <t xml:space="preserve">s.10(1)</t>
  </si>
  <si>
    <t xml:space="preserve">SDF</t>
  </si>
  <si>
    <t xml:space="preserve">Do you process personal data of children (individuals under 18)?</t>
  </si>
  <si>
    <t xml:space="preserve">s.2(f), s.9</t>
  </si>
  <si>
    <t xml:space="preserve">CHILD</t>
  </si>
  <si>
    <t xml:space="preserve">Do you process personal data of persons with disability who have a lawful guardian?</t>
  </si>
  <si>
    <t xml:space="preserve">s.9(1), r.11</t>
  </si>
  <si>
    <t xml:space="preserve">PWD</t>
  </si>
  <si>
    <t xml:space="preserve">Are you an e-commerce entity with 2 crore+ registered users in India, an online gaming intermediary with 50 lakh+, or a social media intermediary with 2 crore+?</t>
  </si>
  <si>
    <t xml:space="preserve">r.8(1), Third Schedule</t>
  </si>
  <si>
    <t xml:space="preserve">THIRD</t>
  </si>
  <si>
    <t xml:space="preserve">Do you transfer personal data outside India, including cloud hosting, offshore support or vendor access?</t>
  </si>
  <si>
    <t xml:space="preserve">s.16, r.15</t>
  </si>
  <si>
    <t xml:space="preserve">XB</t>
  </si>
  <si>
    <t xml:space="preserve">Do you operate, or plan to operate, as a Consent Manager registered with the Board?</t>
  </si>
  <si>
    <t xml:space="preserve">s.6(9), r.4</t>
  </si>
  <si>
    <t xml:space="preserve">CM</t>
  </si>
  <si>
    <t xml:space="preserve">Do you rely on an exemption under s.17 or a Government notification under s.17(3) or s.17(5)?</t>
  </si>
  <si>
    <t xml:space="preserve">s.17</t>
  </si>
  <si>
    <t xml:space="preserve">EXEMPT</t>
  </si>
  <si>
    <t xml:space="preserve">Are you the State or an instrumentality of the State processing for subsidies, benefits, services, certificates, licences or permits?</t>
  </si>
  <si>
    <t xml:space="preserve">s.7(b), r.5</t>
  </si>
  <si>
    <t xml:space="preserve">STATE</t>
  </si>
  <si>
    <t xml:space="preserve">'Not sure' counts as Yes for scope. The Key column links each answer to Checklist rows.</t>
  </si>
  <si>
    <t xml:space="preserve">DPDP Readiness Checklist</t>
  </si>
  <si>
    <t xml:space="preserve">Reference (Act s. / Rule r.)</t>
  </si>
  <si>
    <t xml:space="preserve">Requirement (our summary - read the official text)</t>
  </si>
  <si>
    <t xml:space="preserve">Applies to</t>
  </si>
  <si>
    <t xml:space="preserve">Phase</t>
  </si>
  <si>
    <t xml:space="preserve">In force from</t>
  </si>
  <si>
    <t xml:space="preserve">Screen key</t>
  </si>
  <si>
    <t xml:space="preserve">Applies (from screen)</t>
  </si>
  <si>
    <t xml:space="preserve">Status</t>
  </si>
  <si>
    <t xml:space="preserve">Evidence location</t>
  </si>
  <si>
    <t xml:space="preserve">Gap / notes</t>
  </si>
  <si>
    <t xml:space="preserve">Priority</t>
  </si>
  <si>
    <t xml:space="preserve">Flags</t>
  </si>
  <si>
    <t xml:space="preserve">Open High #</t>
  </si>
  <si>
    <t xml:space="preserve">APP-01</t>
  </si>
  <si>
    <t xml:space="preserve">s.3(a), s.3(b)</t>
  </si>
  <si>
    <t xml:space="preserve">Confirm and record whether the Act applies to you: digital personal data processed in India (collected digitally, or collected in non-digital form and digitised later), or processed outside India in connection with offering goods or services to Data Principals in India.</t>
  </si>
  <si>
    <t xml:space="preserve">Any person processing digital personal data</t>
  </si>
  <si>
    <t xml:space="preserve">ALL</t>
  </si>
  <si>
    <t xml:space="preserve">APP-02</t>
  </si>
  <si>
    <t xml:space="preserve">s.3(c)</t>
  </si>
  <si>
    <t xml:space="preserve">If you rely on an exclusion, record which and keep the evidence: processing by an individual for a personal or domestic purpose; or personal data made publicly available by the Data Principal herself, or by a person obliged under Indian law to publish it.</t>
  </si>
  <si>
    <t xml:space="preserve">APP-03</t>
  </si>
  <si>
    <t xml:space="preserve">s.2(i), s.2(k)</t>
  </si>
  <si>
    <t xml:space="preserve">For each processing activity, record your role: Data Fiduciary (you alone or with others decide the purpose and means) or Data Processor (you process on behalf of a Data Fiduciary).</t>
  </si>
  <si>
    <t xml:space="preserve">APP-04</t>
  </si>
  <si>
    <t xml:space="preserve">s.4(1), s.4(2)</t>
  </si>
  <si>
    <t xml:space="preserve">For each processing activity, record the ground relied on - consent, or one of the 'certain legitimate uses' in s.7 - and confirm the purpose is lawful (not expressly forbidden by law).</t>
  </si>
  <si>
    <t xml:space="preserve">Data Fiduciary</t>
  </si>
  <si>
    <t xml:space="preserve">APP-05</t>
  </si>
  <si>
    <t xml:space="preserve">s.17(1)</t>
  </si>
  <si>
    <t xml:space="preserve">If you rely on a s.17(1) exemption (enforcing a legal right or claim; judicial, quasi-judicial, regulatory or supervisory bodies; offences and contraventions; personal data of people outside India processed under a contract with a person outside India; court-approved mergers, demergers and similar schemes; financial information of a loan defaulter), document which one and why. Chapter II except s.8(1) and s.8(5), Chapter III and s.16 do not apply to that processing - accountability and security safeguards still do.</t>
  </si>
  <si>
    <t xml:space="preserve">APP-06</t>
  </si>
  <si>
    <t xml:space="preserve">s.17(2)(b), r.16, Second Schedule</t>
  </si>
  <si>
    <t xml:space="preserve">Processing necessary for research, archiving or statistical purposes falls outside the Act only if the data is not used to take a decision specific to a Data Principal and the processing follows the Second Schedule standards (lawful; limited to the purpose and to necessary data; reasonable efforts on accuracy; retention limited; reasonable security safeguards; accountability). Document conformance if you rely on it.</t>
  </si>
  <si>
    <t xml:space="preserve">APP-07</t>
  </si>
  <si>
    <t xml:space="preserve">s.17(3)</t>
  </si>
  <si>
    <t xml:space="preserve">Check whether the Central Government has notified you or your class (which may include startups) as a Data Fiduciary to whom s.5, s.8(3), s.8(7), s.10 and s.11 do not apply. Do not assume this exemption until a notification covers your class.</t>
  </si>
  <si>
    <t xml:space="preserve">APP-08</t>
  </si>
  <si>
    <t xml:space="preserve">Check whether the Central Government has notified you or your class as a Significant Data Fiduciary. Factors it may assess include volume and sensitivity of personal data, risk to Data Principals' rights, sovereignty and integrity of India, risk to electoral democracy, security of the State and public order. Monitor the Gazette.</t>
  </si>
  <si>
    <t xml:space="preserve">APP-09</t>
  </si>
  <si>
    <t xml:space="preserve">Check whether you are in a Third Schedule class: e-commerce entity with at least two crore registered users in India; online gaming intermediary with at least fifty lakh registered users in India; social media intermediary with at least two crore registered users in India. These classes have a fixed inactivity-based erasure rule (RET-03, RET-04).</t>
  </si>
  <si>
    <t xml:space="preserve">NOT-01</t>
  </si>
  <si>
    <t xml:space="preserve">s.5(1), r.3</t>
  </si>
  <si>
    <t xml:space="preserve">Give a notice with, or before, every request for consent.</t>
  </si>
  <si>
    <t xml:space="preserve">Example: Legal SharePoint &gt; DPDP &gt; Notices &gt; v0.3</t>
  </si>
  <si>
    <t xml:space="preserve">Head of Privacy</t>
  </si>
  <si>
    <t xml:space="preserve">Example: app sign-up flow asks for consent before showing the notice</t>
  </si>
  <si>
    <t xml:space="preserve">High</t>
  </si>
  <si>
    <t xml:space="preserve">NOT-02</t>
  </si>
  <si>
    <t xml:space="preserve">r.3(a)</t>
  </si>
  <si>
    <t xml:space="preserve">Make the notice understandable on its own - independently of any other information you have made, make or may make available (for example terms of service or a general privacy policy).</t>
  </si>
  <si>
    <t xml:space="preserve">NOT-03</t>
  </si>
  <si>
    <t xml:space="preserve">s.5(1)(i), r.3(b)</t>
  </si>
  <si>
    <t xml:space="preserve">In clear and plain language, give a fair account that lets the Data Principal give specific and informed consent. At the minimum: an itemised description of the personal data; and the specified purpose(s), with a specific description of the goods or services provided, or uses enabled, by the processing.</t>
  </si>
  <si>
    <t xml:space="preserve">NOT-04</t>
  </si>
  <si>
    <t xml:space="preserve">s.5(1)(ii)-(iii), r.3(c)</t>
  </si>
  <si>
    <t xml:space="preserve">Tell the Data Principal how to withdraw consent, exercise her rights under the Act and complain to the Board: give the particular link to your website or app (or both), and describe any other means available. Withdrawal must be comparable in ease to giving consent.</t>
  </si>
  <si>
    <t xml:space="preserve">NOT-05</t>
  </si>
  <si>
    <t xml:space="preserve">s.5(3)</t>
  </si>
  <si>
    <t xml:space="preserve">Give the Data Principal the option to access the notice in English or any language specified in the Eighth Schedule to the Constitution. Decide and document which languages you offer and why - take advice on this point.</t>
  </si>
  <si>
    <t xml:space="preserve">NOT-06</t>
  </si>
  <si>
    <t xml:space="preserve">s.5(2)</t>
  </si>
  <si>
    <t xml:space="preserve">Where consent was given before this provision commenced: as soon as reasonably practicable, give a notice of the personal data and purpose processed, how to withdraw consent and use the grievance route, and how to complain to the Board. You may continue processing until the Data Principal withdraws consent.</t>
  </si>
  <si>
    <t xml:space="preserve">CON-01</t>
  </si>
  <si>
    <t xml:space="preserve">s.6(1)</t>
  </si>
  <si>
    <t xml:space="preserve">Consent must be free, specific, informed, unconditional and unambiguous, given by a clear affirmative action, for the specified purpose, and limited to the personal data necessary for that purpose. (The Act's illustration: a telemedicine app's consent does not extend to the phone's contact list.)</t>
  </si>
  <si>
    <t xml:space="preserve">CON-02</t>
  </si>
  <si>
    <t xml:space="preserve">s.6(3)</t>
  </si>
  <si>
    <t xml:space="preserve">Present every consent request in clear and plain language, with the option to access it in English or any Eighth Schedule language, and include contact details of the Data Protection Officer (where applicable) or another person you authorise to respond to rights communications.</t>
  </si>
  <si>
    <t xml:space="preserve">CON-03</t>
  </si>
  <si>
    <t xml:space="preserve">s.6(2)</t>
  </si>
  <si>
    <t xml:space="preserve">Review consent wording: any part of a consent that infringes the Act, the Rules or any other law is invalid to that extent. (The Act's illustration: consent to waive the right to complain to the Board is invalid.)</t>
  </si>
  <si>
    <t xml:space="preserve">CON-04</t>
  </si>
  <si>
    <t xml:space="preserve">s.6(4), r.3(c)(i)</t>
  </si>
  <si>
    <t xml:space="preserve">Let Data Principals withdraw consent at any time, with ease comparable to the ease of giving it. Check this in every channel where consent is collected.</t>
  </si>
  <si>
    <t xml:space="preserve">CON-05</t>
  </si>
  <si>
    <t xml:space="preserve">s.6(5)</t>
  </si>
  <si>
    <t xml:space="preserve">Withdrawal does not affect the legality of processing done on consent before it; the consequences of withdrawal are borne by the Data Principal. (The Act's illustration: an e-commerce app may stop new orders but cannot stop processing for goods already ordered and paid for.)</t>
  </si>
  <si>
    <t xml:space="preserve">CON-06</t>
  </si>
  <si>
    <t xml:space="preserve">s.6(6)</t>
  </si>
  <si>
    <t xml:space="preserve">On withdrawal, within a reasonable time stop processing that Data Principal's personal data and make your Data Processors stop - unless processing without consent is required or authorised by the Act, the Rules or other Indian law.</t>
  </si>
  <si>
    <t xml:space="preserve">Data Fiduciary (flows to Data Processor via contract)</t>
  </si>
  <si>
    <t xml:space="preserve">CON-07</t>
  </si>
  <si>
    <t xml:space="preserve">s.6(10)</t>
  </si>
  <si>
    <t xml:space="preserve">Keep proof: where consent is the basis and it is questioned in a proceeding, you must prove that notice was given and consent was given in line with the Act and Rules. Keep the notice version shown and the consent record.</t>
  </si>
  <si>
    <t xml:space="preserve">CON-08</t>
  </si>
  <si>
    <t xml:space="preserve">s.6(7)</t>
  </si>
  <si>
    <t xml:space="preserve">Data Principals may give, manage, review or withdraw consent through a Consent Manager. Decide whether you will onboard onto Consent Manager platforms, and how consents and withdrawals received that way reach your systems.</t>
  </si>
  <si>
    <t xml:space="preserve">LU-01</t>
  </si>
  <si>
    <t xml:space="preserve">s.7(a)</t>
  </si>
  <si>
    <t xml:space="preserve">Voluntary provision: you may process data a Data Principal voluntarily gave for a specified purpose where she has not indicated she does not consent to its use. Stop when she indicates otherwise (the Act's illustration: a broker must stop once told help is no longer needed). Record which activities rely on this.</t>
  </si>
  <si>
    <t xml:space="preserve">LU-02</t>
  </si>
  <si>
    <t xml:space="preserve">s.7(i)</t>
  </si>
  <si>
    <t xml:space="preserve">Employment: processing for employment purposes, or to safeguard the employer from loss or liability (such as preventing corporate espionage or protecting trade secrets, intellectual property or classified information), or to provide a service or benefit an employee has sought. Map HR processing to this use.</t>
  </si>
  <si>
    <t xml:space="preserve">LU-03</t>
  </si>
  <si>
    <t xml:space="preserve">s.7(d), s.7(e)</t>
  </si>
  <si>
    <t xml:space="preserve">Legal obligations: processing to fulfil an obligation under Indian law to disclose information to the State or its instrumentalities (in line with that law), or to comply with a judgment, decree or order under Indian law, or a judgment or order on contractual or civil claims under law outside India.</t>
  </si>
  <si>
    <t xml:space="preserve">LU-04</t>
  </si>
  <si>
    <t xml:space="preserve">s.7(f), s.7(g), s.7(h)</t>
  </si>
  <si>
    <t xml:space="preserve">Emergencies: responding to a medical emergency involving a threat to life or immediate threat to health; medical treatment or health services during an epidemic, outbreak or other threat to public health; safety or assistance during a disaster or breakdown of public order.</t>
  </si>
  <si>
    <t xml:space="preserve">LU-05</t>
  </si>
  <si>
    <t xml:space="preserve">s.7(b), s.7(c), r.5, Second Schedule</t>
  </si>
  <si>
    <t xml:space="preserve">State and its instrumentalities: providing or issuing a subsidy, benefit, service, certificate, licence or permit (under law, policy or using public funds) where the person previously consented or the data is in a notified government database - following the Second Schedule standards, including intimating the Data Principal with a contact person and a link to exercise her rights; and performing functions under law or in the interest of sovereignty, integrity or security of the State.</t>
  </si>
  <si>
    <t xml:space="preserve">State and its instrumentalities</t>
  </si>
  <si>
    <t xml:space="preserve">GOV-01</t>
  </si>
  <si>
    <t xml:space="preserve">s.8(1)</t>
  </si>
  <si>
    <t xml:space="preserve">You remain responsible for complying with the Act and Rules for all processing by you or on your behalf by a Data Processor - whatever any agreement says, and even if a Data Principal fails to perform her duties. Name an accountable owner.</t>
  </si>
  <si>
    <t xml:space="preserve">GOV-02</t>
  </si>
  <si>
    <t xml:space="preserve">s.8(4)</t>
  </si>
  <si>
    <t xml:space="preserve">Implement appropriate technical and organisational measures to ensure effective observance of the Act and Rules (for example policies, named roles, training and periodic checks - the choice of measures is yours).</t>
  </si>
  <si>
    <t xml:space="preserve">GOV-03</t>
  </si>
  <si>
    <t xml:space="preserve">s.8(3)</t>
  </si>
  <si>
    <t xml:space="preserve">Ensure completeness, accuracy and consistency of personal data that is likely to be used to make a decision affecting the Data Principal, or disclosed to another Data Fiduciary.</t>
  </si>
  <si>
    <t xml:space="preserve">GOV-04</t>
  </si>
  <si>
    <t xml:space="preserve">s.33, Schedule</t>
  </si>
  <si>
    <t xml:space="preserve">Brief leadership on penalty exposure: after an inquiry the Board may impose a monetary penalty up to the Schedule amount where it finds a breach significant, weighing the s.33(2) factors. See the Penalties tab.</t>
  </si>
  <si>
    <t xml:space="preserve">SEC-01</t>
  </si>
  <si>
    <t xml:space="preserve">s.8(5), r.6(1)</t>
  </si>
  <si>
    <t xml:space="preserve">Protect personal data in your possession or under your control - including processing by your Data Processors - with reasonable security safeguards to prevent personal data breach. The Rules set the minimum (SEC-02 to SEC-07 and PRC-02).</t>
  </si>
  <si>
    <t xml:space="preserve">SEC-02</t>
  </si>
  <si>
    <t xml:space="preserve">r.6(1)(a)</t>
  </si>
  <si>
    <t xml:space="preserve">Appropriate data security measures, such as encryption, obfuscation, masking or virtual tokens mapped to the personal data.</t>
  </si>
  <si>
    <t xml:space="preserve">SEC-03</t>
  </si>
  <si>
    <t xml:space="preserve">r.6(1)(b)</t>
  </si>
  <si>
    <t xml:space="preserve">Appropriate measures to control access to the computer resources used by you and, where applicable, by your Data Processors.</t>
  </si>
  <si>
    <t xml:space="preserve">SEC-04</t>
  </si>
  <si>
    <t xml:space="preserve">r.6(1)(c)</t>
  </si>
  <si>
    <t xml:space="preserve">Visibility of access to personal data through appropriate logs, monitoring and review, so unauthorised access can be detected, investigated and remediated to prevent recurrence.</t>
  </si>
  <si>
    <t xml:space="preserve">SEC-05</t>
  </si>
  <si>
    <t xml:space="preserve">r.6(1)(d)</t>
  </si>
  <si>
    <t xml:space="preserve">Reasonable measures for continued processing if confidentiality, integrity or availability is compromised (for example through destruction or loss of access), such as data backups.</t>
  </si>
  <si>
    <t xml:space="preserve">SEC-06</t>
  </si>
  <si>
    <t xml:space="preserve">r.6(1)(e)</t>
  </si>
  <si>
    <t xml:space="preserve">Retain those logs and the personal data for one year, for detection, investigation, remediation and continued processing - unless another law in force requires otherwise.</t>
  </si>
  <si>
    <t xml:space="preserve">SEC-07</t>
  </si>
  <si>
    <t xml:space="preserve">r.6(1)(g)</t>
  </si>
  <si>
    <t xml:space="preserve">Appropriate technical and organisational measures to ensure the security safeguards are effectively observed.</t>
  </si>
  <si>
    <t xml:space="preserve">BRE-01</t>
  </si>
  <si>
    <t xml:space="preserve">s.2(u), s.8(6)</t>
  </si>
  <si>
    <t xml:space="preserve">Make your incident process recognise a 'personal data breach' as defined: any unauthorised processing, or accidental disclosure, acquisition, sharing, use, alteration, destruction or loss of access to personal data, that compromises its confidentiality, integrity or availability. s.8(6) attaches intimation to every personal data breach; the text sets no harm threshold.</t>
  </si>
  <si>
    <t xml:space="preserve">BRE-02</t>
  </si>
  <si>
    <t xml:space="preserve">s.8(6), r.7(1)</t>
  </si>
  <si>
    <t xml:space="preserve">Intimate each affected Data Principal without delay, to the best of your knowledge, in a concise, clear and plain manner, through her user account or any mode of communication she registered with you.</t>
  </si>
  <si>
    <t xml:space="preserve">BRE-03</t>
  </si>
  <si>
    <t xml:space="preserve">r.7(1)(a)-(e)</t>
  </si>
  <si>
    <t xml:space="preserve">The intimation to each Data Principal must cover: a description of the breach (nature, extent, timing); the consequences relevant to her that are likely to arise; mitigation measures implemented and being implemented, if any; safety measures she may take; and business contact information of a person able to respond to her queries. Prepare a template.</t>
  </si>
  <si>
    <t xml:space="preserve">BRE-04</t>
  </si>
  <si>
    <t xml:space="preserve">s.8(6), r.7(2)(a)</t>
  </si>
  <si>
    <t xml:space="preserve">Intimate the Board without delay with a description of the breach, including its nature, extent, timing and location of occurrence, and the likely impact.</t>
  </si>
  <si>
    <t xml:space="preserve">BRE-05</t>
  </si>
  <si>
    <t xml:space="preserve">r.7(2)(b)</t>
  </si>
  <si>
    <t xml:space="preserve">Within 72 hours of becoming aware (or a longer period the Board allows on a written request), give the Board: updated and detailed information on the description; the broad facts on the events, circumstances and reasons leading to the breach; mitigation measures implemented or proposed; any findings about the person who caused it; remedial measures to prevent recurrence; and a report on the intimations given to affected Data Principals.</t>
  </si>
  <si>
    <t xml:space="preserve">Example: incident runbook has no 72-hour Board report step</t>
  </si>
  <si>
    <t xml:space="preserve">BRE-06</t>
  </si>
  <si>
    <t xml:space="preserve">r.7 (good practice)</t>
  </si>
  <si>
    <t xml:space="preserve">Keep a breach log with the time you became aware, decisions taken and evidence of each intimation, so you can show the 72-hour report and Data Principal intimations were made. (Good practice supporting r.7 - not a separate legal duty.)</t>
  </si>
  <si>
    <t xml:space="preserve">RET-01</t>
  </si>
  <si>
    <t xml:space="preserve">s.8(7)(a)</t>
  </si>
  <si>
    <t xml:space="preserve">Erase personal data when the Data Principal withdraws consent or as soon as it is reasonable to assume the specified purpose is no longer served - whichever is earlier - unless retention is necessary to comply with a law in force (the Act's illustration: a bank keeping identity records for the period banking law requires).</t>
  </si>
  <si>
    <t xml:space="preserve">RET-02</t>
  </si>
  <si>
    <t xml:space="preserve">s.8(7)(b)</t>
  </si>
  <si>
    <t xml:space="preserve">Make your Data Processor erase any personal data you made available to it for processing (same triggers and exception as RET-01).</t>
  </si>
  <si>
    <t xml:space="preserve">RET-03</t>
  </si>
  <si>
    <t xml:space="preserve">s.8(8), r.8(1), Third Schedule</t>
  </si>
  <si>
    <t xml:space="preserve">Third Schedule classes: erase personal data if the Data Principal has neither approached you for the specified purpose nor exercised her rights for three years from her last approach or exercise, or from the commencement of the Rules, whichever is latest - unless law requires retention. Excluded purposes: enabling access to her user account, and to virtual tokens issued by you, stored on your platform and usable for money, goods or services. The Rules commence in phases - confirm with counsel which date 'commencement' means here.</t>
  </si>
  <si>
    <t xml:space="preserve">RET-04</t>
  </si>
  <si>
    <t xml:space="preserve">r.8(2)</t>
  </si>
  <si>
    <t xml:space="preserve">Third Schedule classes: at least 48 hours before erasure under r.8, inform the Data Principal that her data will be erased unless she logs into her user account, otherwise contacts you for the specified purpose, or exercises her rights.</t>
  </si>
  <si>
    <t xml:space="preserve">RET-05</t>
  </si>
  <si>
    <t xml:space="preserve">r.8(3), Seventh Schedule</t>
  </si>
  <si>
    <t xml:space="preserve">Retain personal data, associated traffic data and other logs of processing (by you or your Data Processors) for at least one year from the date of processing, for the Seventh Schedule purposes; then erase them unless further retention is required by another law or notified by the Government. (The Rules' illustration: this applies even if the user deletes her account.)</t>
  </si>
  <si>
    <t xml:space="preserve">RET-06</t>
  </si>
  <si>
    <t xml:space="preserve">s.8(7), r.6(1)(e), r.8(3) (good practice)</t>
  </si>
  <si>
    <t xml:space="preserve">Keep one retention schedule per data category that reconciles erasure (s.8(7)), the one-year minimums (r.6(1)(e), r.8(3)) and retention periods set by other laws. (Good practice - not a separate legal duty.)</t>
  </si>
  <si>
    <t xml:space="preserve">CGR-01</t>
  </si>
  <si>
    <t xml:space="preserve">s.8(9), r.9</t>
  </si>
  <si>
    <t xml:space="preserve">Prominently publish on your website or app the business contact information of your Data Protection Officer (if applicable) or a person able to answer, on your behalf, Data Principals' questions about processing of their personal data.</t>
  </si>
  <si>
    <t xml:space="preserve">Customer Care Lead</t>
  </si>
  <si>
    <t xml:space="preserve">Medium</t>
  </si>
  <si>
    <t xml:space="preserve">CGR-02</t>
  </si>
  <si>
    <t xml:space="preserve">r.9</t>
  </si>
  <si>
    <t xml:space="preserve">Mention that same contact information in every response to a communication by which a Data Principal exercises her rights under the Act.</t>
  </si>
  <si>
    <t xml:space="preserve">CGR-03</t>
  </si>
  <si>
    <t xml:space="preserve">s.8(10), s.13(1)</t>
  </si>
  <si>
    <t xml:space="preserve">Establish an effective grievance redressal mechanism: Data Principals must have readily available means to raise grievances about your acts or omissions on your obligations or on the exercise of their rights.</t>
  </si>
  <si>
    <t xml:space="preserve">Data Fiduciary and Consent Manager</t>
  </si>
  <si>
    <t xml:space="preserve">CGR-04</t>
  </si>
  <si>
    <t xml:space="preserve">s.13(2), r.14(3)</t>
  </si>
  <si>
    <t xml:space="preserve">Prominently publish on your website or app the period within which you will respond to grievances - a reasonable period not exceeding ninety days - and implement technical and organisational measures so responses are made within it.</t>
  </si>
  <si>
    <t xml:space="preserve">CGR-05</t>
  </si>
  <si>
    <t xml:space="preserve">s.13(3)</t>
  </si>
  <si>
    <t xml:space="preserve">Data Principals must exhaust your grievance route before approaching the Board, so your grievance records are likely to be the first evidence in a complaint. Keep each grievance, response and date.</t>
  </si>
  <si>
    <t xml:space="preserve">PRC-01</t>
  </si>
  <si>
    <t xml:space="preserve">s.8(2)</t>
  </si>
  <si>
    <t xml:space="preserve">Engage, appoint, use or involve a Data Processor for any activity related to offering goods or services to Data Principals only under a valid contract. Keep an inventory of processors and contracts.</t>
  </si>
  <si>
    <t xml:space="preserve">PRC-02</t>
  </si>
  <si>
    <t xml:space="preserve">r.6(1)(f)</t>
  </si>
  <si>
    <t xml:space="preserve">Each Data Processor contract contains an appropriate provision for taking reasonable security safeguards.</t>
  </si>
  <si>
    <t xml:space="preserve">PRC-03</t>
  </si>
  <si>
    <t xml:space="preserve">s.6(6), s.8(7)(b)</t>
  </si>
  <si>
    <t xml:space="preserve">Contracts let you make processors stop processing when consent is withdrawn and erase personal data you made available to them.</t>
  </si>
  <si>
    <t xml:space="preserve">PRC-04</t>
  </si>
  <si>
    <t xml:space="preserve">r.6(1)(b)-(c), r.8(3)</t>
  </si>
  <si>
    <t xml:space="preserve">Contracts or oversight cover processor access control and logging, and retention of personal data and processing logs for at least one year (the Rules' illustration: a Data Fiduciary must ensure its cloud provider also retains data and logs for one year).</t>
  </si>
  <si>
    <t xml:space="preserve">PRC-05</t>
  </si>
  <si>
    <t xml:space="preserve">s.8(1), s.8(5) (good practice)</t>
  </si>
  <si>
    <t xml:space="preserve">Because you stay responsible for processing done on your behalf, set due diligence before onboarding and periodic oversight of processors. (Good practice to evidence s.8(1) and s.8(5).)</t>
  </si>
  <si>
    <t xml:space="preserve">PRC-06</t>
  </si>
  <si>
    <t xml:space="preserve">s.8(1)-(2), s.8(5)-(7), r.6, r.7, r.8(3)</t>
  </si>
  <si>
    <t xml:space="preserve">If you are a Data Processor: the Act places these duties on the Data Fiduciary, which will pass them to you by contract - security safeguards, stopping and erasing on instruction, one-year log retention, and prompt notice of breaches so it can meet r.7. Prepare a standard position or addendum.</t>
  </si>
  <si>
    <t xml:space="preserve">Data Processor (via contract)</t>
  </si>
  <si>
    <t xml:space="preserve">CHD-01</t>
  </si>
  <si>
    <t xml:space="preserve">s.2(f), Fourth Schedule Part B item 6</t>
  </si>
  <si>
    <t xml:space="preserve">A child is an individual who has not completed 18 years. Decide how you determine whether a user is a child. Processing to confirm that a Data Principal is not a child, and for r.10 due diligence, is a listed purpose exempt from s.9(1) and s.9(3) - restricted to the extent necessary.</t>
  </si>
  <si>
    <t xml:space="preserve">CHD-02</t>
  </si>
  <si>
    <t xml:space="preserve">s.9(1), r.10(1)</t>
  </si>
  <si>
    <t xml:space="preserve">Before processing any personal data of a child, obtain verifiable consent of the parent, using appropriate technical and organisational measures.</t>
  </si>
  <si>
    <t xml:space="preserve">CHD-03</t>
  </si>
  <si>
    <t xml:space="preserve">r.10(1)(a)-(b), r.10(2)</t>
  </si>
  <si>
    <t xml:space="preserve">Due diligence on the parent: check that the person identifying as parent is an adult (18 or over) who is identifiable if required under Indian law, by reference to reliable identity and age details you already hold, or details voluntarily provided by the individual or through a virtual token issued by an authorised entity (which includes details made available through a Digital Locker service provider).</t>
  </si>
  <si>
    <t xml:space="preserve">CHD-04</t>
  </si>
  <si>
    <t xml:space="preserve">s.9(2)</t>
  </si>
  <si>
    <t xml:space="preserve">Do not undertake processing of a child's personal data that is likely to cause any detrimental effect on the child's well-being.</t>
  </si>
  <si>
    <t xml:space="preserve">CHD-05</t>
  </si>
  <si>
    <t xml:space="preserve">s.9(3)</t>
  </si>
  <si>
    <t xml:space="preserve">Do not undertake tracking or behavioural monitoring of children, or targeted advertising directed at children - unless a Fourth Schedule exemption applies (CHD-06).</t>
  </si>
  <si>
    <t xml:space="preserve">CHD-06</t>
  </si>
  <si>
    <t xml:space="preserve">s.9(4), r.12, Fourth Schedule</t>
  </si>
  <si>
    <t xml:space="preserve">If you rely on a Fourth Schedule exemption from s.9(1) and s.9(3), record the class (Part A: clinical or mental health establishment or healthcare professional; allied healthcare professional; educational institution; carer at a creche or child day-care centre; transport provider engaged by such an institution) or purpose (Part B: functions under law in a child's interest; State benefits under s.7(b); email-only account creation; real-time location for safety; keeping harmful information, services or ads from the child; confirming a user is not a child), and show you meet its condition.</t>
  </si>
  <si>
    <t xml:space="preserve">CHD-07</t>
  </si>
  <si>
    <t xml:space="preserve">Person with disability who has a lawful guardian: obtain verifiable consent of the guardian, and verify the guardian was appointed by a court, a designated authority or a local level committee under the applicable guardianship law (Rights of Persons with Disabilities Act, 2016 or the National Trust Act, 1999).</t>
  </si>
  <si>
    <t xml:space="preserve">SDF-01</t>
  </si>
  <si>
    <t xml:space="preserve">s.10(2)(a)</t>
  </si>
  <si>
    <t xml:space="preserve">Appoint a Data Protection Officer who represents you under the Act, is based in India, is an individual responsible to your Board of Directors or similar governing body, and is the point of contact for the grievance redressal mechanism.</t>
  </si>
  <si>
    <t xml:space="preserve">SDF-02</t>
  </si>
  <si>
    <t xml:space="preserve">s.10(2)(b)</t>
  </si>
  <si>
    <t xml:space="preserve">Appoint an independent data auditor to carry out a data audit evaluating your compliance with the Act.</t>
  </si>
  <si>
    <t xml:space="preserve">SDF-03</t>
  </si>
  <si>
    <t xml:space="preserve">s.10(2)(c)(i), r.13(1)</t>
  </si>
  <si>
    <t xml:space="preserve">Carry out a Data Protection Impact Assessment - describing Data Principals' rights and the purpose of processing, and assessing and managing the risk to their rights - once in every twelve months from the date you were notified as a Significant Data Fiduciary (or included in a notified class).</t>
  </si>
  <si>
    <t xml:space="preserve">SDF-04</t>
  </si>
  <si>
    <t xml:space="preserve">s.10(2)(c)(ii), r.13(1)</t>
  </si>
  <si>
    <t xml:space="preserve">Carry out an audit once in every twelve months from the same date, to ensure effective observance of the Act and Rules.</t>
  </si>
  <si>
    <t xml:space="preserve">SDF-05</t>
  </si>
  <si>
    <t xml:space="preserve">r.13(2)</t>
  </si>
  <si>
    <t xml:space="preserve">Make the person who carried out the DPIA and the audit furnish the Board a report containing the significant observations.</t>
  </si>
  <si>
    <t xml:space="preserve">SDF-06</t>
  </si>
  <si>
    <t xml:space="preserve">r.13(3)</t>
  </si>
  <si>
    <t xml:space="preserve">Observe due diligence to verify that technical measures, including algorithmic software, used for hosting, display, uploading, modification, publishing, transmission, storage, updating or sharing of personal data are not likely to pose a risk to Data Principals' rights.</t>
  </si>
  <si>
    <t xml:space="preserve">SDF-07</t>
  </si>
  <si>
    <t xml:space="preserve">r.13(4)-(5)</t>
  </si>
  <si>
    <t xml:space="preserve">Ensure personal data specified by the Central Government (on the recommendation of a committee it constitutes), and the traffic data about its flow, is not transferred outside India. Watch for the specification.</t>
  </si>
  <si>
    <t xml:space="preserve">RTS-01</t>
  </si>
  <si>
    <t xml:space="preserve">r.14(1)-(2)</t>
  </si>
  <si>
    <t xml:space="preserve">Prominently publish on your website or app the means by which a Data Principal can request to exercise her rights, and the particulars (such as username or an identifier you issued) needed to identify her under your terms of service.</t>
  </si>
  <si>
    <t xml:space="preserve">RTS-02</t>
  </si>
  <si>
    <t xml:space="preserve">s.11(1)(a)</t>
  </si>
  <si>
    <t xml:space="preserve">Access: on request from a Data Principal who gave consent (including voluntary provision under s.7(a)), provide a summary of her personal data being processed and the processing activities undertaken on it.</t>
  </si>
  <si>
    <t xml:space="preserve">RTS-03</t>
  </si>
  <si>
    <t xml:space="preserve">s.11(1)(b), s.11(2)</t>
  </si>
  <si>
    <t xml:space="preserve">Access: provide the identities of all other Data Fiduciaries and Data Processors with whom her data was shared, with a description of the data shared - except sharing with a Data Fiduciary authorised by law, on its written request, for preventing, detecting or investigating offences or cyber incidents, or prosecution or punishment. Keep a sharing register to answer this.</t>
  </si>
  <si>
    <t xml:space="preserve">RTS-04</t>
  </si>
  <si>
    <t xml:space="preserve">s.12(1)-(2)</t>
  </si>
  <si>
    <t xml:space="preserve">Correction: on request, correct inaccurate or misleading personal data, complete incomplete data and update data (in line with any requirement or procedure under other law).</t>
  </si>
  <si>
    <t xml:space="preserve">RTS-05</t>
  </si>
  <si>
    <t xml:space="preserve">s.12(3)</t>
  </si>
  <si>
    <t xml:space="preserve">Erasure: on request, erase her personal data unless retaining it is necessary for the specified purpose or to comply with a law in force.</t>
  </si>
  <si>
    <t xml:space="preserve">RTS-06</t>
  </si>
  <si>
    <t xml:space="preserve">s.14, r.14(4)</t>
  </si>
  <si>
    <t xml:space="preserve">Nomination: enable a Data Principal to nominate one or more individuals to exercise her rights in the event of her death or incapacity (inability due to unsoundness of mind or infirmity of body), using the means and particulars you require under your terms of service and applicable law.</t>
  </si>
  <si>
    <t xml:space="preserve">RTS-07</t>
  </si>
  <si>
    <t xml:space="preserve">s.15 (good practice)</t>
  </si>
  <si>
    <t xml:space="preserve">Data Principals must not impersonate others and must give only verifiably authentic information when seeking correction or erasure. Design identity checks proportionate to each request type. (Good practice - s.15 duties fall on the Data Principal.)</t>
  </si>
  <si>
    <t xml:space="preserve">RTS-08</t>
  </si>
  <si>
    <t xml:space="preserve">r.14(3); PIB release 14 Nov 2025</t>
  </si>
  <si>
    <t xml:space="preserve">VERIFY: The Rules text ties the 90-day ceiling to grievance responses (r.14(3)) and sets no separate deadline for access, correction or erasure requests. MeitY's press release describes a 90-day maximum for 'all such requests'. Take advice; set, publish and track an internal response time no longer than 90 days.</t>
  </si>
  <si>
    <t xml:space="preserve">CM-01</t>
  </si>
  <si>
    <t xml:space="preserve">s.6(9), r.4(1)-(2)</t>
  </si>
  <si>
    <t xml:space="preserve">Register with the Board before operating as a Consent Manager, applying with the particulars and documents the Board publishes on its website. The Board may inquire, then register you (and publish your particulars) or reject with reasons.</t>
  </si>
  <si>
    <t xml:space="preserve">Consent Manager</t>
  </si>
  <si>
    <t xml:space="preserve">CM-02</t>
  </si>
  <si>
    <t xml:space="preserve">r.4(1), First Schedule Part A items 1-6, 8</t>
  </si>
  <si>
    <t xml:space="preserve">Eligibility: company incorporated in India; sufficient technical, operational and financial capacity; sound financial condition and general character of management; net worth of not less than two crore rupees; adequate business volume, capital structure and earning prospects; directors, key managerial personnel and senior management of fairness and integrity; operations in the interests of Data Principals.</t>
  </si>
  <si>
    <t xml:space="preserve">CM-03</t>
  </si>
  <si>
    <t xml:space="preserve">First Schedule Part A items 7, 9</t>
  </si>
  <si>
    <t xml:space="preserve">Memorandum and articles require adherence to the conflict-of-interest obligations (Part B items 9-10), with policies to ensure it, amendable only with the Board's prior approval. Independent certification that your interoperable consent platform meets the data protection standards and assurance framework the Board publishes, and that measures ensure it and the Part B item 11 disclosures.</t>
  </si>
  <si>
    <t xml:space="preserve">CM-04</t>
  </si>
  <si>
    <t xml:space="preserve">s.6(8), r.4(3), First Schedule Part B items 1, 2, 5, 8</t>
  </si>
  <si>
    <t xml:space="preserve">Enable consent to an onboarded Data Fiduciary directly or through another onboarded Data Fiduciary; make data available or shared so its contents are not readable by you; run a website or app as the primary means of access; act in a fiduciary capacity towards the Data Principal.</t>
  </si>
  <si>
    <t xml:space="preserve">CM-05</t>
  </si>
  <si>
    <t xml:space="preserve">First Schedule Part B items 3-4</t>
  </si>
  <si>
    <t xml:space="preserve">Record consents given, denied or withdrawn, the notices preceding or accompanying consent requests, and sharing with a transferee Data Fiduciary. Give the Data Principal access, provide it in machine-readable form on request, and keep it for at least seven years (or longer if agreed or required by law).</t>
  </si>
  <si>
    <t xml:space="preserve">CM-06</t>
  </si>
  <si>
    <t xml:space="preserve">First Schedule Part B items 6-7</t>
  </si>
  <si>
    <t xml:space="preserve">Do not sub-contract or assign performance of any of your obligations under the Act and Rules. Take reasonable security safeguards to prevent personal data breach.</t>
  </si>
  <si>
    <t xml:space="preserve">CM-07</t>
  </si>
  <si>
    <t xml:space="preserve">First Schedule Part B items 9-11, 13</t>
  </si>
  <si>
    <t xml:space="preserve">Avoid conflicts of interest with Data Fiduciaries (including their promoters and key managerial personnel) and with your own directors' and managers' interests in them. Publish your promoters, directors, key managerial personnel, senior management, shareholders above two per cent, and bodies corporate where those persons hold above two per cent. No transfer of control without the Board's prior approval.</t>
  </si>
  <si>
    <t xml:space="preserve">CM-08</t>
  </si>
  <si>
    <t xml:space="preserve">First Schedule Part B item 12</t>
  </si>
  <si>
    <t xml:space="preserve">Run effective audit mechanisms covering technical and organisational controls, continued fulfilment of registration conditions and adherence to obligations, and report the outcome to the Board periodically and when it directs.</t>
  </si>
  <si>
    <t xml:space="preserve">CM-09</t>
  </si>
  <si>
    <t xml:space="preserve">r.4(4)-(6)</t>
  </si>
  <si>
    <t xml:space="preserve">Prepare to respond to the Board: it may direct measures for non-adherence, suspend or cancel registration (after a hearing), give directions, and call for information.</t>
  </si>
  <si>
    <t xml:space="preserve">XB-01</t>
  </si>
  <si>
    <t xml:space="preserve">s.16(1)</t>
  </si>
  <si>
    <t xml:space="preserve">Keep a register of countries and territories to which personal data is transferred for processing (including cloud regions and offshore support access) and check it against any Central Government notification restricting transfer to a notified country or territory.</t>
  </si>
  <si>
    <t xml:space="preserve">XB-02</t>
  </si>
  <si>
    <t xml:space="preserve">r.15</t>
  </si>
  <si>
    <t xml:space="preserve">Meet any requirements the Central Government specifies, by general or special order, for making personal data available to a foreign State, or to any person or entity under the control of, or any agency of, such a State.</t>
  </si>
  <si>
    <t xml:space="preserve">XB-03</t>
  </si>
  <si>
    <t xml:space="preserve">s.16(2)</t>
  </si>
  <si>
    <t xml:space="preserve">Identify any other Indian law that gives a higher degree of protection for, or restricts, transfer of personal data outside India for your data or sector - it continues to apply alongside the Act.</t>
  </si>
  <si>
    <t xml:space="preserve">REC-01</t>
  </si>
  <si>
    <t xml:space="preserve">s.36, r.23(1), Seventh Schedule</t>
  </si>
  <si>
    <t xml:space="preserve">Have a procedure for Central Government requests for information made through the authorised person for the Seventh Schedule purposes, answered within the period specified in the request.</t>
  </si>
  <si>
    <t xml:space="preserve">Data Fiduciary and intermediary</t>
  </si>
  <si>
    <t xml:space="preserve">REC-02</t>
  </si>
  <si>
    <t xml:space="preserve">r.23(2)</t>
  </si>
  <si>
    <t xml:space="preserve">If directed, do not disclose such a request to the affected Data Principal or anyone else without the authorised person's prior written permission (where disclosure is likely to prejudice India's sovereignty and integrity or the security of the State).</t>
  </si>
  <si>
    <t xml:space="preserve">REC-03</t>
  </si>
  <si>
    <t xml:space="preserve">s.6(10), r.6(1)(e), r.7, r.8(3), r.13, r.14(3) (good practice)</t>
  </si>
  <si>
    <t xml:space="preserve">Keep one register of the records the Act and Rules make you keep or prove: notice and consent proof (s.6(10)); security logs for one year (r.6(1)(e)); processing data and logs for at least one year (r.8(3)); breach intimations (r.7); grievances and responses (r.14(3)); SDF DPIA and audit reports (r.13). (Good practice - consolidates existing duties.)</t>
  </si>
  <si>
    <t xml:space="preserve">Commencement timeline (verified dates only)</t>
  </si>
  <si>
    <t xml:space="preserve">Date the phases are counted from</t>
  </si>
  <si>
    <t xml:space="preserve">Default 13 Nov 2025 = date printed on both Gazette notifications (Nos. 757 and 760). Their e-Gazette upload IDs and digital signatures carry 14 Nov 2025, and the Rules say 'after the date of publication', so some advisers count from 14 Nov. Planning to the earlier date is the safer choice.</t>
  </si>
  <si>
    <t xml:space="preserve">Comes into force</t>
  </si>
  <si>
    <t xml:space="preserve">Act provisions (G.S.R. 843(E))</t>
  </si>
  <si>
    <t xml:space="preserve">Rules provisions (G.S.R. 846(E), rule 1)</t>
  </si>
  <si>
    <t xml:space="preserve">Days from today</t>
  </si>
  <si>
    <t xml:space="preserve">Exact day</t>
  </si>
  <si>
    <t xml:space="preserve">Phase 1 - on publication</t>
  </si>
  <si>
    <t xml:space="preserve">s.1(2), s.2, ss.18-26 (Data Protection Board), s.35, ss.38-43, s.44(1) and s.44(3)</t>
  </si>
  <si>
    <t xml:space="preserve">Rules 1, 2 and 17-21 (definitions; Board appointments, service terms, meetings, digital office, staff)</t>
  </si>
  <si>
    <t xml:space="preserve">Confirm the exact day with counsel (13th vs 14th reading)</t>
  </si>
  <si>
    <t xml:space="preserve">Phase 2 - one year</t>
  </si>
  <si>
    <t xml:space="preserve">s.6(9) (Consent Manager registration) and s.27(1)(d) (Board inquiry into breach of registration conditions)</t>
  </si>
  <si>
    <t xml:space="preserve">Rule 4 (Consent Manager registration and obligations, First Schedule)</t>
  </si>
  <si>
    <t xml:space="preserve">Phase 3 - eighteen months</t>
  </si>
  <si>
    <t xml:space="preserve">ss.3-5, s.6(1)-(8) and (10), ss.7-17, s.27 except (1)(d), ss.28-34 (inquiry, appeals, penalties), s.36, s.37, s.44(2) (omits s.43A of the IT Act)</t>
  </si>
  <si>
    <t xml:space="preserve">Rules 3, 5-16, 22 and 23 (notice, State processing, security, breach, retention, contact, children, SDF, rights, transfer, research, appeals, information calls)</t>
  </si>
  <si>
    <t xml:space="preserve">Key dates and instruments</t>
  </si>
  <si>
    <t xml:space="preserve">Date</t>
  </si>
  <si>
    <t xml:space="preserve">Event</t>
  </si>
  <si>
    <t xml:space="preserve">Instrument / reference</t>
  </si>
  <si>
    <t xml:space="preserve">What it does</t>
  </si>
  <si>
    <t xml:space="preserve">Verification</t>
  </si>
  <si>
    <t xml:space="preserve">DPDP Act receives assent and is published</t>
  </si>
  <si>
    <t xml:space="preserve">Act No. 22 of 2023; Gazette of India Extraordinary, Part II Sec 1, No. 25</t>
  </si>
  <si>
    <t xml:space="preserve">Enacts the Act; s.1(2) lets the Government bring provisions into force on different dates.</t>
  </si>
  <si>
    <t xml:space="preserve">Verified - official Gazette text</t>
  </si>
  <si>
    <t xml:space="preserve">Draft DPDP Rules published for consultation</t>
  </si>
  <si>
    <t xml:space="preserve">G.S.R. 02(E) (recited in the preamble of G.S.R. 846(E))</t>
  </si>
  <si>
    <t xml:space="preserve">Invited objections and suggestions for 45 days.</t>
  </si>
  <si>
    <t xml:space="preserve">Verified - recital in G.S.R. 846(E)</t>
  </si>
  <si>
    <t xml:space="preserve">Act commencement notification</t>
  </si>
  <si>
    <t xml:space="preserve">G.S.R. 843(E), Gazette No. 757, dated 13 Nov 2025 (e-Gazette CG-DL-E-14112025-267647)</t>
  </si>
  <si>
    <t xml:space="preserve">Brings the Act into force in three phases (table above).</t>
  </si>
  <si>
    <t xml:space="preserve">DPDP Rules, 2025 notified</t>
  </si>
  <si>
    <t xml:space="preserve">G.S.R. 846(E), Gazette No. 760, dated 13 Nov 2025 (e-Gazette CG-DL-E-14112025-267650)</t>
  </si>
  <si>
    <t xml:space="preserve">Makes the Rules; rule 1(2)-(4) sets their phased commencement.</t>
  </si>
  <si>
    <t xml:space="preserve">MeitY press release on the Rules</t>
  </si>
  <si>
    <t xml:space="preserve">PIB release, 14 Nov 2025</t>
  </si>
  <si>
    <t xml:space="preserve">Government summary of the Rules (supporting only - the Gazette text governs).</t>
  </si>
  <si>
    <t xml:space="preserve">Verified - PIB page</t>
  </si>
  <si>
    <t xml:space="preserve">Phase 2 begins</t>
  </si>
  <si>
    <t xml:space="preserve">G.S.R. 843(E) clause (b); rule 1(3)</t>
  </si>
  <si>
    <t xml:space="preserve">Consent Manager registration and obligations apply.</t>
  </si>
  <si>
    <t xml:space="preserve">Computed from the verified text</t>
  </si>
  <si>
    <t xml:space="preserve">Phase 3 begins - main obligations</t>
  </si>
  <si>
    <t xml:space="preserve">G.S.R. 843(E) clause (c); rule 1(4)</t>
  </si>
  <si>
    <t xml:space="preserve">Most Data Fiduciary, SDF, rights, penalty and transfer provisions apply.</t>
  </si>
  <si>
    <t xml:space="preserve">5/6 Oct 2026</t>
  </si>
  <si>
    <t xml:space="preserve">Reported: Digital Personal Data Protection (Removal of Difficulties) Order, 2026</t>
  </si>
  <si>
    <t xml:space="preserve">Reported as S.O. 5458(E)</t>
  </si>
  <si>
    <t xml:space="preserve">Reported to make two wording corrections: s.9(1) 'child or of a person with disability' and s.10(2)(c)(ii) 'data audit'. Reported to add no new duty or date.</t>
  </si>
  <si>
    <t xml:space="preserve">VERIFY - seen only in secondary sources; not found on egazette.gov.in or meity.gov.in</t>
  </si>
  <si>
    <t xml:space="preserve">Jan 2026</t>
  </si>
  <si>
    <t xml:space="preserve">Reported: proposal to shorten the 18-month period</t>
  </si>
  <si>
    <t xml:space="preserve">No Gazette notification found</t>
  </si>
  <si>
    <t xml:space="preserve">Secondary trackers report a proposal to compress the timeline. No notification found as at 27 Oct 2026 - the notified 18-month phase stands.</t>
  </si>
  <si>
    <t xml:space="preserve">VERIFY - check the Gazette before relying either way</t>
  </si>
  <si>
    <t xml:space="preserve">Only dates that could be read in, or computed from, the official Gazette texts are shown without a VERIFY mark. 'Days from today' recalculates each time the file opens.</t>
  </si>
  <si>
    <t xml:space="preserve">Penalty Schedule (s.33 and the Schedule to the Act)</t>
  </si>
  <si>
    <t xml:space="preserve">Sl.</t>
  </si>
  <si>
    <t xml:space="preserve">Breach (our summary)</t>
  </si>
  <si>
    <t xml:space="preserve">Provision breached</t>
  </si>
  <si>
    <t xml:space="preserve">Maximum penalty (as in the Schedule)</t>
  </si>
  <si>
    <t xml:space="preserve">Maximum in rupees</t>
  </si>
  <si>
    <t xml:space="preserve">Checklist area</t>
  </si>
  <si>
    <t xml:space="preserve">Failure to take reasonable security safeguards to prevent personal data breach</t>
  </si>
  <si>
    <t xml:space="preserve">s.8(5)</t>
  </si>
  <si>
    <t xml:space="preserve">May extend to 250 crore rupees</t>
  </si>
  <si>
    <t xml:space="preserve">Failure to give the Board or an affected Data Principal intimation of a personal data breach</t>
  </si>
  <si>
    <t xml:space="preserve">s.8(6)</t>
  </si>
  <si>
    <t xml:space="preserve">May extend to 200 crore rupees</t>
  </si>
  <si>
    <t xml:space="preserve">Breach of the additional obligations relating to children</t>
  </si>
  <si>
    <t xml:space="preserve">s.9</t>
  </si>
  <si>
    <t xml:space="preserve">Breach of the additional obligations of a Significant Data Fiduciary</t>
  </si>
  <si>
    <t xml:space="preserve">s.10</t>
  </si>
  <si>
    <t xml:space="preserve">May extend to 150 crore rupees</t>
  </si>
  <si>
    <t xml:space="preserve">Breach of the duties of a Data Principal</t>
  </si>
  <si>
    <t xml:space="preserve">s.15</t>
  </si>
  <si>
    <t xml:space="preserve">May extend to ten thousand rupees</t>
  </si>
  <si>
    <t xml:space="preserve">Applies to the Data Principal</t>
  </si>
  <si>
    <t xml:space="preserve">Breach of any term of a voluntary undertaking accepted by the Board</t>
  </si>
  <si>
    <t xml:space="preserve">s.32</t>
  </si>
  <si>
    <t xml:space="preserve">Up to the extent applicable to the breach for which the s.28 proceedings were instituted</t>
  </si>
  <si>
    <t xml:space="preserve">n/a</t>
  </si>
  <si>
    <t xml:space="preserve">Any</t>
  </si>
  <si>
    <t xml:space="preserve">Breach of any other provision of the Act or the Rules</t>
  </si>
  <si>
    <t xml:space="preserve">Any other provision</t>
  </si>
  <si>
    <t xml:space="preserve">May extend to 50 crore rupees</t>
  </si>
  <si>
    <t xml:space="preserve">All other areas</t>
  </si>
  <si>
    <t xml:space="preserve">How penalties work</t>
  </si>
  <si>
    <t xml:space="preserve">s.33(1): the Board may impose a monetary penalty only if, on concluding an inquiry, it determines the breach is significant, and only after giving the person an opportunity of being heard. The amounts above are maximums.</t>
  </si>
  <si>
    <t xml:space="preserve">s.33(2): in setting the amount the Board must consider the nature, gravity and duration of the breach; the type and nature of the personal data affected; whether it is repetitive; any gain made or loss avoided; whether and how quickly and effectively the person mitigated it; whether the penalty is proportionate and effective as a deterrent; and its likely impact on the person.</t>
  </si>
  <si>
    <t xml:space="preserve">s.32: the Board may accept a voluntary undertaking at any stage of a proceeding; accepting it bars proceedings on its contents, but failing to honour it is treated as a breach of the Act.</t>
  </si>
  <si>
    <t xml:space="preserve">s.37: after a Data Fiduciary has been penalised in two or more instances, the Board may refer the case to the Central Government, which may, after a hearing, direct that public access to information enabling its services in India be blocked.</t>
  </si>
  <si>
    <t xml:space="preserve">s.34: penalties are credited to the Consolidated Fund of India. Sections 28-34 and 37 come into force in Phase 3 (see Timeline).</t>
  </si>
  <si>
    <t xml:space="preserve">Sources and notification references</t>
  </si>
  <si>
    <t xml:space="preserve">Source</t>
  </si>
  <si>
    <t xml:space="preserve">Link</t>
  </si>
  <si>
    <t xml:space="preserve">The Digital Personal Data Protection Act, 2023 (No. 22 of 2023) - Gazette of India Extraordinary, Part II Section 1, No. 25, 11 August 2023 (MeitY copy). Checked 27 Oct 2026, SHA-256 4deb2398...7a7d15.</t>
  </si>
  <si>
    <t xml:space="preserve">https://www.meity.gov.in/static/uploads/2024/06/2bf1f0e9f04e6fb4f8fef35e82c42aa5.pdf</t>
  </si>
  <si>
    <t xml:space="preserve">Digital Personal Data Protection Rules, 2025 - G.S.R. 846(E), 13 November 2025, Gazette of India Extraordinary, Part II Section 3(i), No. 760, F. No. AA-11038/1/2025-CL&amp;ES (MeitY copy).</t>
  </si>
  <si>
    <t xml:space="preserve">https://www.meity.gov.in/static/uploads/2025/11/53450e6e5dc0bfa85ebd78686cadad39.pdf</t>
  </si>
  <si>
    <t xml:space="preserve">Same Rules - e-Gazette copy CG-DL-E-14112025-267650 (byte-identical to the MeitY copy, SHA-256 eabc7d05...51f5aa08).</t>
  </si>
  <si>
    <t xml:space="preserve">https://egazette.gov.in/WriteReadData/2025/267650.pdf</t>
  </si>
  <si>
    <t xml:space="preserve">Act commencement notification - G.S.R. 843(E), 13 November 2025, Gazette No. 757, e-Gazette CG-DL-E-14112025-267647 (SHA-256 6df25cd8...0998e5).</t>
  </si>
  <si>
    <t xml:space="preserve">https://egazette.gov.in/WriteReadData/2025/267647.pdf</t>
  </si>
  <si>
    <t xml:space="preserve">Press Information Bureau (MeitY) - 'Government notifies DPDP Rules to empower citizens and protect privacy', 14 Nov 2025. Supporting summary only; the Gazette text governs.</t>
  </si>
  <si>
    <t xml:space="preserve">https://www.pib.gov.in/PressReleasePage.aspx?PRID=2190014</t>
  </si>
  <si>
    <t xml:space="preserve">VERIFY - Digital Personal Data Protection (Removal of Difficulties) Order, 2026, reported as S.O. 5458(E) dated 5 Oct 2026. Secondary report only; no official copy found on egazette.gov.in or meity.gov.in on 27 Oct 2026.</t>
  </si>
  <si>
    <t xml:space="preserve">https://www.scconline.com/blog/post/2026/10/15/dpdp-removal-of-difficulties-order-2026/</t>
  </si>
  <si>
    <t xml:space="preserve">How this was checked: each row was written from the Gazette texts above, read in full on 27 Oct 2026. Summaries are our own words. Where a point could not be settled from the official texts it is marked VERIFY in red. Not covered: other Indian laws and sector rules, and any instrument published after 27 Oct 2026.</t>
  </si>
  <si>
    <t xml:space="preserve">Template by John Bommeraveni Joseph - ISO/IEC 27001, 42001 and 27701 Lead Auditor. Follow on LinkedIn for the free weekday newsletter GRC Made Simple Daily: linkedin.com/in/john-bj</t>
  </si>
  <si>
    <t xml:space="preserve">Lists (drop-down values)</t>
  </si>
  <si>
    <t xml:space="preserve">Answer</t>
  </si>
  <si>
    <t xml:space="preserve">Yes</t>
  </si>
  <si>
    <t xml:space="preserve">No</t>
  </si>
  <si>
    <t xml:space="preserve">Low</t>
  </si>
  <si>
    <t xml:space="preserve">Not sure</t>
  </si>
</sst>
</file>

<file path=xl/styles.xml><?xml version="1.0" encoding="utf-8"?>
<styleSheet xmlns="http://schemas.openxmlformats.org/spreadsheetml/2006/main">
  <numFmts count="5">
    <numFmt numFmtId="164" formatCode="General"/>
    <numFmt numFmtId="165" formatCode="0%"/>
    <numFmt numFmtId="166" formatCode="dd\ mmm\ yyyy"/>
    <numFmt numFmtId="167" formatCode="0;&quot;in force&quot;;0"/>
    <numFmt numFmtId="168" formatCode="#,##0"/>
  </numFmts>
  <fonts count="24">
    <font>
      <sz val="11"/>
      <color theme="1"/>
      <name val="Calibri"/>
      <family val="2"/>
      <charset val="1"/>
    </font>
    <font>
      <sz val="10"/>
      <name val="Arial"/>
      <family val="0"/>
    </font>
    <font>
      <sz val="10"/>
      <name val="Arial"/>
      <family val="0"/>
    </font>
    <font>
      <sz val="10"/>
      <name val="Arial"/>
      <family val="0"/>
    </font>
    <font>
      <b val="true"/>
      <sz val="16"/>
      <color rgb="FF16213A"/>
      <name val="Arial"/>
      <family val="0"/>
      <charset val="1"/>
    </font>
    <font>
      <sz val="9"/>
      <color rgb="FF6B7280"/>
      <name val="Arial"/>
      <family val="0"/>
      <charset val="1"/>
    </font>
    <font>
      <b val="true"/>
      <sz val="12"/>
      <color rgb="FF16213A"/>
      <name val="Arial"/>
      <family val="0"/>
      <charset val="1"/>
    </font>
    <font>
      <sz val="10"/>
      <color rgb="FF111827"/>
      <name val="Arial"/>
      <family val="0"/>
      <charset val="1"/>
    </font>
    <font>
      <b val="true"/>
      <sz val="10"/>
      <color rgb="FFFFFFFF"/>
      <name val="Arial"/>
      <family val="0"/>
      <charset val="1"/>
    </font>
    <font>
      <sz val="10"/>
      <name val="Arial"/>
      <family val="0"/>
      <charset val="1"/>
    </font>
    <font>
      <b val="true"/>
      <sz val="11"/>
      <name val="Arial"/>
      <family val="0"/>
      <charset val="1"/>
    </font>
    <font>
      <sz val="9"/>
      <name val="Arial"/>
      <family val="0"/>
      <charset val="1"/>
    </font>
    <font>
      <b val="true"/>
      <sz val="9"/>
      <name val="Arial"/>
      <family val="0"/>
      <charset val="1"/>
    </font>
    <font>
      <b val="true"/>
      <sz val="11"/>
      <color rgb="FF16213A"/>
      <name val="Arial"/>
      <family val="0"/>
      <charset val="1"/>
    </font>
    <font>
      <i val="true"/>
      <sz val="9"/>
      <color rgb="FF6B7280"/>
      <name val="Arial"/>
      <family val="0"/>
      <charset val="1"/>
    </font>
    <font>
      <b val="true"/>
      <sz val="10"/>
      <name val="Arial"/>
      <family val="0"/>
      <charset val="1"/>
    </font>
    <font>
      <sz val="9"/>
      <color rgb="FF111827"/>
      <name val="Arial"/>
      <family val="0"/>
      <charset val="1"/>
    </font>
    <font>
      <sz val="9"/>
      <color rgb="FF9CA3AF"/>
      <name val="Arial"/>
      <family val="0"/>
      <charset val="1"/>
    </font>
    <font>
      <sz val="8"/>
      <color rgb="FF6B7280"/>
      <name val="Arial"/>
      <family val="0"/>
      <charset val="1"/>
    </font>
    <font>
      <b val="true"/>
      <sz val="9"/>
      <color rgb="FFB91C1C"/>
      <name val="Arial"/>
      <family val="0"/>
      <charset val="1"/>
    </font>
    <font>
      <sz val="9"/>
      <color rgb="FFB91C1C"/>
      <name val="Arial"/>
      <family val="0"/>
      <charset val="1"/>
    </font>
    <font>
      <b val="true"/>
      <sz val="10"/>
      <color rgb="FF16213A"/>
      <name val="Arial"/>
      <family val="0"/>
      <charset val="1"/>
    </font>
    <font>
      <u val="single"/>
      <sz val="10"/>
      <color rgb="FF1D4ED8"/>
      <name val="Arial"/>
      <family val="0"/>
      <charset val="1"/>
    </font>
    <font>
      <b val="true"/>
      <sz val="10"/>
      <color rgb="FFB91C1C"/>
      <name val="Arial"/>
      <family val="0"/>
      <charset val="1"/>
    </font>
  </fonts>
  <fills count="7">
    <fill>
      <patternFill patternType="none"/>
    </fill>
    <fill>
      <patternFill patternType="gray125"/>
    </fill>
    <fill>
      <patternFill patternType="solid">
        <fgColor rgb="FFFDB54A"/>
        <bgColor rgb="FFFF9900"/>
      </patternFill>
    </fill>
    <fill>
      <patternFill patternType="solid">
        <fgColor rgb="FF16213A"/>
        <bgColor rgb="FF111827"/>
      </patternFill>
    </fill>
    <fill>
      <patternFill patternType="solid">
        <fgColor rgb="FFF3F4F6"/>
        <bgColor rgb="FFFFFFFF"/>
      </patternFill>
    </fill>
    <fill>
      <patternFill patternType="solid">
        <fgColor rgb="FFFFF4D6"/>
        <bgColor rgb="FFF3F4F6"/>
      </patternFill>
    </fill>
    <fill>
      <patternFill patternType="solid">
        <fgColor rgb="FFFFFFFF"/>
        <bgColor rgb="FFF3F4F6"/>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5" fontId="10" fillId="4"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5" fontId="11" fillId="4"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5" fontId="12" fillId="4"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6" fontId="11" fillId="4"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6" fillId="4"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false" indent="0" shrinkToFit="false"/>
      <protection locked="true" hidden="false"/>
    </xf>
    <xf numFmtId="166" fontId="11" fillId="4" borderId="1" xfId="0" applyFont="true" applyBorder="true" applyAlignment="true" applyProtection="false">
      <alignment horizontal="general" vertical="top" textRotation="0" wrapText="true" indent="0" shrinkToFit="false"/>
      <protection locked="true" hidden="false"/>
    </xf>
    <xf numFmtId="164" fontId="18" fillId="6"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6" fontId="11" fillId="5"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6" fontId="14" fillId="5" borderId="1" xfId="0" applyFont="true" applyBorder="true" applyAlignment="true" applyProtection="false">
      <alignment horizontal="general" vertical="top" textRotation="0" wrapText="true" indent="0" shrinkToFit="false"/>
      <protection locked="true" hidden="false"/>
    </xf>
    <xf numFmtId="164" fontId="19" fillId="6" borderId="1" xfId="0" applyFont="true" applyBorder="true" applyAlignment="true" applyProtection="false">
      <alignment horizontal="general" vertical="top" textRotation="0" wrapText="true" indent="0" shrinkToFit="false"/>
      <protection locked="true" hidden="false"/>
    </xf>
    <xf numFmtId="164" fontId="20" fillId="6" borderId="1" xfId="0" applyFont="true" applyBorder="tru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6" fontId="15" fillId="5"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6" fontId="12" fillId="4" borderId="1" xfId="0" applyFont="true" applyBorder="true" applyAlignment="true" applyProtection="false">
      <alignment horizontal="general" vertical="top" textRotation="0" wrapText="true" indent="0" shrinkToFit="false"/>
      <protection locked="true" hidden="false"/>
    </xf>
    <xf numFmtId="167" fontId="11"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8" fontId="11"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bgColor rgb="FFF8B4B4"/>
        </patternFill>
      </fill>
    </dxf>
    <dxf>
      <fill>
        <patternFill>
          <bgColor rgb="FFFDE68A"/>
        </patternFill>
      </fill>
    </dxf>
    <dxf>
      <fill>
        <patternFill>
          <bgColor rgb="FFBBF7D0"/>
        </patternFill>
      </fill>
    </dxf>
    <dxf>
      <fill>
        <patternFill patternType="solid">
          <fgColor rgb="FF16213A"/>
          <bgColor rgb="FF000000"/>
        </patternFill>
      </fill>
    </dxf>
    <dxf>
      <fill>
        <patternFill patternType="solid">
          <fgColor rgb="FFFFF4D6"/>
          <bgColor rgb="FF000000"/>
        </patternFill>
      </fill>
    </dxf>
    <dxf>
      <fill>
        <patternFill patternType="solid">
          <fgColor rgb="FFFFFFFF"/>
          <bgColor rgb="FF000000"/>
        </patternFill>
      </fill>
    </dxf>
    <dxf>
      <fill>
        <patternFill patternType="solid">
          <fgColor rgb="FFB91C1C"/>
          <bgColor rgb="FF000000"/>
        </patternFill>
      </fill>
    </dxf>
    <dxf>
      <fill>
        <patternFill patternType="solid">
          <bgColor rgb="FF000000"/>
        </patternFill>
      </fill>
    </dxf>
    <dxf>
      <fill>
        <patternFill patternType="solid">
          <fgColor rgb="FFF3F4F6"/>
          <bgColor rgb="FF000000"/>
        </patternFill>
      </fill>
    </dxf>
    <dxf>
      <fill>
        <patternFill patternType="solid">
          <fgColor rgb="FF6B7280"/>
          <bgColor rgb="FF000000"/>
        </patternFill>
      </fill>
    </dxf>
    <dxf>
      <fill>
        <patternFill patternType="solid">
          <fgColor rgb="FFBBF7D0"/>
          <bgColor rgb="FF000000"/>
        </patternFill>
      </fill>
    </dxf>
    <dxf>
      <fill>
        <patternFill patternType="solid">
          <fgColor rgb="FFFDE68A"/>
          <bgColor rgb="FF000000"/>
        </patternFill>
      </fill>
    </dxf>
    <dxf>
      <fill>
        <patternFill patternType="solid">
          <fgColor rgb="FFF8B4B4"/>
          <bgColor rgb="FF000000"/>
        </patternFill>
      </fill>
    </dxf>
    <dxf>
      <fill>
        <patternFill patternType="solid">
          <fgColor rgb="FFFDE2E1"/>
          <bgColor rgb="FF000000"/>
        </patternFill>
      </fill>
    </dxf>
    <dxf>
      <fill>
        <patternFill>
          <bgColor rgb="FFFDE2E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F3F4F6"/>
      <rgbColor rgb="FF660066"/>
      <rgbColor rgb="FFFF8080"/>
      <rgbColor rgb="FF1D4ED8"/>
      <rgbColor rgb="FFD1D5DB"/>
      <rgbColor rgb="FF000080"/>
      <rgbColor rgb="FFFF00FF"/>
      <rgbColor rgb="FFFFFF00"/>
      <rgbColor rgb="FF00FFFF"/>
      <rgbColor rgb="FF800080"/>
      <rgbColor rgb="FF800000"/>
      <rgbColor rgb="FF008080"/>
      <rgbColor rgb="FF0000FF"/>
      <rgbColor rgb="FF00CCFF"/>
      <rgbColor rgb="FFFDE2E1"/>
      <rgbColor rgb="FFBBF7D0"/>
      <rgbColor rgb="FFFDE68A"/>
      <rgbColor rgb="FF99CCFF"/>
      <rgbColor rgb="FFFF99CC"/>
      <rgbColor rgb="FFCC99FF"/>
      <rgbColor rgb="FFF8B4B4"/>
      <rgbColor rgb="FF3366FF"/>
      <rgbColor rgb="FF33CCCC"/>
      <rgbColor rgb="FF99CC00"/>
      <rgbColor rgb="FFFDB54A"/>
      <rgbColor rgb="FFFF9900"/>
      <rgbColor rgb="FFFF6600"/>
      <rgbColor rgb="FF6B7280"/>
      <rgbColor rgb="FF9CA3AF"/>
      <rgbColor rgb="FF003366"/>
      <rgbColor rgb="FF339966"/>
      <rgbColor rgb="FF111827"/>
      <rgbColor rgb="FF333300"/>
      <rgbColor rgb="FFB91C1C"/>
      <rgbColor rgb="FF993366"/>
      <rgbColor rgb="FF333399"/>
      <rgbColor rgb="FF1621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1"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2"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3"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4"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5"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6"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7"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533160</xdr:colOff>
      <xdr:row>0</xdr:row>
      <xdr:rowOff>533160</xdr:rowOff>
    </xdr:to>
    <xdr:pic>
      <xdr:nvPicPr>
        <xdr:cNvPr id="8" name="Image 1" descr="Picture"/>
        <xdr:cNvPicPr/>
      </xdr:nvPicPr>
      <xdr:blipFill>
        <a:blip r:embed="rId1"/>
        <a:stretch/>
      </xdr:blipFill>
      <xdr:spPr>
        <a:xfrm>
          <a:off x="0" y="0"/>
          <a:ext cx="533160" cy="533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hyperlink" Target="https://www.meity.gov.in/static/uploads/2024/06/2bf1f0e9f04e6fb4f8fef35e82c42aa5.pdf" TargetMode="External"/><Relationship Id="rId2" Type="http://schemas.openxmlformats.org/officeDocument/2006/relationships/hyperlink" Target="https://www.meity.gov.in/static/uploads/2025/11/53450e6e5dc0bfa85ebd78686cadad39.pdf" TargetMode="External"/><Relationship Id="rId3" Type="http://schemas.openxmlformats.org/officeDocument/2006/relationships/hyperlink" Target="https://egazette.gov.in/WriteReadData/2025/267650.pdf" TargetMode="External"/><Relationship Id="rId4" Type="http://schemas.openxmlformats.org/officeDocument/2006/relationships/hyperlink" Target="https://egazette.gov.in/WriteReadData/2025/267647.pdf" TargetMode="External"/><Relationship Id="rId5" Type="http://schemas.openxmlformats.org/officeDocument/2006/relationships/hyperlink" Target="https://www.pib.gov.in/PressReleasePage.aspx?PRID=2190014" TargetMode="External"/><Relationship Id="rId6" Type="http://schemas.openxmlformats.org/officeDocument/2006/relationships/hyperlink" Target="https://www.scconline.com/blog/post/2026/10/15/dpdp-removal-of-difficulties-order-2026/" TargetMode="External"/><Relationship Id="rId7"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10"/>
  </cols>
  <sheetData>
    <row r="1" customFormat="false" ht="48" hidden="false" customHeight="true" outlineLevel="0" collapsed="false">
      <c r="B1" s="1" t="s">
        <v>0</v>
      </c>
    </row>
    <row r="2" customFormat="false" ht="18" hidden="false" customHeight="true" outlineLevel="0" collapsed="false">
      <c r="B2" s="2" t="s">
        <v>1</v>
      </c>
    </row>
    <row r="3" customFormat="false" ht="3.75" hidden="false" customHeight="true" outlineLevel="0" collapsed="false">
      <c r="A3" s="3"/>
      <c r="B3" s="3"/>
      <c r="C3" s="3"/>
      <c r="D3" s="3"/>
      <c r="E3" s="3"/>
      <c r="F3" s="3"/>
      <c r="G3" s="3"/>
      <c r="H3" s="3"/>
    </row>
    <row r="5" customFormat="false" ht="21.75" hidden="false" customHeight="true" outlineLevel="0" collapsed="false">
      <c r="B5" s="4" t="s">
        <v>2</v>
      </c>
    </row>
    <row r="6" customFormat="false" ht="60" hidden="false" customHeight="true" outlineLevel="0" collapsed="false">
      <c r="B6" s="5" t="s">
        <v>3</v>
      </c>
    </row>
    <row r="7" customFormat="false" ht="21.75" hidden="false" customHeight="true" outlineLevel="0" collapsed="false">
      <c r="B7" s="4" t="s">
        <v>4</v>
      </c>
    </row>
    <row r="8" customFormat="false" ht="73.5" hidden="false" customHeight="true" outlineLevel="0" collapsed="false">
      <c r="B8" s="5" t="s">
        <v>5</v>
      </c>
    </row>
    <row r="9" customFormat="false" ht="21.75" hidden="false" customHeight="true" outlineLevel="0" collapsed="false">
      <c r="B9" s="4" t="s">
        <v>6</v>
      </c>
    </row>
    <row r="10" customFormat="false" ht="31.5" hidden="false" customHeight="true" outlineLevel="0" collapsed="false">
      <c r="B10" s="5" t="s">
        <v>7</v>
      </c>
    </row>
    <row r="11" customFormat="false" ht="31.5" hidden="false" customHeight="true" outlineLevel="0" collapsed="false">
      <c r="B11" s="5" t="s">
        <v>8</v>
      </c>
    </row>
    <row r="12" customFormat="false" ht="31.5" hidden="false" customHeight="true" outlineLevel="0" collapsed="false">
      <c r="B12" s="5" t="s">
        <v>9</v>
      </c>
    </row>
    <row r="13" customFormat="false" ht="31.5" hidden="false" customHeight="true" outlineLevel="0" collapsed="false">
      <c r="B13" s="5" t="s">
        <v>10</v>
      </c>
    </row>
    <row r="14" customFormat="false" ht="31.5" hidden="false" customHeight="true" outlineLevel="0" collapsed="false">
      <c r="B14" s="5" t="s">
        <v>11</v>
      </c>
    </row>
    <row r="15" customFormat="false" ht="18" hidden="false" customHeight="true" outlineLevel="0" collapsed="false">
      <c r="B15" s="5" t="s">
        <v>12</v>
      </c>
    </row>
    <row r="16" customFormat="false" ht="21.75" hidden="false" customHeight="true" outlineLevel="0" collapsed="false">
      <c r="B16" s="4" t="s">
        <v>13</v>
      </c>
    </row>
    <row r="17" customFormat="false" ht="45.75" hidden="false" customHeight="true" outlineLevel="0" collapsed="false">
      <c r="B17" s="5" t="s">
        <v>14</v>
      </c>
    </row>
    <row r="18" customFormat="false" ht="31.5" hidden="false" customHeight="true" outlineLevel="0" collapsed="false">
      <c r="B18" s="5" t="s">
        <v>15</v>
      </c>
    </row>
    <row r="19" customFormat="false" ht="21.75" hidden="false" customHeight="true" outlineLevel="0" collapsed="false">
      <c r="B19" s="4" t="s">
        <v>16</v>
      </c>
    </row>
    <row r="20" customFormat="false" ht="60" hidden="false" customHeight="true" outlineLevel="0" collapsed="false">
      <c r="B20" s="5" t="s">
        <v>17</v>
      </c>
    </row>
    <row r="21" customFormat="false" ht="31.5" hidden="false" customHeight="true" outlineLevel="0" collapsed="false">
      <c r="B21" s="5" t="s">
        <v>18</v>
      </c>
    </row>
  </sheetData>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13"/>
    <col collapsed="false" customWidth="true" hidden="false" outlineLevel="0" max="4" min="4" style="0" width="12"/>
    <col collapsed="false" customWidth="true" hidden="false" outlineLevel="0" max="7" min="5" style="0" width="11"/>
    <col collapsed="false" customWidth="true" hidden="false" outlineLevel="0" max="10" min="8" style="0" width="12"/>
    <col collapsed="false" customWidth="true" hidden="false" outlineLevel="0" max="11" min="11" style="0" width="11"/>
  </cols>
  <sheetData>
    <row r="1" customFormat="false" ht="48" hidden="false" customHeight="true" outlineLevel="0" collapsed="false">
      <c r="B1" s="1" t="s">
        <v>19</v>
      </c>
    </row>
    <row r="2" customFormat="false" ht="18" hidden="false" customHeight="true" outlineLevel="0" collapsed="false">
      <c r="B2" s="2" t="s">
        <v>1</v>
      </c>
    </row>
    <row r="3" customFormat="false" ht="3.75" hidden="false" customHeight="true" outlineLevel="0" collapsed="false">
      <c r="A3" s="3"/>
      <c r="B3" s="3"/>
      <c r="C3" s="3"/>
      <c r="D3" s="3"/>
      <c r="E3" s="3"/>
      <c r="F3" s="3"/>
      <c r="G3" s="3"/>
      <c r="H3" s="3"/>
      <c r="I3" s="3"/>
      <c r="J3" s="3"/>
      <c r="K3" s="3"/>
    </row>
    <row r="5" customFormat="false" ht="15" hidden="false" customHeight="false" outlineLevel="0" collapsed="false">
      <c r="B5" s="6" t="s">
        <v>20</v>
      </c>
      <c r="C5" s="6" t="s">
        <v>21</v>
      </c>
    </row>
    <row r="6" customFormat="false" ht="15" hidden="false" customHeight="false" outlineLevel="0" collapsed="false">
      <c r="B6" s="7" t="s">
        <v>22</v>
      </c>
      <c r="C6" s="8" t="n">
        <f aca="true">MAX(0,Timeline!$C$9-TODAY())</f>
        <v>17</v>
      </c>
    </row>
    <row r="7" customFormat="false" ht="15" hidden="false" customHeight="false" outlineLevel="0" collapsed="false">
      <c r="B7" s="7" t="s">
        <v>23</v>
      </c>
      <c r="C7" s="8" t="n">
        <f aca="true">MAX(0,Timeline!$C$10-TODAY())</f>
        <v>198</v>
      </c>
    </row>
    <row r="8" customFormat="false" ht="15" hidden="false" customHeight="false" outlineLevel="0" collapsed="false">
      <c r="B8" s="7" t="s">
        <v>24</v>
      </c>
      <c r="C8" s="9" t="n">
        <f aca="false">I32</f>
        <v>0.0101010101010101</v>
      </c>
    </row>
    <row r="9" customFormat="false" ht="15" hidden="false" customHeight="false" outlineLevel="0" collapsed="false">
      <c r="B9" s="7" t="s">
        <v>25</v>
      </c>
      <c r="C9" s="8" t="n">
        <f aca="false">COUNTIFS(Checklist!$A$6:$A$119,"&lt;&gt;",Checklist!$N$6:$N$119,"High",Checklist!$J$6:$J$119,"&lt;&gt;Done",Checklist!$J$6:$J$119,"&lt;&gt;Not applicable")</f>
        <v>2</v>
      </c>
    </row>
    <row r="10" customFormat="false" ht="15" hidden="false" customHeight="false" outlineLevel="0" collapsed="false">
      <c r="B10" s="7" t="s">
        <v>26</v>
      </c>
      <c r="C10" s="8" t="n">
        <f aca="false">COUNTIF(Checklist!$P$6:$P$119,"OVERDUE")</f>
        <v>1</v>
      </c>
    </row>
    <row r="11" customFormat="false" ht="15" hidden="false" customHeight="false" outlineLevel="0" collapsed="false">
      <c r="B11" s="7" t="s">
        <v>27</v>
      </c>
      <c r="C11" s="8" t="n">
        <f aca="false">COUNTIF(Checklist!$Q$6:$Q$119,"*Target date is after*")</f>
        <v>0</v>
      </c>
    </row>
    <row r="12" customFormat="false" ht="15" hidden="false" customHeight="false" outlineLevel="0" collapsed="false">
      <c r="B12" s="7" t="s">
        <v>28</v>
      </c>
      <c r="C12" s="8" t="n">
        <f aca="false">COUNTIF(Checklist!$Q$6:$Q$119,"*Done but no evidence*")</f>
        <v>1</v>
      </c>
    </row>
    <row r="13" customFormat="false" ht="15" hidden="false" customHeight="false" outlineLevel="0" collapsed="false">
      <c r="B13" s="7" t="s">
        <v>29</v>
      </c>
      <c r="C13" s="8" t="n">
        <f aca="false">COUNTIF(Checklist!$Q$6:$Q$119,"*Screen says not triggered*")</f>
        <v>0</v>
      </c>
    </row>
    <row r="15" customFormat="false" ht="30" hidden="false" customHeight="true" outlineLevel="0" collapsed="false">
      <c r="B15" s="6" t="s">
        <v>30</v>
      </c>
      <c r="C15" s="6" t="s">
        <v>31</v>
      </c>
      <c r="D15" s="6" t="s">
        <v>32</v>
      </c>
      <c r="E15" s="6" t="s">
        <v>33</v>
      </c>
      <c r="F15" s="6" t="s">
        <v>34</v>
      </c>
      <c r="G15" s="6" t="s">
        <v>35</v>
      </c>
      <c r="H15" s="6" t="s">
        <v>36</v>
      </c>
      <c r="I15" s="6" t="s">
        <v>37</v>
      </c>
      <c r="J15" s="6" t="s">
        <v>38</v>
      </c>
      <c r="K15" s="6" t="s">
        <v>39</v>
      </c>
    </row>
    <row r="16" customFormat="false" ht="15" hidden="false" customHeight="false" outlineLevel="0" collapsed="false">
      <c r="B16" s="10" t="s">
        <v>40</v>
      </c>
      <c r="C16" s="11" t="n">
        <f aca="false">COUNTIFS(Checklist!$B$6:$B$119,$B16,Checklist!$A$6:$A$119,"&lt;&gt;")+COUNTIFS(Checklist!$B$6:$B$119,$B16,Checklist!$A$6:$A$119,"",Checklist!$D$6:$D$119,"&lt;&gt;")</f>
        <v>9</v>
      </c>
      <c r="D16" s="11" t="n">
        <f aca="false">COUNTIFS(Checklist!$B$6:$B$119,$B16,Checklist!$J$6:$J$119,"Not applicable")</f>
        <v>0</v>
      </c>
      <c r="E16" s="11" t="n">
        <f aca="false">C16-D16</f>
        <v>9</v>
      </c>
      <c r="F16" s="11" t="n">
        <f aca="false">COUNTIFS(Checklist!$B$6:$B$119,$B16,Checklist!$J$6:$J$119,"Done")</f>
        <v>0</v>
      </c>
      <c r="G16" s="11" t="n">
        <f aca="false">COUNTIFS(Checklist!$B$6:$B$119,$B16,Checklist!$J$6:$J$119,"In progress")</f>
        <v>0</v>
      </c>
      <c r="H16" s="11" t="n">
        <f aca="false">E16-F16-G16</f>
        <v>9</v>
      </c>
      <c r="I16" s="12" t="n">
        <f aca="false">IF(E16=0,"",F16/E16)</f>
        <v>0</v>
      </c>
      <c r="J16" s="11" t="n">
        <f aca="false">COUNTIFS(Checklist!$B$6:$B$119,$B16,Checklist!$N$6:$N$119,"High",Checklist!$J$6:$J$119,"&lt;&gt;Done",Checklist!$J$6:$J$119,"&lt;&gt;Not applicable")</f>
        <v>0</v>
      </c>
      <c r="K16" s="11" t="n">
        <f aca="false">COUNTIFS(Checklist!$B$6:$B$119,$B16,Checklist!$P$6:$P$119,"OVERDUE")</f>
        <v>0</v>
      </c>
    </row>
    <row r="17" customFormat="false" ht="15" hidden="false" customHeight="false" outlineLevel="0" collapsed="false">
      <c r="B17" s="10" t="s">
        <v>41</v>
      </c>
      <c r="C17" s="11" t="n">
        <f aca="false">COUNTIFS(Checklist!$B$6:$B$119,$B17,Checklist!$A$6:$A$119,"&lt;&gt;")+COUNTIFS(Checklist!$B$6:$B$119,$B17,Checklist!$A$6:$A$119,"",Checklist!$D$6:$D$119,"&lt;&gt;")</f>
        <v>6</v>
      </c>
      <c r="D17" s="11" t="n">
        <f aca="false">COUNTIFS(Checklist!$B$6:$B$119,$B17,Checklist!$J$6:$J$119,"Not applicable")</f>
        <v>0</v>
      </c>
      <c r="E17" s="11" t="n">
        <f aca="false">C17-D17</f>
        <v>6</v>
      </c>
      <c r="F17" s="11" t="n">
        <f aca="false">COUNTIFS(Checklist!$B$6:$B$119,$B17,Checklist!$J$6:$J$119,"Done")</f>
        <v>0</v>
      </c>
      <c r="G17" s="11" t="n">
        <f aca="false">COUNTIFS(Checklist!$B$6:$B$119,$B17,Checklist!$J$6:$J$119,"In progress")</f>
        <v>1</v>
      </c>
      <c r="H17" s="11" t="n">
        <f aca="false">E17-F17-G17</f>
        <v>5</v>
      </c>
      <c r="I17" s="12" t="n">
        <f aca="false">IF(E17=0,"",F17/E17)</f>
        <v>0</v>
      </c>
      <c r="J17" s="11" t="n">
        <f aca="false">COUNTIFS(Checklist!$B$6:$B$119,$B17,Checklist!$N$6:$N$119,"High",Checklist!$J$6:$J$119,"&lt;&gt;Done",Checklist!$J$6:$J$119,"&lt;&gt;Not applicable")</f>
        <v>1</v>
      </c>
      <c r="K17" s="11" t="n">
        <f aca="false">COUNTIFS(Checklist!$B$6:$B$119,$B17,Checklist!$P$6:$P$119,"OVERDUE")</f>
        <v>0</v>
      </c>
    </row>
    <row r="18" customFormat="false" ht="15" hidden="false" customHeight="false" outlineLevel="0" collapsed="false">
      <c r="B18" s="10" t="s">
        <v>42</v>
      </c>
      <c r="C18" s="11" t="n">
        <f aca="false">COUNTIFS(Checklist!$B$6:$B$119,$B18,Checklist!$A$6:$A$119,"&lt;&gt;")+COUNTIFS(Checklist!$B$6:$B$119,$B18,Checklist!$A$6:$A$119,"",Checklist!$D$6:$D$119,"&lt;&gt;")</f>
        <v>8</v>
      </c>
      <c r="D18" s="11" t="n">
        <f aca="false">COUNTIFS(Checklist!$B$6:$B$119,$B18,Checklist!$J$6:$J$119,"Not applicable")</f>
        <v>0</v>
      </c>
      <c r="E18" s="11" t="n">
        <f aca="false">C18-D18</f>
        <v>8</v>
      </c>
      <c r="F18" s="11" t="n">
        <f aca="false">COUNTIFS(Checklist!$B$6:$B$119,$B18,Checklist!$J$6:$J$119,"Done")</f>
        <v>0</v>
      </c>
      <c r="G18" s="11" t="n">
        <f aca="false">COUNTIFS(Checklist!$B$6:$B$119,$B18,Checklist!$J$6:$J$119,"In progress")</f>
        <v>0</v>
      </c>
      <c r="H18" s="11" t="n">
        <f aca="false">E18-F18-G18</f>
        <v>8</v>
      </c>
      <c r="I18" s="12" t="n">
        <f aca="false">IF(E18=0,"",F18/E18)</f>
        <v>0</v>
      </c>
      <c r="J18" s="11" t="n">
        <f aca="false">COUNTIFS(Checklist!$B$6:$B$119,$B18,Checklist!$N$6:$N$119,"High",Checklist!$J$6:$J$119,"&lt;&gt;Done",Checklist!$J$6:$J$119,"&lt;&gt;Not applicable")</f>
        <v>0</v>
      </c>
      <c r="K18" s="11" t="n">
        <f aca="false">COUNTIFS(Checklist!$B$6:$B$119,$B18,Checklist!$P$6:$P$119,"OVERDUE")</f>
        <v>0</v>
      </c>
    </row>
    <row r="19" customFormat="false" ht="15" hidden="false" customHeight="false" outlineLevel="0" collapsed="false">
      <c r="B19" s="10" t="s">
        <v>43</v>
      </c>
      <c r="C19" s="11" t="n">
        <f aca="false">COUNTIFS(Checklist!$B$6:$B$119,$B19,Checklist!$A$6:$A$119,"&lt;&gt;")+COUNTIFS(Checklist!$B$6:$B$119,$B19,Checklist!$A$6:$A$119,"",Checklist!$D$6:$D$119,"&lt;&gt;")</f>
        <v>5</v>
      </c>
      <c r="D19" s="11" t="n">
        <f aca="false">COUNTIFS(Checklist!$B$6:$B$119,$B19,Checklist!$J$6:$J$119,"Not applicable")</f>
        <v>0</v>
      </c>
      <c r="E19" s="11" t="n">
        <f aca="false">C19-D19</f>
        <v>5</v>
      </c>
      <c r="F19" s="11" t="n">
        <f aca="false">COUNTIFS(Checklist!$B$6:$B$119,$B19,Checklist!$J$6:$J$119,"Done")</f>
        <v>0</v>
      </c>
      <c r="G19" s="11" t="n">
        <f aca="false">COUNTIFS(Checklist!$B$6:$B$119,$B19,Checklist!$J$6:$J$119,"In progress")</f>
        <v>0</v>
      </c>
      <c r="H19" s="11" t="n">
        <f aca="false">E19-F19-G19</f>
        <v>5</v>
      </c>
      <c r="I19" s="12" t="n">
        <f aca="false">IF(E19=0,"",F19/E19)</f>
        <v>0</v>
      </c>
      <c r="J19" s="11" t="n">
        <f aca="false">COUNTIFS(Checklist!$B$6:$B$119,$B19,Checklist!$N$6:$N$119,"High",Checklist!$J$6:$J$119,"&lt;&gt;Done",Checklist!$J$6:$J$119,"&lt;&gt;Not applicable")</f>
        <v>0</v>
      </c>
      <c r="K19" s="11" t="n">
        <f aca="false">COUNTIFS(Checklist!$B$6:$B$119,$B19,Checklist!$P$6:$P$119,"OVERDUE")</f>
        <v>0</v>
      </c>
    </row>
    <row r="20" customFormat="false" ht="15" hidden="false" customHeight="false" outlineLevel="0" collapsed="false">
      <c r="B20" s="10" t="s">
        <v>44</v>
      </c>
      <c r="C20" s="11" t="n">
        <f aca="false">COUNTIFS(Checklist!$B$6:$B$119,$B20,Checklist!$A$6:$A$119,"&lt;&gt;")+COUNTIFS(Checklist!$B$6:$B$119,$B20,Checklist!$A$6:$A$119,"",Checklist!$D$6:$D$119,"&lt;&gt;")</f>
        <v>4</v>
      </c>
      <c r="D20" s="11" t="n">
        <f aca="false">COUNTIFS(Checklist!$B$6:$B$119,$B20,Checklist!$J$6:$J$119,"Not applicable")</f>
        <v>0</v>
      </c>
      <c r="E20" s="11" t="n">
        <f aca="false">C20-D20</f>
        <v>4</v>
      </c>
      <c r="F20" s="11" t="n">
        <f aca="false">COUNTIFS(Checklist!$B$6:$B$119,$B20,Checklist!$J$6:$J$119,"Done")</f>
        <v>0</v>
      </c>
      <c r="G20" s="11" t="n">
        <f aca="false">COUNTIFS(Checklist!$B$6:$B$119,$B20,Checklist!$J$6:$J$119,"In progress")</f>
        <v>0</v>
      </c>
      <c r="H20" s="11" t="n">
        <f aca="false">E20-F20-G20</f>
        <v>4</v>
      </c>
      <c r="I20" s="12" t="n">
        <f aca="false">IF(E20=0,"",F20/E20)</f>
        <v>0</v>
      </c>
      <c r="J20" s="11" t="n">
        <f aca="false">COUNTIFS(Checklist!$B$6:$B$119,$B20,Checklist!$N$6:$N$119,"High",Checklist!$J$6:$J$119,"&lt;&gt;Done",Checklist!$J$6:$J$119,"&lt;&gt;Not applicable")</f>
        <v>0</v>
      </c>
      <c r="K20" s="11" t="n">
        <f aca="false">COUNTIFS(Checklist!$B$6:$B$119,$B20,Checklist!$P$6:$P$119,"OVERDUE")</f>
        <v>0</v>
      </c>
    </row>
    <row r="21" customFormat="false" ht="15" hidden="false" customHeight="false" outlineLevel="0" collapsed="false">
      <c r="B21" s="10" t="s">
        <v>45</v>
      </c>
      <c r="C21" s="11" t="n">
        <f aca="false">COUNTIFS(Checklist!$B$6:$B$119,$B21,Checklist!$A$6:$A$119,"&lt;&gt;")+COUNTIFS(Checklist!$B$6:$B$119,$B21,Checklist!$A$6:$A$119,"",Checklist!$D$6:$D$119,"&lt;&gt;")</f>
        <v>7</v>
      </c>
      <c r="D21" s="11" t="n">
        <f aca="false">COUNTIFS(Checklist!$B$6:$B$119,$B21,Checklist!$J$6:$J$119,"Not applicable")</f>
        <v>0</v>
      </c>
      <c r="E21" s="11" t="n">
        <f aca="false">C21-D21</f>
        <v>7</v>
      </c>
      <c r="F21" s="11" t="n">
        <f aca="false">COUNTIFS(Checklist!$B$6:$B$119,$B21,Checklist!$J$6:$J$119,"Done")</f>
        <v>0</v>
      </c>
      <c r="G21" s="11" t="n">
        <f aca="false">COUNTIFS(Checklist!$B$6:$B$119,$B21,Checklist!$J$6:$J$119,"In progress")</f>
        <v>0</v>
      </c>
      <c r="H21" s="11" t="n">
        <f aca="false">E21-F21-G21</f>
        <v>7</v>
      </c>
      <c r="I21" s="12" t="n">
        <f aca="false">IF(E21=0,"",F21/E21)</f>
        <v>0</v>
      </c>
      <c r="J21" s="11" t="n">
        <f aca="false">COUNTIFS(Checklist!$B$6:$B$119,$B21,Checklist!$N$6:$N$119,"High",Checklist!$J$6:$J$119,"&lt;&gt;Done",Checklist!$J$6:$J$119,"&lt;&gt;Not applicable")</f>
        <v>0</v>
      </c>
      <c r="K21" s="11" t="n">
        <f aca="false">COUNTIFS(Checklist!$B$6:$B$119,$B21,Checklist!$P$6:$P$119,"OVERDUE")</f>
        <v>0</v>
      </c>
    </row>
    <row r="22" customFormat="false" ht="15" hidden="false" customHeight="false" outlineLevel="0" collapsed="false">
      <c r="B22" s="10" t="s">
        <v>46</v>
      </c>
      <c r="C22" s="11" t="n">
        <f aca="false">COUNTIFS(Checklist!$B$6:$B$119,$B22,Checklist!$A$6:$A$119,"&lt;&gt;")+COUNTIFS(Checklist!$B$6:$B$119,$B22,Checklist!$A$6:$A$119,"",Checklist!$D$6:$D$119,"&lt;&gt;")</f>
        <v>6</v>
      </c>
      <c r="D22" s="11" t="n">
        <f aca="false">COUNTIFS(Checklist!$B$6:$B$119,$B22,Checklist!$J$6:$J$119,"Not applicable")</f>
        <v>0</v>
      </c>
      <c r="E22" s="11" t="n">
        <f aca="false">C22-D22</f>
        <v>6</v>
      </c>
      <c r="F22" s="11" t="n">
        <f aca="false">COUNTIFS(Checklist!$B$6:$B$119,$B22,Checklist!$J$6:$J$119,"Done")</f>
        <v>0</v>
      </c>
      <c r="G22" s="11" t="n">
        <f aca="false">COUNTIFS(Checklist!$B$6:$B$119,$B22,Checklist!$J$6:$J$119,"In progress")</f>
        <v>0</v>
      </c>
      <c r="H22" s="11" t="n">
        <f aca="false">E22-F22-G22</f>
        <v>6</v>
      </c>
      <c r="I22" s="12" t="n">
        <f aca="false">IF(E22=0,"",F22/E22)</f>
        <v>0</v>
      </c>
      <c r="J22" s="11" t="n">
        <f aca="false">COUNTIFS(Checklist!$B$6:$B$119,$B22,Checklist!$N$6:$N$119,"High",Checklist!$J$6:$J$119,"&lt;&gt;Done",Checklist!$J$6:$J$119,"&lt;&gt;Not applicable")</f>
        <v>1</v>
      </c>
      <c r="K22" s="11" t="n">
        <f aca="false">COUNTIFS(Checklist!$B$6:$B$119,$B22,Checklist!$P$6:$P$119,"OVERDUE")</f>
        <v>1</v>
      </c>
    </row>
    <row r="23" customFormat="false" ht="15" hidden="false" customHeight="false" outlineLevel="0" collapsed="false">
      <c r="B23" s="10" t="s">
        <v>47</v>
      </c>
      <c r="C23" s="11" t="n">
        <f aca="false">COUNTIFS(Checklist!$B$6:$B$119,$B23,Checklist!$A$6:$A$119,"&lt;&gt;")+COUNTIFS(Checklist!$B$6:$B$119,$B23,Checklist!$A$6:$A$119,"",Checklist!$D$6:$D$119,"&lt;&gt;")</f>
        <v>6</v>
      </c>
      <c r="D23" s="11" t="n">
        <f aca="false">COUNTIFS(Checklist!$B$6:$B$119,$B23,Checklist!$J$6:$J$119,"Not applicable")</f>
        <v>0</v>
      </c>
      <c r="E23" s="11" t="n">
        <f aca="false">C23-D23</f>
        <v>6</v>
      </c>
      <c r="F23" s="11" t="n">
        <f aca="false">COUNTIFS(Checklist!$B$6:$B$119,$B23,Checklist!$J$6:$J$119,"Done")</f>
        <v>0</v>
      </c>
      <c r="G23" s="11" t="n">
        <f aca="false">COUNTIFS(Checklist!$B$6:$B$119,$B23,Checklist!$J$6:$J$119,"In progress")</f>
        <v>0</v>
      </c>
      <c r="H23" s="11" t="n">
        <f aca="false">E23-F23-G23</f>
        <v>6</v>
      </c>
      <c r="I23" s="12" t="n">
        <f aca="false">IF(E23=0,"",F23/E23)</f>
        <v>0</v>
      </c>
      <c r="J23" s="11" t="n">
        <f aca="false">COUNTIFS(Checklist!$B$6:$B$119,$B23,Checklist!$N$6:$N$119,"High",Checklist!$J$6:$J$119,"&lt;&gt;Done",Checklist!$J$6:$J$119,"&lt;&gt;Not applicable")</f>
        <v>0</v>
      </c>
      <c r="K23" s="11" t="n">
        <f aca="false">COUNTIFS(Checklist!$B$6:$B$119,$B23,Checklist!$P$6:$P$119,"OVERDUE")</f>
        <v>0</v>
      </c>
    </row>
    <row r="24" customFormat="false" ht="15" hidden="false" customHeight="false" outlineLevel="0" collapsed="false">
      <c r="B24" s="10" t="s">
        <v>48</v>
      </c>
      <c r="C24" s="11" t="n">
        <f aca="false">COUNTIFS(Checklist!$B$6:$B$119,$B24,Checklist!$A$6:$A$119,"&lt;&gt;")+COUNTIFS(Checklist!$B$6:$B$119,$B24,Checklist!$A$6:$A$119,"",Checklist!$D$6:$D$119,"&lt;&gt;")</f>
        <v>5</v>
      </c>
      <c r="D24" s="11" t="n">
        <f aca="false">COUNTIFS(Checklist!$B$6:$B$119,$B24,Checklist!$J$6:$J$119,"Not applicable")</f>
        <v>0</v>
      </c>
      <c r="E24" s="11" t="n">
        <f aca="false">C24-D24</f>
        <v>5</v>
      </c>
      <c r="F24" s="11" t="n">
        <f aca="false">COUNTIFS(Checklist!$B$6:$B$119,$B24,Checklist!$J$6:$J$119,"Done")</f>
        <v>1</v>
      </c>
      <c r="G24" s="11" t="n">
        <f aca="false">COUNTIFS(Checklist!$B$6:$B$119,$B24,Checklist!$J$6:$J$119,"In progress")</f>
        <v>0</v>
      </c>
      <c r="H24" s="11" t="n">
        <f aca="false">E24-F24-G24</f>
        <v>4</v>
      </c>
      <c r="I24" s="12" t="n">
        <f aca="false">IF(E24=0,"",F24/E24)</f>
        <v>0.2</v>
      </c>
      <c r="J24" s="11" t="n">
        <f aca="false">COUNTIFS(Checklist!$B$6:$B$119,$B24,Checklist!$N$6:$N$119,"High",Checklist!$J$6:$J$119,"&lt;&gt;Done",Checklist!$J$6:$J$119,"&lt;&gt;Not applicable")</f>
        <v>0</v>
      </c>
      <c r="K24" s="11" t="n">
        <f aca="false">COUNTIFS(Checklist!$B$6:$B$119,$B24,Checklist!$P$6:$P$119,"OVERDUE")</f>
        <v>0</v>
      </c>
    </row>
    <row r="25" customFormat="false" ht="15" hidden="false" customHeight="false" outlineLevel="0" collapsed="false">
      <c r="B25" s="10" t="s">
        <v>49</v>
      </c>
      <c r="C25" s="11" t="n">
        <f aca="false">COUNTIFS(Checklist!$B$6:$B$119,$B25,Checklist!$A$6:$A$119,"&lt;&gt;")+COUNTIFS(Checklist!$B$6:$B$119,$B25,Checklist!$A$6:$A$119,"",Checklist!$D$6:$D$119,"&lt;&gt;")</f>
        <v>6</v>
      </c>
      <c r="D25" s="11" t="n">
        <f aca="false">COUNTIFS(Checklist!$B$6:$B$119,$B25,Checklist!$J$6:$J$119,"Not applicable")</f>
        <v>0</v>
      </c>
      <c r="E25" s="11" t="n">
        <f aca="false">C25-D25</f>
        <v>6</v>
      </c>
      <c r="F25" s="11" t="n">
        <f aca="false">COUNTIFS(Checklist!$B$6:$B$119,$B25,Checklist!$J$6:$J$119,"Done")</f>
        <v>0</v>
      </c>
      <c r="G25" s="11" t="n">
        <f aca="false">COUNTIFS(Checklist!$B$6:$B$119,$B25,Checklist!$J$6:$J$119,"In progress")</f>
        <v>0</v>
      </c>
      <c r="H25" s="11" t="n">
        <f aca="false">E25-F25-G25</f>
        <v>6</v>
      </c>
      <c r="I25" s="12" t="n">
        <f aca="false">IF(E25=0,"",F25/E25)</f>
        <v>0</v>
      </c>
      <c r="J25" s="11" t="n">
        <f aca="false">COUNTIFS(Checklist!$B$6:$B$119,$B25,Checklist!$N$6:$N$119,"High",Checklist!$J$6:$J$119,"&lt;&gt;Done",Checklist!$J$6:$J$119,"&lt;&gt;Not applicable")</f>
        <v>0</v>
      </c>
      <c r="K25" s="11" t="n">
        <f aca="false">COUNTIFS(Checklist!$B$6:$B$119,$B25,Checklist!$P$6:$P$119,"OVERDUE")</f>
        <v>0</v>
      </c>
    </row>
    <row r="26" customFormat="false" ht="15" hidden="false" customHeight="false" outlineLevel="0" collapsed="false">
      <c r="B26" s="10" t="s">
        <v>50</v>
      </c>
      <c r="C26" s="11" t="n">
        <f aca="false">COUNTIFS(Checklist!$B$6:$B$119,$B26,Checklist!$A$6:$A$119,"&lt;&gt;")+COUNTIFS(Checklist!$B$6:$B$119,$B26,Checklist!$A$6:$A$119,"",Checklist!$D$6:$D$119,"&lt;&gt;")</f>
        <v>7</v>
      </c>
      <c r="D26" s="11" t="n">
        <f aca="false">COUNTIFS(Checklist!$B$6:$B$119,$B26,Checklist!$J$6:$J$119,"Not applicable")</f>
        <v>0</v>
      </c>
      <c r="E26" s="11" t="n">
        <f aca="false">C26-D26</f>
        <v>7</v>
      </c>
      <c r="F26" s="11" t="n">
        <f aca="false">COUNTIFS(Checklist!$B$6:$B$119,$B26,Checklist!$J$6:$J$119,"Done")</f>
        <v>0</v>
      </c>
      <c r="G26" s="11" t="n">
        <f aca="false">COUNTIFS(Checklist!$B$6:$B$119,$B26,Checklist!$J$6:$J$119,"In progress")</f>
        <v>0</v>
      </c>
      <c r="H26" s="11" t="n">
        <f aca="false">E26-F26-G26</f>
        <v>7</v>
      </c>
      <c r="I26" s="12" t="n">
        <f aca="false">IF(E26=0,"",F26/E26)</f>
        <v>0</v>
      </c>
      <c r="J26" s="11" t="n">
        <f aca="false">COUNTIFS(Checklist!$B$6:$B$119,$B26,Checklist!$N$6:$N$119,"High",Checklist!$J$6:$J$119,"&lt;&gt;Done",Checklist!$J$6:$J$119,"&lt;&gt;Not applicable")</f>
        <v>0</v>
      </c>
      <c r="K26" s="11" t="n">
        <f aca="false">COUNTIFS(Checklist!$B$6:$B$119,$B26,Checklist!$P$6:$P$119,"OVERDUE")</f>
        <v>0</v>
      </c>
    </row>
    <row r="27" customFormat="false" ht="15" hidden="false" customHeight="false" outlineLevel="0" collapsed="false">
      <c r="B27" s="10" t="s">
        <v>51</v>
      </c>
      <c r="C27" s="11" t="n">
        <f aca="false">COUNTIFS(Checklist!$B$6:$B$119,$B27,Checklist!$A$6:$A$119,"&lt;&gt;")+COUNTIFS(Checklist!$B$6:$B$119,$B27,Checklist!$A$6:$A$119,"",Checklist!$D$6:$D$119,"&lt;&gt;")</f>
        <v>7</v>
      </c>
      <c r="D27" s="11" t="n">
        <f aca="false">COUNTIFS(Checklist!$B$6:$B$119,$B27,Checklist!$J$6:$J$119,"Not applicable")</f>
        <v>0</v>
      </c>
      <c r="E27" s="11" t="n">
        <f aca="false">C27-D27</f>
        <v>7</v>
      </c>
      <c r="F27" s="11" t="n">
        <f aca="false">COUNTIFS(Checklist!$B$6:$B$119,$B27,Checklist!$J$6:$J$119,"Done")</f>
        <v>0</v>
      </c>
      <c r="G27" s="11" t="n">
        <f aca="false">COUNTIFS(Checklist!$B$6:$B$119,$B27,Checklist!$J$6:$J$119,"In progress")</f>
        <v>0</v>
      </c>
      <c r="H27" s="11" t="n">
        <f aca="false">E27-F27-G27</f>
        <v>7</v>
      </c>
      <c r="I27" s="12" t="n">
        <f aca="false">IF(E27=0,"",F27/E27)</f>
        <v>0</v>
      </c>
      <c r="J27" s="11" t="n">
        <f aca="false">COUNTIFS(Checklist!$B$6:$B$119,$B27,Checklist!$N$6:$N$119,"High",Checklist!$J$6:$J$119,"&lt;&gt;Done",Checklist!$J$6:$J$119,"&lt;&gt;Not applicable")</f>
        <v>0</v>
      </c>
      <c r="K27" s="11" t="n">
        <f aca="false">COUNTIFS(Checklist!$B$6:$B$119,$B27,Checklist!$P$6:$P$119,"OVERDUE")</f>
        <v>0</v>
      </c>
    </row>
    <row r="28" customFormat="false" ht="15" hidden="false" customHeight="false" outlineLevel="0" collapsed="false">
      <c r="B28" s="10" t="s">
        <v>52</v>
      </c>
      <c r="C28" s="11" t="n">
        <f aca="false">COUNTIFS(Checklist!$B$6:$B$119,$B28,Checklist!$A$6:$A$119,"&lt;&gt;")+COUNTIFS(Checklist!$B$6:$B$119,$B28,Checklist!$A$6:$A$119,"",Checklist!$D$6:$D$119,"&lt;&gt;")</f>
        <v>8</v>
      </c>
      <c r="D28" s="11" t="n">
        <f aca="false">COUNTIFS(Checklist!$B$6:$B$119,$B28,Checklist!$J$6:$J$119,"Not applicable")</f>
        <v>0</v>
      </c>
      <c r="E28" s="11" t="n">
        <f aca="false">C28-D28</f>
        <v>8</v>
      </c>
      <c r="F28" s="11" t="n">
        <f aca="false">COUNTIFS(Checklist!$B$6:$B$119,$B28,Checklist!$J$6:$J$119,"Done")</f>
        <v>0</v>
      </c>
      <c r="G28" s="11" t="n">
        <f aca="false">COUNTIFS(Checklist!$B$6:$B$119,$B28,Checklist!$J$6:$J$119,"In progress")</f>
        <v>0</v>
      </c>
      <c r="H28" s="11" t="n">
        <f aca="false">E28-F28-G28</f>
        <v>8</v>
      </c>
      <c r="I28" s="12" t="n">
        <f aca="false">IF(E28=0,"",F28/E28)</f>
        <v>0</v>
      </c>
      <c r="J28" s="11" t="n">
        <f aca="false">COUNTIFS(Checklist!$B$6:$B$119,$B28,Checklist!$N$6:$N$119,"High",Checklist!$J$6:$J$119,"&lt;&gt;Done",Checklist!$J$6:$J$119,"&lt;&gt;Not applicable")</f>
        <v>0</v>
      </c>
      <c r="K28" s="11" t="n">
        <f aca="false">COUNTIFS(Checklist!$B$6:$B$119,$B28,Checklist!$P$6:$P$119,"OVERDUE")</f>
        <v>0</v>
      </c>
    </row>
    <row r="29" customFormat="false" ht="15" hidden="false" customHeight="false" outlineLevel="0" collapsed="false">
      <c r="B29" s="10" t="s">
        <v>53</v>
      </c>
      <c r="C29" s="11" t="n">
        <f aca="false">COUNTIFS(Checklist!$B$6:$B$119,$B29,Checklist!$A$6:$A$119,"&lt;&gt;")+COUNTIFS(Checklist!$B$6:$B$119,$B29,Checklist!$A$6:$A$119,"",Checklist!$D$6:$D$119,"&lt;&gt;")</f>
        <v>9</v>
      </c>
      <c r="D29" s="11" t="n">
        <f aca="false">COUNTIFS(Checklist!$B$6:$B$119,$B29,Checklist!$J$6:$J$119,"Not applicable")</f>
        <v>0</v>
      </c>
      <c r="E29" s="11" t="n">
        <f aca="false">C29-D29</f>
        <v>9</v>
      </c>
      <c r="F29" s="11" t="n">
        <f aca="false">COUNTIFS(Checklist!$B$6:$B$119,$B29,Checklist!$J$6:$J$119,"Done")</f>
        <v>0</v>
      </c>
      <c r="G29" s="11" t="n">
        <f aca="false">COUNTIFS(Checklist!$B$6:$B$119,$B29,Checklist!$J$6:$J$119,"In progress")</f>
        <v>0</v>
      </c>
      <c r="H29" s="11" t="n">
        <f aca="false">E29-F29-G29</f>
        <v>9</v>
      </c>
      <c r="I29" s="12" t="n">
        <f aca="false">IF(E29=0,"",F29/E29)</f>
        <v>0</v>
      </c>
      <c r="J29" s="11" t="n">
        <f aca="false">COUNTIFS(Checklist!$B$6:$B$119,$B29,Checklist!$N$6:$N$119,"High",Checklist!$J$6:$J$119,"&lt;&gt;Done",Checklist!$J$6:$J$119,"&lt;&gt;Not applicable")</f>
        <v>0</v>
      </c>
      <c r="K29" s="11" t="n">
        <f aca="false">COUNTIFS(Checklist!$B$6:$B$119,$B29,Checklist!$P$6:$P$119,"OVERDUE")</f>
        <v>0</v>
      </c>
    </row>
    <row r="30" customFormat="false" ht="15" hidden="false" customHeight="false" outlineLevel="0" collapsed="false">
      <c r="B30" s="10" t="s">
        <v>54</v>
      </c>
      <c r="C30" s="11" t="n">
        <f aca="false">COUNTIFS(Checklist!$B$6:$B$119,$B30,Checklist!$A$6:$A$119,"&lt;&gt;")+COUNTIFS(Checklist!$B$6:$B$119,$B30,Checklist!$A$6:$A$119,"",Checklist!$D$6:$D$119,"&lt;&gt;")</f>
        <v>3</v>
      </c>
      <c r="D30" s="11" t="n">
        <f aca="false">COUNTIFS(Checklist!$B$6:$B$119,$B30,Checklist!$J$6:$J$119,"Not applicable")</f>
        <v>0</v>
      </c>
      <c r="E30" s="11" t="n">
        <f aca="false">C30-D30</f>
        <v>3</v>
      </c>
      <c r="F30" s="11" t="n">
        <f aca="false">COUNTIFS(Checklist!$B$6:$B$119,$B30,Checklist!$J$6:$J$119,"Done")</f>
        <v>0</v>
      </c>
      <c r="G30" s="11" t="n">
        <f aca="false">COUNTIFS(Checklist!$B$6:$B$119,$B30,Checklist!$J$6:$J$119,"In progress")</f>
        <v>0</v>
      </c>
      <c r="H30" s="11" t="n">
        <f aca="false">E30-F30-G30</f>
        <v>3</v>
      </c>
      <c r="I30" s="12" t="n">
        <f aca="false">IF(E30=0,"",F30/E30)</f>
        <v>0</v>
      </c>
      <c r="J30" s="11" t="n">
        <f aca="false">COUNTIFS(Checklist!$B$6:$B$119,$B30,Checklist!$N$6:$N$119,"High",Checklist!$J$6:$J$119,"&lt;&gt;Done",Checklist!$J$6:$J$119,"&lt;&gt;Not applicable")</f>
        <v>0</v>
      </c>
      <c r="K30" s="11" t="n">
        <f aca="false">COUNTIFS(Checklist!$B$6:$B$119,$B30,Checklist!$P$6:$P$119,"OVERDUE")</f>
        <v>0</v>
      </c>
    </row>
    <row r="31" customFormat="false" ht="15" hidden="false" customHeight="false" outlineLevel="0" collapsed="false">
      <c r="B31" s="10" t="s">
        <v>55</v>
      </c>
      <c r="C31" s="11" t="n">
        <f aca="false">COUNTIFS(Checklist!$B$6:$B$119,$B31,Checklist!$A$6:$A$119,"&lt;&gt;")+COUNTIFS(Checklist!$B$6:$B$119,$B31,Checklist!$A$6:$A$119,"",Checklist!$D$6:$D$119,"&lt;&gt;")</f>
        <v>3</v>
      </c>
      <c r="D31" s="11" t="n">
        <f aca="false">COUNTIFS(Checklist!$B$6:$B$119,$B31,Checklist!$J$6:$J$119,"Not applicable")</f>
        <v>0</v>
      </c>
      <c r="E31" s="11" t="n">
        <f aca="false">C31-D31</f>
        <v>3</v>
      </c>
      <c r="F31" s="11" t="n">
        <f aca="false">COUNTIFS(Checklist!$B$6:$B$119,$B31,Checklist!$J$6:$J$119,"Done")</f>
        <v>0</v>
      </c>
      <c r="G31" s="11" t="n">
        <f aca="false">COUNTIFS(Checklist!$B$6:$B$119,$B31,Checklist!$J$6:$J$119,"In progress")</f>
        <v>0</v>
      </c>
      <c r="H31" s="11" t="n">
        <f aca="false">E31-F31-G31</f>
        <v>3</v>
      </c>
      <c r="I31" s="12" t="n">
        <f aca="false">IF(E31=0,"",F31/E31)</f>
        <v>0</v>
      </c>
      <c r="J31" s="11" t="n">
        <f aca="false">COUNTIFS(Checklist!$B$6:$B$119,$B31,Checklist!$N$6:$N$119,"High",Checklist!$J$6:$J$119,"&lt;&gt;Done",Checklist!$J$6:$J$119,"&lt;&gt;Not applicable")</f>
        <v>0</v>
      </c>
      <c r="K31" s="11" t="n">
        <f aca="false">COUNTIFS(Checklist!$B$6:$B$119,$B31,Checklist!$P$6:$P$119,"OVERDUE")</f>
        <v>0</v>
      </c>
    </row>
    <row r="32" customFormat="false" ht="15" hidden="false" customHeight="false" outlineLevel="0" collapsed="false">
      <c r="B32" s="13" t="s">
        <v>56</v>
      </c>
      <c r="C32" s="14" t="n">
        <f aca="false">SUM(C16:C31)</f>
        <v>99</v>
      </c>
      <c r="D32" s="14" t="n">
        <f aca="false">SUM(D16:D31)</f>
        <v>0</v>
      </c>
      <c r="E32" s="14" t="n">
        <f aca="false">SUM(E16:E31)</f>
        <v>99</v>
      </c>
      <c r="F32" s="14" t="n">
        <f aca="false">SUM(F16:F31)</f>
        <v>1</v>
      </c>
      <c r="G32" s="14" t="n">
        <f aca="false">SUM(G16:G31)</f>
        <v>1</v>
      </c>
      <c r="H32" s="14" t="n">
        <f aca="false">SUM(H16:H31)</f>
        <v>97</v>
      </c>
      <c r="I32" s="15" t="n">
        <f aca="false">IF(E32=0,"",F32/E32)</f>
        <v>0.0101010101010101</v>
      </c>
      <c r="J32" s="14" t="n">
        <f aca="false">SUM(J16:J31)</f>
        <v>2</v>
      </c>
      <c r="K32" s="14" t="n">
        <f aca="false">SUM(K16:K31)</f>
        <v>1</v>
      </c>
    </row>
    <row r="34" customFormat="false" ht="15" hidden="false" customHeight="false" outlineLevel="0" collapsed="false">
      <c r="B34" s="16" t="s">
        <v>57</v>
      </c>
    </row>
    <row r="35" customFormat="false" ht="15" hidden="false" customHeight="true" outlineLevel="0" collapsed="false">
      <c r="B35" s="6" t="s">
        <v>58</v>
      </c>
      <c r="C35" s="6" t="s">
        <v>59</v>
      </c>
      <c r="D35" s="6" t="s">
        <v>30</v>
      </c>
      <c r="E35" s="6"/>
      <c r="F35" s="6" t="s">
        <v>60</v>
      </c>
      <c r="G35" s="6"/>
      <c r="H35" s="6" t="s">
        <v>61</v>
      </c>
      <c r="I35" s="6"/>
      <c r="J35" s="6" t="s">
        <v>62</v>
      </c>
      <c r="K35" s="6"/>
    </row>
    <row r="36" customFormat="false" ht="15" hidden="false" customHeight="false" outlineLevel="0" collapsed="false">
      <c r="B36" s="17" t="n">
        <v>1</v>
      </c>
      <c r="C36" s="11" t="str">
        <f aca="false">IFERROR(INDEX(Checklist!$A$6:$A$119,MATCH(1,Checklist!$R$6:$R$119,0)),"")</f>
        <v>NOT-01</v>
      </c>
      <c r="D36" s="18" t="str">
        <f aca="false">IFERROR(INDEX(Checklist!$B$6:$B$119,MATCH(1,Checklist!$R$6:$R$119,0)),"")</f>
        <v>Notice</v>
      </c>
      <c r="E36" s="18"/>
      <c r="F36" s="18" t="str">
        <f aca="false">IFERROR(IF(INDEX(Checklist!$L$6:$L$119,MATCH(1,Checklist!$R$6:$R$119,0))="","(no owner)",INDEX(Checklist!$L$6:$L$119,MATCH(1,Checklist!$R$6:$R$119,0))),"")</f>
        <v>Head of Privacy</v>
      </c>
      <c r="G36" s="18"/>
      <c r="H36" s="19" t="n">
        <f aca="false">IFERROR(IF(INDEX(Checklist!$O$6:$O$119,MATCH(1,Checklist!$R$6:$R$119,0))="","",INDEX(Checklist!$O$6:$O$119,MATCH(1,Checklist!$R$6:$R$119,0))),"")</f>
        <v>46418</v>
      </c>
      <c r="I36" s="19"/>
      <c r="J36" s="11" t="str">
        <f aca="false">IFERROR(INDEX(Checklist!$P$6:$P$119,MATCH(1,Checklist!$R$6:$R$119,0)),"")</f>
        <v/>
      </c>
      <c r="K36" s="11"/>
    </row>
    <row r="37" customFormat="false" ht="15" hidden="false" customHeight="false" outlineLevel="0" collapsed="false">
      <c r="B37" s="17" t="n">
        <v>2</v>
      </c>
      <c r="C37" s="11" t="str">
        <f aca="false">IFERROR(INDEX(Checklist!$A$6:$A$119,MATCH(2,Checklist!$R$6:$R$119,0)),"")</f>
        <v>BRE-05</v>
      </c>
      <c r="D37" s="18" t="str">
        <f aca="false">IFERROR(INDEX(Checklist!$B$6:$B$119,MATCH(2,Checklist!$R$6:$R$119,0)),"")</f>
        <v>Breach intimation</v>
      </c>
      <c r="E37" s="18"/>
      <c r="F37" s="18" t="str">
        <f aca="false">IFERROR(IF(INDEX(Checklist!$L$6:$L$119,MATCH(2,Checklist!$R$6:$R$119,0))="","(no owner)",INDEX(Checklist!$L$6:$L$119,MATCH(2,Checklist!$R$6:$R$119,0))),"")</f>
        <v>(no owner)</v>
      </c>
      <c r="G37" s="18"/>
      <c r="H37" s="19" t="n">
        <f aca="false">IFERROR(IF(INDEX(Checklist!$O$6:$O$119,MATCH(2,Checklist!$R$6:$R$119,0))="","",INDEX(Checklist!$O$6:$O$119,MATCH(2,Checklist!$R$6:$R$119,0))),"")</f>
        <v>46295</v>
      </c>
      <c r="I37" s="19"/>
      <c r="J37" s="11" t="str">
        <f aca="false">IFERROR(INDEX(Checklist!$P$6:$P$119,MATCH(2,Checklist!$R$6:$R$119,0)),"")</f>
        <v>OVERDUE</v>
      </c>
      <c r="K37" s="11"/>
    </row>
    <row r="38" customFormat="false" ht="15" hidden="false" customHeight="false" outlineLevel="0" collapsed="false">
      <c r="B38" s="17" t="n">
        <v>3</v>
      </c>
      <c r="C38" s="11" t="str">
        <f aca="false">IFERROR(INDEX(Checklist!$A$6:$A$119,MATCH(3,Checklist!$R$6:$R$119,0)),"")</f>
        <v/>
      </c>
      <c r="D38" s="18" t="str">
        <f aca="false">IFERROR(INDEX(Checklist!$B$6:$B$119,MATCH(3,Checklist!$R$6:$R$119,0)),"")</f>
        <v/>
      </c>
      <c r="E38" s="18"/>
      <c r="F38" s="18" t="str">
        <f aca="false">IFERROR(IF(INDEX(Checklist!$L$6:$L$119,MATCH(3,Checklist!$R$6:$R$119,0))="","(no owner)",INDEX(Checklist!$L$6:$L$119,MATCH(3,Checklist!$R$6:$R$119,0))),"")</f>
        <v/>
      </c>
      <c r="G38" s="18"/>
      <c r="H38" s="19" t="str">
        <f aca="false">IFERROR(IF(INDEX(Checklist!$O$6:$O$119,MATCH(3,Checklist!$R$6:$R$119,0))="","",INDEX(Checklist!$O$6:$O$119,MATCH(3,Checklist!$R$6:$R$119,0))),"")</f>
        <v/>
      </c>
      <c r="I38" s="19"/>
      <c r="J38" s="11" t="str">
        <f aca="false">IFERROR(INDEX(Checklist!$P$6:$P$119,MATCH(3,Checklist!$R$6:$R$119,0)),"")</f>
        <v/>
      </c>
      <c r="K38" s="11"/>
    </row>
    <row r="39" customFormat="false" ht="15" hidden="false" customHeight="false" outlineLevel="0" collapsed="false">
      <c r="B39" s="17" t="n">
        <v>4</v>
      </c>
      <c r="C39" s="11" t="str">
        <f aca="false">IFERROR(INDEX(Checklist!$A$6:$A$119,MATCH(4,Checklist!$R$6:$R$119,0)),"")</f>
        <v/>
      </c>
      <c r="D39" s="18" t="str">
        <f aca="false">IFERROR(INDEX(Checklist!$B$6:$B$119,MATCH(4,Checklist!$R$6:$R$119,0)),"")</f>
        <v/>
      </c>
      <c r="E39" s="18"/>
      <c r="F39" s="18" t="str">
        <f aca="false">IFERROR(IF(INDEX(Checklist!$L$6:$L$119,MATCH(4,Checklist!$R$6:$R$119,0))="","(no owner)",INDEX(Checklist!$L$6:$L$119,MATCH(4,Checklist!$R$6:$R$119,0))),"")</f>
        <v/>
      </c>
      <c r="G39" s="18"/>
      <c r="H39" s="19" t="str">
        <f aca="false">IFERROR(IF(INDEX(Checklist!$O$6:$O$119,MATCH(4,Checklist!$R$6:$R$119,0))="","",INDEX(Checklist!$O$6:$O$119,MATCH(4,Checklist!$R$6:$R$119,0))),"")</f>
        <v/>
      </c>
      <c r="I39" s="19"/>
      <c r="J39" s="11" t="str">
        <f aca="false">IFERROR(INDEX(Checklist!$P$6:$P$119,MATCH(4,Checklist!$R$6:$R$119,0)),"")</f>
        <v/>
      </c>
      <c r="K39" s="11"/>
    </row>
    <row r="40" customFormat="false" ht="15" hidden="false" customHeight="false" outlineLevel="0" collapsed="false">
      <c r="B40" s="17" t="n">
        <v>5</v>
      </c>
      <c r="C40" s="11" t="str">
        <f aca="false">IFERROR(INDEX(Checklist!$A$6:$A$119,MATCH(5,Checklist!$R$6:$R$119,0)),"")</f>
        <v/>
      </c>
      <c r="D40" s="18" t="str">
        <f aca="false">IFERROR(INDEX(Checklist!$B$6:$B$119,MATCH(5,Checklist!$R$6:$R$119,0)),"")</f>
        <v/>
      </c>
      <c r="E40" s="18"/>
      <c r="F40" s="18" t="str">
        <f aca="false">IFERROR(IF(INDEX(Checklist!$L$6:$L$119,MATCH(5,Checklist!$R$6:$R$119,0))="","(no owner)",INDEX(Checklist!$L$6:$L$119,MATCH(5,Checklist!$R$6:$R$119,0))),"")</f>
        <v/>
      </c>
      <c r="G40" s="18"/>
      <c r="H40" s="19" t="str">
        <f aca="false">IFERROR(IF(INDEX(Checklist!$O$6:$O$119,MATCH(5,Checklist!$R$6:$R$119,0))="","",INDEX(Checklist!$O$6:$O$119,MATCH(5,Checklist!$R$6:$R$119,0))),"")</f>
        <v/>
      </c>
      <c r="I40" s="19"/>
      <c r="J40" s="11" t="str">
        <f aca="false">IFERROR(INDEX(Checklist!$P$6:$P$119,MATCH(5,Checklist!$R$6:$R$119,0)),"")</f>
        <v/>
      </c>
      <c r="K40" s="11"/>
    </row>
    <row r="41" customFormat="false" ht="15" hidden="false" customHeight="false" outlineLevel="0" collapsed="false">
      <c r="B41" s="17" t="n">
        <v>6</v>
      </c>
      <c r="C41" s="11" t="str">
        <f aca="false">IFERROR(INDEX(Checklist!$A$6:$A$119,MATCH(6,Checklist!$R$6:$R$119,0)),"")</f>
        <v/>
      </c>
      <c r="D41" s="18" t="str">
        <f aca="false">IFERROR(INDEX(Checklist!$B$6:$B$119,MATCH(6,Checklist!$R$6:$R$119,0)),"")</f>
        <v/>
      </c>
      <c r="E41" s="18"/>
      <c r="F41" s="18" t="str">
        <f aca="false">IFERROR(IF(INDEX(Checklist!$L$6:$L$119,MATCH(6,Checklist!$R$6:$R$119,0))="","(no owner)",INDEX(Checklist!$L$6:$L$119,MATCH(6,Checklist!$R$6:$R$119,0))),"")</f>
        <v/>
      </c>
      <c r="G41" s="18"/>
      <c r="H41" s="19" t="str">
        <f aca="false">IFERROR(IF(INDEX(Checklist!$O$6:$O$119,MATCH(6,Checklist!$R$6:$R$119,0))="","",INDEX(Checklist!$O$6:$O$119,MATCH(6,Checklist!$R$6:$R$119,0))),"")</f>
        <v/>
      </c>
      <c r="I41" s="19"/>
      <c r="J41" s="11" t="str">
        <f aca="false">IFERROR(INDEX(Checklist!$P$6:$P$119,MATCH(6,Checklist!$R$6:$R$119,0)),"")</f>
        <v/>
      </c>
      <c r="K41" s="11"/>
    </row>
    <row r="42" customFormat="false" ht="15" hidden="false" customHeight="false" outlineLevel="0" collapsed="false">
      <c r="B42" s="17" t="n">
        <v>7</v>
      </c>
      <c r="C42" s="11" t="str">
        <f aca="false">IFERROR(INDEX(Checklist!$A$6:$A$119,MATCH(7,Checklist!$R$6:$R$119,0)),"")</f>
        <v/>
      </c>
      <c r="D42" s="18" t="str">
        <f aca="false">IFERROR(INDEX(Checklist!$B$6:$B$119,MATCH(7,Checklist!$R$6:$R$119,0)),"")</f>
        <v/>
      </c>
      <c r="E42" s="18"/>
      <c r="F42" s="18" t="str">
        <f aca="false">IFERROR(IF(INDEX(Checklist!$L$6:$L$119,MATCH(7,Checklist!$R$6:$R$119,0))="","(no owner)",INDEX(Checklist!$L$6:$L$119,MATCH(7,Checklist!$R$6:$R$119,0))),"")</f>
        <v/>
      </c>
      <c r="G42" s="18"/>
      <c r="H42" s="19" t="str">
        <f aca="false">IFERROR(IF(INDEX(Checklist!$O$6:$O$119,MATCH(7,Checklist!$R$6:$R$119,0))="","",INDEX(Checklist!$O$6:$O$119,MATCH(7,Checklist!$R$6:$R$119,0))),"")</f>
        <v/>
      </c>
      <c r="I42" s="19"/>
      <c r="J42" s="11" t="str">
        <f aca="false">IFERROR(INDEX(Checklist!$P$6:$P$119,MATCH(7,Checklist!$R$6:$R$119,0)),"")</f>
        <v/>
      </c>
      <c r="K42" s="11"/>
    </row>
    <row r="43" customFormat="false" ht="15" hidden="false" customHeight="false" outlineLevel="0" collapsed="false">
      <c r="B43" s="17" t="n">
        <v>8</v>
      </c>
      <c r="C43" s="11" t="str">
        <f aca="false">IFERROR(INDEX(Checklist!$A$6:$A$119,MATCH(8,Checklist!$R$6:$R$119,0)),"")</f>
        <v/>
      </c>
      <c r="D43" s="18" t="str">
        <f aca="false">IFERROR(INDEX(Checklist!$B$6:$B$119,MATCH(8,Checklist!$R$6:$R$119,0)),"")</f>
        <v/>
      </c>
      <c r="E43" s="18"/>
      <c r="F43" s="18" t="str">
        <f aca="false">IFERROR(IF(INDEX(Checklist!$L$6:$L$119,MATCH(8,Checklist!$R$6:$R$119,0))="","(no owner)",INDEX(Checklist!$L$6:$L$119,MATCH(8,Checklist!$R$6:$R$119,0))),"")</f>
        <v/>
      </c>
      <c r="G43" s="18"/>
      <c r="H43" s="19" t="str">
        <f aca="false">IFERROR(IF(INDEX(Checklist!$O$6:$O$119,MATCH(8,Checklist!$R$6:$R$119,0))="","",INDEX(Checklist!$O$6:$O$119,MATCH(8,Checklist!$R$6:$R$119,0))),"")</f>
        <v/>
      </c>
      <c r="I43" s="19"/>
      <c r="J43" s="11" t="str">
        <f aca="false">IFERROR(INDEX(Checklist!$P$6:$P$119,MATCH(8,Checklist!$R$6:$R$119,0)),"")</f>
        <v/>
      </c>
      <c r="K43" s="11"/>
    </row>
    <row r="44" customFormat="false" ht="15" hidden="false" customHeight="false" outlineLevel="0" collapsed="false">
      <c r="B44" s="17" t="n">
        <v>9</v>
      </c>
      <c r="C44" s="11" t="str">
        <f aca="false">IFERROR(INDEX(Checklist!$A$6:$A$119,MATCH(9,Checklist!$R$6:$R$119,0)),"")</f>
        <v/>
      </c>
      <c r="D44" s="18" t="str">
        <f aca="false">IFERROR(INDEX(Checklist!$B$6:$B$119,MATCH(9,Checklist!$R$6:$R$119,0)),"")</f>
        <v/>
      </c>
      <c r="E44" s="18"/>
      <c r="F44" s="18" t="str">
        <f aca="false">IFERROR(IF(INDEX(Checklist!$L$6:$L$119,MATCH(9,Checklist!$R$6:$R$119,0))="","(no owner)",INDEX(Checklist!$L$6:$L$119,MATCH(9,Checklist!$R$6:$R$119,0))),"")</f>
        <v/>
      </c>
      <c r="G44" s="18"/>
      <c r="H44" s="19" t="str">
        <f aca="false">IFERROR(IF(INDEX(Checklist!$O$6:$O$119,MATCH(9,Checklist!$R$6:$R$119,0))="","",INDEX(Checklist!$O$6:$O$119,MATCH(9,Checklist!$R$6:$R$119,0))),"")</f>
        <v/>
      </c>
      <c r="I44" s="19"/>
      <c r="J44" s="11" t="str">
        <f aca="false">IFERROR(INDEX(Checklist!$P$6:$P$119,MATCH(9,Checklist!$R$6:$R$119,0)),"")</f>
        <v/>
      </c>
      <c r="K44" s="11"/>
    </row>
    <row r="45" customFormat="false" ht="15" hidden="false" customHeight="false" outlineLevel="0" collapsed="false">
      <c r="B45" s="17" t="n">
        <v>10</v>
      </c>
      <c r="C45" s="11" t="str">
        <f aca="false">IFERROR(INDEX(Checklist!$A$6:$A$119,MATCH(10,Checklist!$R$6:$R$119,0)),"")</f>
        <v/>
      </c>
      <c r="D45" s="18" t="str">
        <f aca="false">IFERROR(INDEX(Checklist!$B$6:$B$119,MATCH(10,Checklist!$R$6:$R$119,0)),"")</f>
        <v/>
      </c>
      <c r="E45" s="18"/>
      <c r="F45" s="18" t="str">
        <f aca="false">IFERROR(IF(INDEX(Checklist!$L$6:$L$119,MATCH(10,Checklist!$R$6:$R$119,0))="","(no owner)",INDEX(Checklist!$L$6:$L$119,MATCH(10,Checklist!$R$6:$R$119,0))),"")</f>
        <v/>
      </c>
      <c r="G45" s="18"/>
      <c r="H45" s="19" t="str">
        <f aca="false">IFERROR(IF(INDEX(Checklist!$O$6:$O$119,MATCH(10,Checklist!$R$6:$R$119,0))="","",INDEX(Checklist!$O$6:$O$119,MATCH(10,Checklist!$R$6:$R$119,0))),"")</f>
        <v/>
      </c>
      <c r="I45" s="19"/>
      <c r="J45" s="11" t="str">
        <f aca="false">IFERROR(INDEX(Checklist!$P$6:$P$119,MATCH(10,Checklist!$R$6:$R$119,0)),"")</f>
        <v/>
      </c>
      <c r="K45" s="11"/>
    </row>
    <row r="47" customFormat="false" ht="27.75" hidden="false" customHeight="true" outlineLevel="0" collapsed="false">
      <c r="B47" s="20" t="s">
        <v>63</v>
      </c>
      <c r="C47" s="20"/>
      <c r="D47" s="20"/>
      <c r="E47" s="20"/>
      <c r="F47" s="20"/>
      <c r="G47" s="20"/>
      <c r="H47" s="20"/>
      <c r="I47" s="20"/>
      <c r="J47" s="20"/>
      <c r="K47" s="20"/>
    </row>
  </sheetData>
  <mergeCells count="45">
    <mergeCell ref="D35:E35"/>
    <mergeCell ref="F35:G35"/>
    <mergeCell ref="H35:I35"/>
    <mergeCell ref="J35:K35"/>
    <mergeCell ref="D36:E36"/>
    <mergeCell ref="F36:G36"/>
    <mergeCell ref="H36:I36"/>
    <mergeCell ref="J36:K36"/>
    <mergeCell ref="D37:E37"/>
    <mergeCell ref="F37:G37"/>
    <mergeCell ref="H37:I37"/>
    <mergeCell ref="J37:K37"/>
    <mergeCell ref="D38:E38"/>
    <mergeCell ref="F38:G38"/>
    <mergeCell ref="H38:I38"/>
    <mergeCell ref="J38:K38"/>
    <mergeCell ref="D39:E39"/>
    <mergeCell ref="F39:G39"/>
    <mergeCell ref="H39:I39"/>
    <mergeCell ref="J39:K39"/>
    <mergeCell ref="D40:E40"/>
    <mergeCell ref="F40:G40"/>
    <mergeCell ref="H40:I40"/>
    <mergeCell ref="J40:K40"/>
    <mergeCell ref="D41:E41"/>
    <mergeCell ref="F41:G41"/>
    <mergeCell ref="H41:I41"/>
    <mergeCell ref="J41:K41"/>
    <mergeCell ref="D42:E42"/>
    <mergeCell ref="F42:G42"/>
    <mergeCell ref="H42:I42"/>
    <mergeCell ref="J42:K42"/>
    <mergeCell ref="D43:E43"/>
    <mergeCell ref="F43:G43"/>
    <mergeCell ref="H43:I43"/>
    <mergeCell ref="J43:K43"/>
    <mergeCell ref="D44:E44"/>
    <mergeCell ref="F44:G44"/>
    <mergeCell ref="H44:I44"/>
    <mergeCell ref="J44:K44"/>
    <mergeCell ref="D45:E45"/>
    <mergeCell ref="F45:G45"/>
    <mergeCell ref="H45:I45"/>
    <mergeCell ref="J45:K45"/>
    <mergeCell ref="B47:K47"/>
  </mergeCells>
  <conditionalFormatting sqref="I16:I32">
    <cfRule type="expression" priority="2" aboveAverage="0" equalAverage="0" bottom="0" percent="0" rank="0" text="" dxfId="0">
      <formula>AND(ISNUMBER(I16),I16&lt;0.5)</formula>
    </cfRule>
    <cfRule type="expression" priority="3" aboveAverage="0" equalAverage="0" bottom="0" percent="0" rank="0" text="" dxfId="1">
      <formula>AND(ISNUMBER(I16),I16&gt;=0.5,I16&lt;0.8)</formula>
    </cfRule>
    <cfRule type="expression" priority="4" aboveAverage="0" equalAverage="0" bottom="0" percent="0" rank="0" text="" dxfId="2">
      <formula>AND(ISNUMBER(I16),I16&gt;=0.8)</formula>
    </cfRule>
  </conditionalFormatting>
  <conditionalFormatting sqref="J16:J32">
    <cfRule type="cellIs" priority="5" operator="greaterThan" aboveAverage="0" equalAverage="0" bottom="0" percent="0" rank="0" text="" dxfId="0">
      <formula>0</formula>
    </cfRule>
  </conditionalFormatting>
  <conditionalFormatting sqref="K16:K32">
    <cfRule type="cellIs" priority="6" operator="greaterThan" aboveAverage="0" equalAverage="0" bottom="0" percent="0" rank="0" text="" dxfId="0">
      <formula>0</formula>
    </cfRule>
  </conditionalFormatting>
  <conditionalFormatting sqref="C9">
    <cfRule type="cellIs" priority="7" operator="greaterThan" aboveAverage="0" equalAverage="0" bottom="0" percent="0" rank="0" text="" dxfId="0">
      <formula>0</formula>
    </cfRule>
  </conditionalFormatting>
  <conditionalFormatting sqref="C10">
    <cfRule type="cellIs" priority="8" operator="greaterThan" aboveAverage="0" equalAverage="0" bottom="0" percent="0" rank="0" text="" dxfId="0">
      <formula>0</formula>
    </cfRule>
  </conditionalFormatting>
  <conditionalFormatting sqref="C11">
    <cfRule type="cellIs" priority="9" operator="greaterThan" aboveAverage="0" equalAverage="0" bottom="0" percent="0" rank="0" text="" dxfId="0">
      <formula>0</formula>
    </cfRule>
  </conditionalFormatting>
  <conditionalFormatting sqref="C12">
    <cfRule type="cellIs" priority="10" operator="greaterThan" aboveAverage="0" equalAverage="0" bottom="0" percent="0" rank="0" text="" dxfId="0">
      <formula>0</formula>
    </cfRule>
  </conditionalFormatting>
  <conditionalFormatting sqref="C13">
    <cfRule type="cellIs" priority="11" operator="greaterThan" aboveAverage="0" equalAverage="0" bottom="0" percent="0" rank="0" text="" dxfId="0">
      <formula>0</formula>
    </cfRule>
  </conditionalFormatting>
  <conditionalFormatting sqref="J36:J45">
    <cfRule type="cellIs" priority="12" operator="equal" aboveAverage="0" equalAverage="0" bottom="0" percent="0" rank="0" text="" dxfId="0">
      <formula>"OVERDUE"</formula>
    </cfRule>
  </conditionalFormatting>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rowBreaks count="1" manualBreakCount="1">
    <brk id="33" man="true" max="16383" min="0"/>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6"/>
    <col collapsed="false" customWidth="true" hidden="false" outlineLevel="0" max="3" min="3" style="0" width="62"/>
    <col collapsed="false" customWidth="true" hidden="false" outlineLevel="0" max="4" min="4" style="0" width="16"/>
    <col collapsed="false" customWidth="true" hidden="false" outlineLevel="0" max="5" min="5" style="0" width="12"/>
    <col collapsed="false" customWidth="true" hidden="false" outlineLevel="0" max="6" min="6" style="0" width="52"/>
    <col collapsed="false" customWidth="true" hidden="false" outlineLevel="0" max="7" min="7" style="0" width="10"/>
  </cols>
  <sheetData>
    <row r="1" customFormat="false" ht="48" hidden="false" customHeight="true" outlineLevel="0" collapsed="false">
      <c r="B1" s="1" t="s">
        <v>64</v>
      </c>
    </row>
    <row r="2" customFormat="false" ht="18" hidden="false" customHeight="true" outlineLevel="0" collapsed="false">
      <c r="B2" s="2" t="s">
        <v>1</v>
      </c>
    </row>
    <row r="3" customFormat="false" ht="3.75" hidden="false" customHeight="true" outlineLevel="0" collapsed="false">
      <c r="A3" s="3"/>
      <c r="B3" s="3"/>
      <c r="C3" s="3"/>
      <c r="D3" s="3"/>
      <c r="E3" s="3"/>
      <c r="F3" s="3"/>
      <c r="G3" s="3"/>
    </row>
    <row r="5" customFormat="false" ht="30" hidden="false" customHeight="true" outlineLevel="0" collapsed="false">
      <c r="C5" s="21" t="s">
        <v>65</v>
      </c>
      <c r="F5" s="22" t="str">
        <f aca="false">IF(COUNTA(E8:E20)&lt;13,"Answer all 13 questions",IF(E10="Yes","Likely excluded under s.3(c)(i) - record your reasoning",IF(OR(E8&lt;&gt;"No",E9&lt;&gt;"No"),"In scope - work through the Checklist","Likely out of scope - record your reasoning and re-check yearly")))</f>
        <v>Answer all 13 questions</v>
      </c>
    </row>
    <row r="7" customFormat="false" ht="15" hidden="false" customHeight="false" outlineLevel="0" collapsed="false">
      <c r="B7" s="6" t="s">
        <v>66</v>
      </c>
      <c r="C7" s="6" t="s">
        <v>67</v>
      </c>
      <c r="D7" s="6" t="s">
        <v>68</v>
      </c>
      <c r="E7" s="6" t="s">
        <v>69</v>
      </c>
      <c r="F7" s="6" t="s">
        <v>70</v>
      </c>
      <c r="G7" s="6" t="s">
        <v>71</v>
      </c>
    </row>
    <row r="8" customFormat="false" ht="30" hidden="false" customHeight="true" outlineLevel="0" collapsed="false">
      <c r="B8" s="23" t="n">
        <v>1</v>
      </c>
      <c r="C8" s="23" t="s">
        <v>72</v>
      </c>
      <c r="D8" s="23" t="s">
        <v>73</v>
      </c>
      <c r="E8" s="24"/>
      <c r="F8" s="25" t="str">
        <f aca="false">IF(E8="","Answer this question",IF(E8="Yes","In scope under s.3(a).",IF(E8="No","Not in scope through s.3(a) - check the next question.","Not sure - treat as Yes until confirmed.")))</f>
        <v>Answer this question</v>
      </c>
      <c r="G8" s="26" t="s">
        <v>74</v>
      </c>
    </row>
    <row r="9" customFormat="false" ht="30" hidden="false" customHeight="true" outlineLevel="0" collapsed="false">
      <c r="B9" s="23" t="n">
        <v>2</v>
      </c>
      <c r="C9" s="23" t="s">
        <v>75</v>
      </c>
      <c r="D9" s="23" t="s">
        <v>76</v>
      </c>
      <c r="E9" s="24"/>
      <c r="F9" s="25" t="str">
        <f aca="false">IF(E9="","Answer this question",IF(E9="Yes","In scope under s.3(b), even though processing happens outside India.",IF(E9="No","Not in scope through s.3(b).","Not sure - treat as Yes until confirmed.")))</f>
        <v>Answer this question</v>
      </c>
      <c r="G9" s="26" t="s">
        <v>77</v>
      </c>
    </row>
    <row r="10" customFormat="false" ht="30" hidden="false" customHeight="true" outlineLevel="0" collapsed="false">
      <c r="B10" s="23" t="n">
        <v>3</v>
      </c>
      <c r="C10" s="23" t="s">
        <v>78</v>
      </c>
      <c r="D10" s="23" t="s">
        <v>79</v>
      </c>
      <c r="E10" s="24"/>
      <c r="F10" s="25" t="str">
        <f aca="false">IF(E10="","Answer this question",IF(E10="Yes","Likely excluded - record your reasoning.",IF(E10="No","The personal / domestic exclusion does not help you.","Not sure - treat as Yes until confirmed.")))</f>
        <v>Answer this question</v>
      </c>
      <c r="G10" s="26" t="s">
        <v>80</v>
      </c>
    </row>
    <row r="11" customFormat="false" ht="30" hidden="false" customHeight="true" outlineLevel="0" collapsed="false">
      <c r="B11" s="23" t="n">
        <v>4</v>
      </c>
      <c r="C11" s="23" t="s">
        <v>81</v>
      </c>
      <c r="D11" s="23" t="s">
        <v>82</v>
      </c>
      <c r="E11" s="24"/>
      <c r="F11" s="25" t="str">
        <f aca="false">IF(E11="","Answer this question",IF(E11="Yes","You are a Data Fiduciary - most rows apply to you.",IF(E11="No","Rows marked DF will show as not triggered - confirm before marking N/A.","Not sure - treat as Yes until confirmed.")))</f>
        <v>Answer this question</v>
      </c>
      <c r="G11" s="26" t="s">
        <v>83</v>
      </c>
    </row>
    <row r="12" customFormat="false" ht="18" hidden="false" customHeight="true" outlineLevel="0" collapsed="false">
      <c r="B12" s="23" t="n">
        <v>5</v>
      </c>
      <c r="C12" s="23" t="s">
        <v>84</v>
      </c>
      <c r="D12" s="23" t="s">
        <v>85</v>
      </c>
      <c r="E12" s="24"/>
      <c r="F12" s="25" t="str">
        <f aca="false">IF(E12="","Answer this question",IF(E12="Yes","Expect your customers to pass DPDP duties to you by contract.",IF(E12="No","Processor-only rows not triggered.","Not sure - treat as Yes until confirmed.")))</f>
        <v>Answer this question</v>
      </c>
      <c r="G12" s="26" t="s">
        <v>86</v>
      </c>
    </row>
    <row r="13" customFormat="false" ht="30" hidden="false" customHeight="true" outlineLevel="0" collapsed="false">
      <c r="B13" s="23" t="n">
        <v>6</v>
      </c>
      <c r="C13" s="23" t="s">
        <v>87</v>
      </c>
      <c r="D13" s="23" t="s">
        <v>88</v>
      </c>
      <c r="E13" s="24"/>
      <c r="F13" s="25" t="str">
        <f aca="false">IF(E13="","Answer this question",IF(E13="Yes","Significant Data Fiduciary rows apply.",IF(E13="No","SDF rows not triggered - keep watching the Gazette.","Not sure - treat as Yes until confirmed.")))</f>
        <v>Answer this question</v>
      </c>
      <c r="G13" s="26" t="s">
        <v>89</v>
      </c>
    </row>
    <row r="14" customFormat="false" ht="18" hidden="false" customHeight="true" outlineLevel="0" collapsed="false">
      <c r="B14" s="23" t="n">
        <v>7</v>
      </c>
      <c r="C14" s="23" t="s">
        <v>90</v>
      </c>
      <c r="D14" s="23" t="s">
        <v>91</v>
      </c>
      <c r="E14" s="24"/>
      <c r="F14" s="25" t="str">
        <f aca="false">IF(E14="","Answer this question",IF(E14="Yes","Children rows apply.",IF(E14="No","Children rows not triggered - check how you know users are adults.","Not sure - treat as Yes until confirmed.")))</f>
        <v>Answer this question</v>
      </c>
      <c r="G14" s="26" t="s">
        <v>92</v>
      </c>
    </row>
    <row r="15" customFormat="false" ht="30" hidden="false" customHeight="true" outlineLevel="0" collapsed="false">
      <c r="B15" s="23" t="n">
        <v>8</v>
      </c>
      <c r="C15" s="23" t="s">
        <v>93</v>
      </c>
      <c r="D15" s="23" t="s">
        <v>94</v>
      </c>
      <c r="E15" s="24"/>
      <c r="F15" s="25" t="str">
        <f aca="false">IF(E15="","Answer this question",IF(E15="Yes","Lawful-guardian consent rows apply.",IF(E15="No","Guardian row not triggered.","Not sure - treat as Yes until confirmed.")))</f>
        <v>Answer this question</v>
      </c>
      <c r="G15" s="26" t="s">
        <v>95</v>
      </c>
    </row>
    <row r="16" customFormat="false" ht="30" hidden="false" customHeight="true" outlineLevel="0" collapsed="false">
      <c r="B16" s="23" t="n">
        <v>9</v>
      </c>
      <c r="C16" s="23" t="s">
        <v>96</v>
      </c>
      <c r="D16" s="23" t="s">
        <v>97</v>
      </c>
      <c r="E16" s="24"/>
      <c r="F16" s="25" t="str">
        <f aca="false">IF(E16="","Answer this question",IF(E16="Yes","Fixed three-year inactivity erasure and 48-hour warning apply.",IF(E16="No","Third Schedule erasure rows not triggered.","Not sure - treat as Yes until confirmed.")))</f>
        <v>Answer this question</v>
      </c>
      <c r="G16" s="26" t="s">
        <v>98</v>
      </c>
    </row>
    <row r="17" customFormat="false" ht="30" hidden="false" customHeight="true" outlineLevel="0" collapsed="false">
      <c r="B17" s="23" t="n">
        <v>10</v>
      </c>
      <c r="C17" s="23" t="s">
        <v>99</v>
      </c>
      <c r="D17" s="23" t="s">
        <v>100</v>
      </c>
      <c r="E17" s="24"/>
      <c r="F17" s="25" t="str">
        <f aca="false">IF(E17="","Answer this question",IF(E17="Yes","Cross-border rows apply.",IF(E17="No","Cross-border rows not triggered - check vendor and cloud regions first.","Not sure - treat as Yes until confirmed.")))</f>
        <v>Answer this question</v>
      </c>
      <c r="G17" s="26" t="s">
        <v>101</v>
      </c>
    </row>
    <row r="18" customFormat="false" ht="30" hidden="false" customHeight="true" outlineLevel="0" collapsed="false">
      <c r="B18" s="23" t="n">
        <v>11</v>
      </c>
      <c r="C18" s="23" t="s">
        <v>102</v>
      </c>
      <c r="D18" s="23" t="s">
        <v>103</v>
      </c>
      <c r="E18" s="24"/>
      <c r="F18" s="25" t="str">
        <f aca="false">IF(E18="","Answer this question",IF(E18="Yes","Consent Manager rows apply (in force earlier than most rows).",IF(E18="No","Consent Manager rows not triggered.","Not sure - treat as Yes until confirmed.")))</f>
        <v>Answer this question</v>
      </c>
      <c r="G18" s="26" t="s">
        <v>104</v>
      </c>
    </row>
    <row r="19" customFormat="false" ht="30" hidden="false" customHeight="true" outlineLevel="0" collapsed="false">
      <c r="B19" s="23" t="n">
        <v>12</v>
      </c>
      <c r="C19" s="23" t="s">
        <v>105</v>
      </c>
      <c r="D19" s="23" t="s">
        <v>106</v>
      </c>
      <c r="E19" s="24"/>
      <c r="F19" s="25" t="str">
        <f aca="false">IF(E19="","Answer this question",IF(E19="Yes","Document the exemption, its scope and evidence.",IF(E19="No","No exemption relied on.","Not sure - treat as Yes until confirmed.")))</f>
        <v>Answer this question</v>
      </c>
      <c r="G19" s="26" t="s">
        <v>107</v>
      </c>
    </row>
    <row r="20" customFormat="false" ht="30" hidden="false" customHeight="true" outlineLevel="0" collapsed="false">
      <c r="B20" s="23" t="n">
        <v>13</v>
      </c>
      <c r="C20" s="23" t="s">
        <v>108</v>
      </c>
      <c r="D20" s="23" t="s">
        <v>109</v>
      </c>
      <c r="E20" s="24"/>
      <c r="F20" s="25" t="str">
        <f aca="false">IF(E20="","Answer this question",IF(E20="Yes","State legitimate-use row applies.",IF(E20="No","State row not triggered.","Not sure - treat as Yes until confirmed.")))</f>
        <v>Answer this question</v>
      </c>
      <c r="G20" s="26" t="s">
        <v>110</v>
      </c>
    </row>
    <row r="22" customFormat="false" ht="15" hidden="false" customHeight="false" outlineLevel="0" collapsed="false">
      <c r="C22" s="27" t="s">
        <v>111</v>
      </c>
    </row>
  </sheetData>
  <dataValidations count="1">
    <dataValidation allowBlank="true" error="Pick a value from the list" errorStyle="stop" errorTitle="Not in list" operator="between" showDropDown="false" showErrorMessage="false" showInputMessage="false" sqref="E8:E20" type="list">
      <formula1>Lists!$C$6:$C$8</formula1>
      <formula2>0</formula2>
    </dataValidation>
  </dataValidation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17"/>
    <col collapsed="false" customWidth="true" hidden="false" outlineLevel="0" max="4" min="4" style="0" width="66"/>
    <col collapsed="false" customWidth="true" hidden="false" outlineLevel="0" max="5" min="5" style="0" width="16"/>
    <col collapsed="false" customWidth="true" hidden="false" outlineLevel="0" max="6" min="6" style="0" width="7"/>
    <col collapsed="false" customWidth="true" hidden="false" outlineLevel="0" max="7" min="7" style="0" width="12"/>
    <col collapsed="false" customWidth="true" hidden="false" outlineLevel="0" max="8" min="8" style="0" width="9"/>
    <col collapsed="false" customWidth="true" hidden="false" outlineLevel="0" max="9" min="9" style="0" width="11"/>
    <col collapsed="false" customWidth="true" hidden="false" outlineLevel="0" max="10" min="10" style="0" width="13"/>
    <col collapsed="false" customWidth="true" hidden="false" outlineLevel="0" max="11" min="11" style="0" width="24"/>
    <col collapsed="false" customWidth="true" hidden="false" outlineLevel="0" max="12" min="12" style="0" width="15"/>
    <col collapsed="false" customWidth="true" hidden="false" outlineLevel="0" max="13" min="13" style="0" width="26"/>
    <col collapsed="false" customWidth="true" hidden="false" outlineLevel="0" max="14" min="14" style="0" width="10"/>
    <col collapsed="false" customWidth="true" hidden="false" outlineLevel="0" max="15" min="15" style="0" width="12"/>
    <col collapsed="false" customWidth="true" hidden="false" outlineLevel="0" max="16" min="16" style="0" width="10"/>
    <col collapsed="false" customWidth="true" hidden="false" outlineLevel="0" max="17" min="17" style="0" width="34"/>
    <col collapsed="false" customWidth="true" hidden="true" outlineLevel="0" max="18" min="18" style="0" width="7"/>
  </cols>
  <sheetData>
    <row r="1" customFormat="false" ht="48" hidden="false" customHeight="true" outlineLevel="0" collapsed="false">
      <c r="B1" s="1" t="s">
        <v>112</v>
      </c>
    </row>
    <row r="2" customFormat="false" ht="18" hidden="false" customHeight="true" outlineLevel="0" collapsed="false">
      <c r="B2" s="2" t="s">
        <v>1</v>
      </c>
    </row>
    <row r="3" customFormat="false" ht="3.75" hidden="false" customHeight="true" outlineLevel="0" collapsed="false">
      <c r="A3" s="3"/>
      <c r="B3" s="3"/>
      <c r="C3" s="3"/>
      <c r="D3" s="3"/>
      <c r="E3" s="3"/>
      <c r="F3" s="3"/>
      <c r="G3" s="3"/>
      <c r="H3" s="3"/>
      <c r="I3" s="3"/>
      <c r="J3" s="3"/>
      <c r="K3" s="3"/>
      <c r="L3" s="3"/>
      <c r="M3" s="3"/>
      <c r="N3" s="3"/>
      <c r="O3" s="3"/>
      <c r="P3" s="3"/>
      <c r="Q3" s="3"/>
      <c r="R3" s="3"/>
    </row>
    <row r="5" customFormat="false" ht="43.5" hidden="false" customHeight="true" outlineLevel="0" collapsed="false">
      <c r="A5" s="6" t="s">
        <v>59</v>
      </c>
      <c r="B5" s="6" t="s">
        <v>30</v>
      </c>
      <c r="C5" s="6" t="s">
        <v>113</v>
      </c>
      <c r="D5" s="6" t="s">
        <v>114</v>
      </c>
      <c r="E5" s="6" t="s">
        <v>115</v>
      </c>
      <c r="F5" s="6" t="s">
        <v>116</v>
      </c>
      <c r="G5" s="6" t="s">
        <v>117</v>
      </c>
      <c r="H5" s="6" t="s">
        <v>118</v>
      </c>
      <c r="I5" s="6" t="s">
        <v>119</v>
      </c>
      <c r="J5" s="6" t="s">
        <v>120</v>
      </c>
      <c r="K5" s="6" t="s">
        <v>121</v>
      </c>
      <c r="L5" s="6" t="s">
        <v>60</v>
      </c>
      <c r="M5" s="6" t="s">
        <v>122</v>
      </c>
      <c r="N5" s="6" t="s">
        <v>123</v>
      </c>
      <c r="O5" s="6" t="s">
        <v>61</v>
      </c>
      <c r="P5" s="6" t="s">
        <v>62</v>
      </c>
      <c r="Q5" s="6" t="s">
        <v>124</v>
      </c>
      <c r="R5" s="6" t="s">
        <v>125</v>
      </c>
    </row>
    <row r="6" customFormat="false" ht="51.75" hidden="false" customHeight="true" outlineLevel="0" collapsed="false">
      <c r="A6" s="28" t="s">
        <v>126</v>
      </c>
      <c r="B6" s="28" t="s">
        <v>40</v>
      </c>
      <c r="C6" s="28" t="s">
        <v>127</v>
      </c>
      <c r="D6" s="28" t="s">
        <v>128</v>
      </c>
      <c r="E6" s="28" t="s">
        <v>129</v>
      </c>
      <c r="F6" s="29" t="n">
        <v>3</v>
      </c>
      <c r="G6" s="30" t="n">
        <f aca="false">IF(F6="","",INDEX(Timeline!$C$8:$C$10,F6))</f>
        <v>46520</v>
      </c>
      <c r="H6" s="31" t="s">
        <v>130</v>
      </c>
      <c r="I6" s="32" t="str">
        <f aca="false">IF(H6="","",IF(H6="ALL","Yes",IF(IFERROR(INDEX('Applicability Screen'!$E$8:$E$20,MATCH(H6,'Applicability Screen'!$G$8:$G$20,0)),"")="","Answer screen",INDEX('Applicability Screen'!$E$8:$E$20,MATCH(H6,'Applicability Screen'!$G$8:$G$20,0)))))</f>
        <v>Yes</v>
      </c>
      <c r="J6" s="33"/>
      <c r="K6" s="33"/>
      <c r="L6" s="33"/>
      <c r="M6" s="33"/>
      <c r="N6" s="33"/>
      <c r="O6" s="34"/>
      <c r="P6" s="32" t="str">
        <f aca="true">IF(OR(O6="",J6="Done",J6="Not applicable"),"",IF(O6&lt;TODAY(),"OVERDUE",""))</f>
        <v/>
      </c>
      <c r="Q6" s="32" t="str">
        <f aca="true">IF(AND(A6="",D6=""),"",IF(AND(I6="No",J6&lt;&gt;"Not applicable"),"Screen says not triggered - confirm or mark Not applicable. ","")&amp;IF(AND(G6&lt;&gt;"",J6&lt;&gt;"Done",J6&lt;&gt;"Not applicable",G6&lt;=TODAY()),"Duty already in force. ","")&amp;IF(AND(O6&lt;&gt;"",G6&lt;&gt;"",J6&lt;&gt;"Done",J6&lt;&gt;"Not applicable",O6&gt;G6),"Target date is after the duty applies. ","")&amp;IF(AND(N6="High",L6="",J6&lt;&gt;"Done",J6&lt;&gt;"Not applicable"),"High priority with no owner. ","")&amp;IF(AND(J6="Done",K6=""),"Done but no evidence location. ","")&amp;IF(AND(J6="Not applicable",M6=""),"Say why it is not applicable. ",""))</f>
        <v/>
      </c>
      <c r="R6" s="32" t="str">
        <f aca="false">IF(AND(A6&lt;&gt;"",N6="High",J6&lt;&gt;"Done",J6&lt;&gt;"Not applicable"),COUNTIFS($A$6:A6,"&lt;&gt;",$N$6:N6,"High",$J$6:J6,"&lt;&gt;Done",$J$6:J6,"&lt;&gt;Not applicable"),"")</f>
        <v/>
      </c>
    </row>
    <row r="7" customFormat="false" ht="39.75" hidden="false" customHeight="true" outlineLevel="0" collapsed="false">
      <c r="A7" s="28" t="s">
        <v>131</v>
      </c>
      <c r="B7" s="28" t="s">
        <v>40</v>
      </c>
      <c r="C7" s="28" t="s">
        <v>132</v>
      </c>
      <c r="D7" s="28" t="s">
        <v>133</v>
      </c>
      <c r="E7" s="28" t="s">
        <v>129</v>
      </c>
      <c r="F7" s="29" t="n">
        <v>3</v>
      </c>
      <c r="G7" s="30" t="n">
        <f aca="false">IF(F7="","",INDEX(Timeline!$C$8:$C$10,F7))</f>
        <v>46520</v>
      </c>
      <c r="H7" s="31" t="s">
        <v>130</v>
      </c>
      <c r="I7" s="32" t="str">
        <f aca="false">IF(H7="","",IF(H7="ALL","Yes",IF(IFERROR(INDEX('Applicability Screen'!$E$8:$E$20,MATCH(H7,'Applicability Screen'!$G$8:$G$20,0)),"")="","Answer screen",INDEX('Applicability Screen'!$E$8:$E$20,MATCH(H7,'Applicability Screen'!$G$8:$G$20,0)))))</f>
        <v>Yes</v>
      </c>
      <c r="J7" s="33"/>
      <c r="K7" s="33"/>
      <c r="L7" s="33"/>
      <c r="M7" s="33"/>
      <c r="N7" s="33"/>
      <c r="O7" s="34"/>
      <c r="P7" s="32" t="str">
        <f aca="true">IF(OR(O7="",J7="Done",J7="Not applicable"),"",IF(O7&lt;TODAY(),"OVERDUE",""))</f>
        <v/>
      </c>
      <c r="Q7" s="32" t="str">
        <f aca="true">IF(AND(A7="",D7=""),"",IF(AND(I7="No",J7&lt;&gt;"Not applicable"),"Screen says not triggered - confirm or mark Not applicable. ","")&amp;IF(AND(G7&lt;&gt;"",J7&lt;&gt;"Done",J7&lt;&gt;"Not applicable",G7&lt;=TODAY()),"Duty already in force. ","")&amp;IF(AND(O7&lt;&gt;"",G7&lt;&gt;"",J7&lt;&gt;"Done",J7&lt;&gt;"Not applicable",O7&gt;G7),"Target date is after the duty applies. ","")&amp;IF(AND(N7="High",L7="",J7&lt;&gt;"Done",J7&lt;&gt;"Not applicable"),"High priority with no owner. ","")&amp;IF(AND(J7="Done",K7=""),"Done but no evidence location. ","")&amp;IF(AND(J7="Not applicable",M7=""),"Say why it is not applicable. ",""))</f>
        <v/>
      </c>
      <c r="R7" s="32" t="str">
        <f aca="false">IF(AND(A7&lt;&gt;"",N7="High",J7&lt;&gt;"Done",J7&lt;&gt;"Not applicable"),COUNTIFS($A$6:A7,"&lt;&gt;",$N$6:N7,"High",$J$6:J7,"&lt;&gt;Done",$J$6:J7,"&lt;&gt;Not applicable"),"")</f>
        <v/>
      </c>
    </row>
    <row r="8" customFormat="false" ht="39.75" hidden="false" customHeight="true" outlineLevel="0" collapsed="false">
      <c r="A8" s="28" t="s">
        <v>134</v>
      </c>
      <c r="B8" s="28" t="s">
        <v>40</v>
      </c>
      <c r="C8" s="28" t="s">
        <v>135</v>
      </c>
      <c r="D8" s="28" t="s">
        <v>136</v>
      </c>
      <c r="E8" s="28" t="s">
        <v>129</v>
      </c>
      <c r="F8" s="29" t="n">
        <v>1</v>
      </c>
      <c r="G8" s="30" t="n">
        <f aca="false">IF(F8="","",INDEX(Timeline!$C$8:$C$10,F8))</f>
        <v>45974</v>
      </c>
      <c r="H8" s="31" t="s">
        <v>130</v>
      </c>
      <c r="I8" s="32" t="str">
        <f aca="false">IF(H8="","",IF(H8="ALL","Yes",IF(IFERROR(INDEX('Applicability Screen'!$E$8:$E$20,MATCH(H8,'Applicability Screen'!$G$8:$G$20,0)),"")="","Answer screen",INDEX('Applicability Screen'!$E$8:$E$20,MATCH(H8,'Applicability Screen'!$G$8:$G$20,0)))))</f>
        <v>Yes</v>
      </c>
      <c r="J8" s="33"/>
      <c r="K8" s="33"/>
      <c r="L8" s="33"/>
      <c r="M8" s="33"/>
      <c r="N8" s="33"/>
      <c r="O8" s="34"/>
      <c r="P8" s="32" t="str">
        <f aca="true">IF(OR(O8="",J8="Done",J8="Not applicable"),"",IF(O8&lt;TODAY(),"OVERDUE",""))</f>
        <v/>
      </c>
      <c r="Q8" s="32" t="str">
        <f aca="true">IF(AND(A8="",D8=""),"",IF(AND(I8="No",J8&lt;&gt;"Not applicable"),"Screen says not triggered - confirm or mark Not applicable. ","")&amp;IF(AND(G8&lt;&gt;"",J8&lt;&gt;"Done",J8&lt;&gt;"Not applicable",G8&lt;=TODAY()),"Duty already in force. ","")&amp;IF(AND(O8&lt;&gt;"",G8&lt;&gt;"",J8&lt;&gt;"Done",J8&lt;&gt;"Not applicable",O8&gt;G8),"Target date is after the duty applies. ","")&amp;IF(AND(N8="High",L8="",J8&lt;&gt;"Done",J8&lt;&gt;"Not applicable"),"High priority with no owner. ","")&amp;IF(AND(J8="Done",K8=""),"Done but no evidence location. ","")&amp;IF(AND(J8="Not applicable",M8=""),"Say why it is not applicable. ",""))</f>
        <v>Duty already in force. </v>
      </c>
      <c r="R8" s="32" t="str">
        <f aca="false">IF(AND(A8&lt;&gt;"",N8="High",J8&lt;&gt;"Done",J8&lt;&gt;"Not applicable"),COUNTIFS($A$6:A8,"&lt;&gt;",$N$6:N8,"High",$J$6:J8,"&lt;&gt;Done",$J$6:J8,"&lt;&gt;Not applicable"),"")</f>
        <v/>
      </c>
    </row>
    <row r="9" customFormat="false" ht="39.75" hidden="false" customHeight="true" outlineLevel="0" collapsed="false">
      <c r="A9" s="28" t="s">
        <v>137</v>
      </c>
      <c r="B9" s="28" t="s">
        <v>40</v>
      </c>
      <c r="C9" s="28" t="s">
        <v>138</v>
      </c>
      <c r="D9" s="28" t="s">
        <v>139</v>
      </c>
      <c r="E9" s="28" t="s">
        <v>140</v>
      </c>
      <c r="F9" s="29" t="n">
        <v>3</v>
      </c>
      <c r="G9" s="30" t="n">
        <f aca="false">IF(F9="","",INDEX(Timeline!$C$8:$C$10,F9))</f>
        <v>46520</v>
      </c>
      <c r="H9" s="31" t="s">
        <v>83</v>
      </c>
      <c r="I9" s="32" t="str">
        <f aca="false">IF(H9="","",IF(H9="ALL","Yes",IF(IFERROR(INDEX('Applicability Screen'!$E$8:$E$20,MATCH(H9,'Applicability Screen'!$G$8:$G$20,0)),"")="","Answer screen",INDEX('Applicability Screen'!$E$8:$E$20,MATCH(H9,'Applicability Screen'!$G$8:$G$20,0)))))</f>
        <v>Answer screen</v>
      </c>
      <c r="J9" s="33"/>
      <c r="K9" s="33"/>
      <c r="L9" s="33"/>
      <c r="M9" s="33"/>
      <c r="N9" s="33"/>
      <c r="O9" s="34"/>
      <c r="P9" s="32" t="str">
        <f aca="true">IF(OR(O9="",J9="Done",J9="Not applicable"),"",IF(O9&lt;TODAY(),"OVERDUE",""))</f>
        <v/>
      </c>
      <c r="Q9" s="32" t="str">
        <f aca="true">IF(AND(A9="",D9=""),"",IF(AND(I9="No",J9&lt;&gt;"Not applicable"),"Screen says not triggered - confirm or mark Not applicable. ","")&amp;IF(AND(G9&lt;&gt;"",J9&lt;&gt;"Done",J9&lt;&gt;"Not applicable",G9&lt;=TODAY()),"Duty already in force. ","")&amp;IF(AND(O9&lt;&gt;"",G9&lt;&gt;"",J9&lt;&gt;"Done",J9&lt;&gt;"Not applicable",O9&gt;G9),"Target date is after the duty applies. ","")&amp;IF(AND(N9="High",L9="",J9&lt;&gt;"Done",J9&lt;&gt;"Not applicable"),"High priority with no owner. ","")&amp;IF(AND(J9="Done",K9=""),"Done but no evidence location. ","")&amp;IF(AND(J9="Not applicable",M9=""),"Say why it is not applicable. ",""))</f>
        <v/>
      </c>
      <c r="R9" s="32" t="str">
        <f aca="false">IF(AND(A9&lt;&gt;"",N9="High",J9&lt;&gt;"Done",J9&lt;&gt;"Not applicable"),COUNTIFS($A$6:A9,"&lt;&gt;",$N$6:N9,"High",$J$6:J9,"&lt;&gt;Done",$J$6:J9,"&lt;&gt;Not applicable"),"")</f>
        <v/>
      </c>
    </row>
    <row r="10" customFormat="false" ht="87.75" hidden="false" customHeight="true" outlineLevel="0" collapsed="false">
      <c r="A10" s="28" t="s">
        <v>141</v>
      </c>
      <c r="B10" s="28" t="s">
        <v>40</v>
      </c>
      <c r="C10" s="28" t="s">
        <v>142</v>
      </c>
      <c r="D10" s="28" t="s">
        <v>143</v>
      </c>
      <c r="E10" s="28" t="s">
        <v>140</v>
      </c>
      <c r="F10" s="29" t="n">
        <v>3</v>
      </c>
      <c r="G10" s="30" t="n">
        <f aca="false">IF(F10="","",INDEX(Timeline!$C$8:$C$10,F10))</f>
        <v>46520</v>
      </c>
      <c r="H10" s="31" t="s">
        <v>107</v>
      </c>
      <c r="I10" s="32" t="str">
        <f aca="false">IF(H10="","",IF(H10="ALL","Yes",IF(IFERROR(INDEX('Applicability Screen'!$E$8:$E$20,MATCH(H10,'Applicability Screen'!$G$8:$G$20,0)),"")="","Answer screen",INDEX('Applicability Screen'!$E$8:$E$20,MATCH(H10,'Applicability Screen'!$G$8:$G$20,0)))))</f>
        <v>Answer screen</v>
      </c>
      <c r="J10" s="33"/>
      <c r="K10" s="33"/>
      <c r="L10" s="33"/>
      <c r="M10" s="33"/>
      <c r="N10" s="33"/>
      <c r="O10" s="34"/>
      <c r="P10" s="32" t="str">
        <f aca="true">IF(OR(O10="",J10="Done",J10="Not applicable"),"",IF(O10&lt;TODAY(),"OVERDUE",""))</f>
        <v/>
      </c>
      <c r="Q10" s="32" t="str">
        <f aca="true">IF(AND(A10="",D10=""),"",IF(AND(I10="No",J10&lt;&gt;"Not applicable"),"Screen says not triggered - confirm or mark Not applicable. ","")&amp;IF(AND(G10&lt;&gt;"",J10&lt;&gt;"Done",J10&lt;&gt;"Not applicable",G10&lt;=TODAY()),"Duty already in force. ","")&amp;IF(AND(O10&lt;&gt;"",G10&lt;&gt;"",J10&lt;&gt;"Done",J10&lt;&gt;"Not applicable",O10&gt;G10),"Target date is after the duty applies. ","")&amp;IF(AND(N10="High",L10="",J10&lt;&gt;"Done",J10&lt;&gt;"Not applicable"),"High priority with no owner. ","")&amp;IF(AND(J10="Done",K10=""),"Done but no evidence location. ","")&amp;IF(AND(J10="Not applicable",M10=""),"Say why it is not applicable. ",""))</f>
        <v/>
      </c>
      <c r="R10" s="32" t="str">
        <f aca="false">IF(AND(A10&lt;&gt;"",N10="High",J10&lt;&gt;"Done",J10&lt;&gt;"Not applicable"),COUNTIFS($A$6:A10,"&lt;&gt;",$N$6:N10,"High",$J$6:J10,"&lt;&gt;Done",$J$6:J10,"&lt;&gt;Not applicable"),"")</f>
        <v/>
      </c>
    </row>
    <row r="11" customFormat="false" ht="63.75" hidden="false" customHeight="true" outlineLevel="0" collapsed="false">
      <c r="A11" s="28" t="s">
        <v>144</v>
      </c>
      <c r="B11" s="28" t="s">
        <v>40</v>
      </c>
      <c r="C11" s="28" t="s">
        <v>145</v>
      </c>
      <c r="D11" s="28" t="s">
        <v>146</v>
      </c>
      <c r="E11" s="28" t="s">
        <v>140</v>
      </c>
      <c r="F11" s="29" t="n">
        <v>3</v>
      </c>
      <c r="G11" s="30" t="n">
        <f aca="false">IF(F11="","",INDEX(Timeline!$C$8:$C$10,F11))</f>
        <v>46520</v>
      </c>
      <c r="H11" s="31" t="s">
        <v>107</v>
      </c>
      <c r="I11" s="32" t="str">
        <f aca="false">IF(H11="","",IF(H11="ALL","Yes",IF(IFERROR(INDEX('Applicability Screen'!$E$8:$E$20,MATCH(H11,'Applicability Screen'!$G$8:$G$20,0)),"")="","Answer screen",INDEX('Applicability Screen'!$E$8:$E$20,MATCH(H11,'Applicability Screen'!$G$8:$G$20,0)))))</f>
        <v>Answer screen</v>
      </c>
      <c r="J11" s="33"/>
      <c r="K11" s="33"/>
      <c r="L11" s="33"/>
      <c r="M11" s="33"/>
      <c r="N11" s="33"/>
      <c r="O11" s="34"/>
      <c r="P11" s="32" t="str">
        <f aca="true">IF(OR(O11="",J11="Done",J11="Not applicable"),"",IF(O11&lt;TODAY(),"OVERDUE",""))</f>
        <v/>
      </c>
      <c r="Q11" s="32" t="str">
        <f aca="true">IF(AND(A11="",D11=""),"",IF(AND(I11="No",J11&lt;&gt;"Not applicable"),"Screen says not triggered - confirm or mark Not applicable. ","")&amp;IF(AND(G11&lt;&gt;"",J11&lt;&gt;"Done",J11&lt;&gt;"Not applicable",G11&lt;=TODAY()),"Duty already in force. ","")&amp;IF(AND(O11&lt;&gt;"",G11&lt;&gt;"",J11&lt;&gt;"Done",J11&lt;&gt;"Not applicable",O11&gt;G11),"Target date is after the duty applies. ","")&amp;IF(AND(N11="High",L11="",J11&lt;&gt;"Done",J11&lt;&gt;"Not applicable"),"High priority with no owner. ","")&amp;IF(AND(J11="Done",K11=""),"Done but no evidence location. ","")&amp;IF(AND(J11="Not applicable",M11=""),"Say why it is not applicable. ",""))</f>
        <v/>
      </c>
      <c r="R11" s="32" t="str">
        <f aca="false">IF(AND(A11&lt;&gt;"",N11="High",J11&lt;&gt;"Done",J11&lt;&gt;"Not applicable"),COUNTIFS($A$6:A11,"&lt;&gt;",$N$6:N11,"High",$J$6:J11,"&lt;&gt;Done",$J$6:J11,"&lt;&gt;Not applicable"),"")</f>
        <v/>
      </c>
    </row>
    <row r="12" customFormat="false" ht="39.75" hidden="false" customHeight="true" outlineLevel="0" collapsed="false">
      <c r="A12" s="28" t="s">
        <v>147</v>
      </c>
      <c r="B12" s="28" t="s">
        <v>40</v>
      </c>
      <c r="C12" s="28" t="s">
        <v>148</v>
      </c>
      <c r="D12" s="28" t="s">
        <v>149</v>
      </c>
      <c r="E12" s="28" t="s">
        <v>140</v>
      </c>
      <c r="F12" s="29" t="n">
        <v>3</v>
      </c>
      <c r="G12" s="30" t="n">
        <f aca="false">IF(F12="","",INDEX(Timeline!$C$8:$C$10,F12))</f>
        <v>46520</v>
      </c>
      <c r="H12" s="31" t="s">
        <v>83</v>
      </c>
      <c r="I12" s="32" t="str">
        <f aca="false">IF(H12="","",IF(H12="ALL","Yes",IF(IFERROR(INDEX('Applicability Screen'!$E$8:$E$20,MATCH(H12,'Applicability Screen'!$G$8:$G$20,0)),"")="","Answer screen",INDEX('Applicability Screen'!$E$8:$E$20,MATCH(H12,'Applicability Screen'!$G$8:$G$20,0)))))</f>
        <v>Answer screen</v>
      </c>
      <c r="J12" s="33"/>
      <c r="K12" s="33"/>
      <c r="L12" s="33"/>
      <c r="M12" s="33"/>
      <c r="N12" s="33"/>
      <c r="O12" s="34"/>
      <c r="P12" s="32" t="str">
        <f aca="true">IF(OR(O12="",J12="Done",J12="Not applicable"),"",IF(O12&lt;TODAY(),"OVERDUE",""))</f>
        <v/>
      </c>
      <c r="Q12" s="32" t="str">
        <f aca="true">IF(AND(A12="",D12=""),"",IF(AND(I12="No",J12&lt;&gt;"Not applicable"),"Screen says not triggered - confirm or mark Not applicable. ","")&amp;IF(AND(G12&lt;&gt;"",J12&lt;&gt;"Done",J12&lt;&gt;"Not applicable",G12&lt;=TODAY()),"Duty already in force. ","")&amp;IF(AND(O12&lt;&gt;"",G12&lt;&gt;"",J12&lt;&gt;"Done",J12&lt;&gt;"Not applicable",O12&gt;G12),"Target date is after the duty applies. ","")&amp;IF(AND(N12="High",L12="",J12&lt;&gt;"Done",J12&lt;&gt;"Not applicable"),"High priority with no owner. ","")&amp;IF(AND(J12="Done",K12=""),"Done but no evidence location. ","")&amp;IF(AND(J12="Not applicable",M12=""),"Say why it is not applicable. ",""))</f>
        <v/>
      </c>
      <c r="R12" s="32" t="str">
        <f aca="false">IF(AND(A12&lt;&gt;"",N12="High",J12&lt;&gt;"Done",J12&lt;&gt;"Not applicable"),COUNTIFS($A$6:A12,"&lt;&gt;",$N$6:N12,"High",$J$6:J12,"&lt;&gt;Done",$J$6:J12,"&lt;&gt;Not applicable"),"")</f>
        <v/>
      </c>
    </row>
    <row r="13" customFormat="false" ht="51.75" hidden="false" customHeight="true" outlineLevel="0" collapsed="false">
      <c r="A13" s="28" t="s">
        <v>150</v>
      </c>
      <c r="B13" s="28" t="s">
        <v>40</v>
      </c>
      <c r="C13" s="28" t="s">
        <v>88</v>
      </c>
      <c r="D13" s="28" t="s">
        <v>151</v>
      </c>
      <c r="E13" s="28" t="s">
        <v>140</v>
      </c>
      <c r="F13" s="29" t="n">
        <v>3</v>
      </c>
      <c r="G13" s="30" t="n">
        <f aca="false">IF(F13="","",INDEX(Timeline!$C$8:$C$10,F13))</f>
        <v>46520</v>
      </c>
      <c r="H13" s="31" t="s">
        <v>83</v>
      </c>
      <c r="I13" s="32" t="str">
        <f aca="false">IF(H13="","",IF(H13="ALL","Yes",IF(IFERROR(INDEX('Applicability Screen'!$E$8:$E$20,MATCH(H13,'Applicability Screen'!$G$8:$G$20,0)),"")="","Answer screen",INDEX('Applicability Screen'!$E$8:$E$20,MATCH(H13,'Applicability Screen'!$G$8:$G$20,0)))))</f>
        <v>Answer screen</v>
      </c>
      <c r="J13" s="33"/>
      <c r="K13" s="33"/>
      <c r="L13" s="33"/>
      <c r="M13" s="33"/>
      <c r="N13" s="33"/>
      <c r="O13" s="34"/>
      <c r="P13" s="32" t="str">
        <f aca="true">IF(OR(O13="",J13="Done",J13="Not applicable"),"",IF(O13&lt;TODAY(),"OVERDUE",""))</f>
        <v/>
      </c>
      <c r="Q13" s="32" t="str">
        <f aca="true">IF(AND(A13="",D13=""),"",IF(AND(I13="No",J13&lt;&gt;"Not applicable"),"Screen says not triggered - confirm or mark Not applicable. ","")&amp;IF(AND(G13&lt;&gt;"",J13&lt;&gt;"Done",J13&lt;&gt;"Not applicable",G13&lt;=TODAY()),"Duty already in force. ","")&amp;IF(AND(O13&lt;&gt;"",G13&lt;&gt;"",J13&lt;&gt;"Done",J13&lt;&gt;"Not applicable",O13&gt;G13),"Target date is after the duty applies. ","")&amp;IF(AND(N13="High",L13="",J13&lt;&gt;"Done",J13&lt;&gt;"Not applicable"),"High priority with no owner. ","")&amp;IF(AND(J13="Done",K13=""),"Done but no evidence location. ","")&amp;IF(AND(J13="Not applicable",M13=""),"Say why it is not applicable. ",""))</f>
        <v/>
      </c>
      <c r="R13" s="32" t="str">
        <f aca="false">IF(AND(A13&lt;&gt;"",N13="High",J13&lt;&gt;"Done",J13&lt;&gt;"Not applicable"),COUNTIFS($A$6:A13,"&lt;&gt;",$N$6:N13,"High",$J$6:J13,"&lt;&gt;Done",$J$6:J13,"&lt;&gt;Not applicable"),"")</f>
        <v/>
      </c>
    </row>
    <row r="14" customFormat="false" ht="63.75" hidden="false" customHeight="true" outlineLevel="0" collapsed="false">
      <c r="A14" s="28" t="s">
        <v>152</v>
      </c>
      <c r="B14" s="28" t="s">
        <v>40</v>
      </c>
      <c r="C14" s="28" t="s">
        <v>97</v>
      </c>
      <c r="D14" s="28" t="s">
        <v>153</v>
      </c>
      <c r="E14" s="28" t="s">
        <v>140</v>
      </c>
      <c r="F14" s="29" t="n">
        <v>3</v>
      </c>
      <c r="G14" s="30" t="n">
        <f aca="false">IF(F14="","",INDEX(Timeline!$C$8:$C$10,F14))</f>
        <v>46520</v>
      </c>
      <c r="H14" s="31" t="s">
        <v>83</v>
      </c>
      <c r="I14" s="32" t="str">
        <f aca="false">IF(H14="","",IF(H14="ALL","Yes",IF(IFERROR(INDEX('Applicability Screen'!$E$8:$E$20,MATCH(H14,'Applicability Screen'!$G$8:$G$20,0)),"")="","Answer screen",INDEX('Applicability Screen'!$E$8:$E$20,MATCH(H14,'Applicability Screen'!$G$8:$G$20,0)))))</f>
        <v>Answer screen</v>
      </c>
      <c r="J14" s="33"/>
      <c r="K14" s="33"/>
      <c r="L14" s="33"/>
      <c r="M14" s="33"/>
      <c r="N14" s="33"/>
      <c r="O14" s="34"/>
      <c r="P14" s="32" t="str">
        <f aca="true">IF(OR(O14="",J14="Done",J14="Not applicable"),"",IF(O14&lt;TODAY(),"OVERDUE",""))</f>
        <v/>
      </c>
      <c r="Q14" s="32" t="str">
        <f aca="true">IF(AND(A14="",D14=""),"",IF(AND(I14="No",J14&lt;&gt;"Not applicable"),"Screen says not triggered - confirm or mark Not applicable. ","")&amp;IF(AND(G14&lt;&gt;"",J14&lt;&gt;"Done",J14&lt;&gt;"Not applicable",G14&lt;=TODAY()),"Duty already in force. ","")&amp;IF(AND(O14&lt;&gt;"",G14&lt;&gt;"",J14&lt;&gt;"Done",J14&lt;&gt;"Not applicable",O14&gt;G14),"Target date is after the duty applies. ","")&amp;IF(AND(N14="High",L14="",J14&lt;&gt;"Done",J14&lt;&gt;"Not applicable"),"High priority with no owner. ","")&amp;IF(AND(J14="Done",K14=""),"Done but no evidence location. ","")&amp;IF(AND(J14="Not applicable",M14=""),"Say why it is not applicable. ",""))</f>
        <v/>
      </c>
      <c r="R14" s="32" t="str">
        <f aca="false">IF(AND(A14&lt;&gt;"",N14="High",J14&lt;&gt;"Done",J14&lt;&gt;"Not applicable"),COUNTIFS($A$6:A14,"&lt;&gt;",$N$6:N14,"High",$J$6:J14,"&lt;&gt;Done",$J$6:J14,"&lt;&gt;Not applicable"),"")</f>
        <v/>
      </c>
    </row>
    <row r="15" customFormat="false" ht="27.75" hidden="false" customHeight="true" outlineLevel="0" collapsed="false">
      <c r="A15" s="28" t="s">
        <v>154</v>
      </c>
      <c r="B15" s="28" t="s">
        <v>41</v>
      </c>
      <c r="C15" s="28" t="s">
        <v>155</v>
      </c>
      <c r="D15" s="28" t="s">
        <v>156</v>
      </c>
      <c r="E15" s="28" t="s">
        <v>140</v>
      </c>
      <c r="F15" s="29" t="n">
        <v>3</v>
      </c>
      <c r="G15" s="30" t="n">
        <f aca="false">IF(F15="","",INDEX(Timeline!$C$8:$C$10,F15))</f>
        <v>46520</v>
      </c>
      <c r="H15" s="31" t="s">
        <v>83</v>
      </c>
      <c r="I15" s="32" t="str">
        <f aca="false">IF(H15="","",IF(H15="ALL","Yes",IF(IFERROR(INDEX('Applicability Screen'!$E$8:$E$20,MATCH(H15,'Applicability Screen'!$G$8:$G$20,0)),"")="","Answer screen",INDEX('Applicability Screen'!$E$8:$E$20,MATCH(H15,'Applicability Screen'!$G$8:$G$20,0)))))</f>
        <v>Answer screen</v>
      </c>
      <c r="J15" s="35" t="s">
        <v>35</v>
      </c>
      <c r="K15" s="35" t="s">
        <v>157</v>
      </c>
      <c r="L15" s="35" t="s">
        <v>158</v>
      </c>
      <c r="M15" s="35" t="s">
        <v>159</v>
      </c>
      <c r="N15" s="35" t="s">
        <v>160</v>
      </c>
      <c r="O15" s="36" t="n">
        <v>46418</v>
      </c>
      <c r="P15" s="32" t="str">
        <f aca="true">IF(OR(O15="",J15="Done",J15="Not applicable"),"",IF(O15&lt;TODAY(),"OVERDUE",""))</f>
        <v/>
      </c>
      <c r="Q15" s="32" t="str">
        <f aca="true">IF(AND(A15="",D15=""),"",IF(AND(I15="No",J15&lt;&gt;"Not applicable"),"Screen says not triggered - confirm or mark Not applicable. ","")&amp;IF(AND(G15&lt;&gt;"",J15&lt;&gt;"Done",J15&lt;&gt;"Not applicable",G15&lt;=TODAY()),"Duty already in force. ","")&amp;IF(AND(O15&lt;&gt;"",G15&lt;&gt;"",J15&lt;&gt;"Done",J15&lt;&gt;"Not applicable",O15&gt;G15),"Target date is after the duty applies. ","")&amp;IF(AND(N15="High",L15="",J15&lt;&gt;"Done",J15&lt;&gt;"Not applicable"),"High priority with no owner. ","")&amp;IF(AND(J15="Done",K15=""),"Done but no evidence location. ","")&amp;IF(AND(J15="Not applicable",M15=""),"Say why it is not applicable. ",""))</f>
        <v/>
      </c>
      <c r="R15" s="32" t="n">
        <f aca="false">IF(AND(A15&lt;&gt;"",N15="High",J15&lt;&gt;"Done",J15&lt;&gt;"Not applicable"),COUNTIFS($A$6:A15,"&lt;&gt;",$N$6:N15,"High",$J$6:J15,"&lt;&gt;Done",$J$6:J15,"&lt;&gt;Not applicable"),"")</f>
        <v>1</v>
      </c>
    </row>
    <row r="16" customFormat="false" ht="39.75" hidden="false" customHeight="true" outlineLevel="0" collapsed="false">
      <c r="A16" s="28" t="s">
        <v>161</v>
      </c>
      <c r="B16" s="28" t="s">
        <v>41</v>
      </c>
      <c r="C16" s="28" t="s">
        <v>162</v>
      </c>
      <c r="D16" s="28" t="s">
        <v>163</v>
      </c>
      <c r="E16" s="28" t="s">
        <v>140</v>
      </c>
      <c r="F16" s="29" t="n">
        <v>3</v>
      </c>
      <c r="G16" s="30" t="n">
        <f aca="false">IF(F16="","",INDEX(Timeline!$C$8:$C$10,F16))</f>
        <v>46520</v>
      </c>
      <c r="H16" s="31" t="s">
        <v>83</v>
      </c>
      <c r="I16" s="32" t="str">
        <f aca="false">IF(H16="","",IF(H16="ALL","Yes",IF(IFERROR(INDEX('Applicability Screen'!$E$8:$E$20,MATCH(H16,'Applicability Screen'!$G$8:$G$20,0)),"")="","Answer screen",INDEX('Applicability Screen'!$E$8:$E$20,MATCH(H16,'Applicability Screen'!$G$8:$G$20,0)))))</f>
        <v>Answer screen</v>
      </c>
      <c r="J16" s="33"/>
      <c r="K16" s="33"/>
      <c r="L16" s="33"/>
      <c r="M16" s="33"/>
      <c r="N16" s="33"/>
      <c r="O16" s="34"/>
      <c r="P16" s="32" t="str">
        <f aca="true">IF(OR(O16="",J16="Done",J16="Not applicable"),"",IF(O16&lt;TODAY(),"OVERDUE",""))</f>
        <v/>
      </c>
      <c r="Q16" s="32" t="str">
        <f aca="true">IF(AND(A16="",D16=""),"",IF(AND(I16="No",J16&lt;&gt;"Not applicable"),"Screen says not triggered - confirm or mark Not applicable. ","")&amp;IF(AND(G16&lt;&gt;"",J16&lt;&gt;"Done",J16&lt;&gt;"Not applicable",G16&lt;=TODAY()),"Duty already in force. ","")&amp;IF(AND(O16&lt;&gt;"",G16&lt;&gt;"",J16&lt;&gt;"Done",J16&lt;&gt;"Not applicable",O16&gt;G16),"Target date is after the duty applies. ","")&amp;IF(AND(N16="High",L16="",J16&lt;&gt;"Done",J16&lt;&gt;"Not applicable"),"High priority with no owner. ","")&amp;IF(AND(J16="Done",K16=""),"Done but no evidence location. ","")&amp;IF(AND(J16="Not applicable",M16=""),"Say why it is not applicable. ",""))</f>
        <v/>
      </c>
      <c r="R16" s="32" t="str">
        <f aca="false">IF(AND(A16&lt;&gt;"",N16="High",J16&lt;&gt;"Done",J16&lt;&gt;"Not applicable"),COUNTIFS($A$6:A16,"&lt;&gt;",$N$6:N16,"High",$J$6:J16,"&lt;&gt;Done",$J$6:J16,"&lt;&gt;Not applicable"),"")</f>
        <v/>
      </c>
    </row>
    <row r="17" customFormat="false" ht="51.75" hidden="false" customHeight="true" outlineLevel="0" collapsed="false">
      <c r="A17" s="28" t="s">
        <v>164</v>
      </c>
      <c r="B17" s="28" t="s">
        <v>41</v>
      </c>
      <c r="C17" s="28" t="s">
        <v>165</v>
      </c>
      <c r="D17" s="28" t="s">
        <v>166</v>
      </c>
      <c r="E17" s="28" t="s">
        <v>140</v>
      </c>
      <c r="F17" s="29" t="n">
        <v>3</v>
      </c>
      <c r="G17" s="30" t="n">
        <f aca="false">IF(F17="","",INDEX(Timeline!$C$8:$C$10,F17))</f>
        <v>46520</v>
      </c>
      <c r="H17" s="31" t="s">
        <v>83</v>
      </c>
      <c r="I17" s="32" t="str">
        <f aca="false">IF(H17="","",IF(H17="ALL","Yes",IF(IFERROR(INDEX('Applicability Screen'!$E$8:$E$20,MATCH(H17,'Applicability Screen'!$G$8:$G$20,0)),"")="","Answer screen",INDEX('Applicability Screen'!$E$8:$E$20,MATCH(H17,'Applicability Screen'!$G$8:$G$20,0)))))</f>
        <v>Answer screen</v>
      </c>
      <c r="J17" s="33"/>
      <c r="K17" s="33"/>
      <c r="L17" s="33"/>
      <c r="M17" s="33"/>
      <c r="N17" s="33"/>
      <c r="O17" s="34"/>
      <c r="P17" s="32" t="str">
        <f aca="true">IF(OR(O17="",J17="Done",J17="Not applicable"),"",IF(O17&lt;TODAY(),"OVERDUE",""))</f>
        <v/>
      </c>
      <c r="Q17" s="32" t="str">
        <f aca="true">IF(AND(A17="",D17=""),"",IF(AND(I17="No",J17&lt;&gt;"Not applicable"),"Screen says not triggered - confirm or mark Not applicable. ","")&amp;IF(AND(G17&lt;&gt;"",J17&lt;&gt;"Done",J17&lt;&gt;"Not applicable",G17&lt;=TODAY()),"Duty already in force. ","")&amp;IF(AND(O17&lt;&gt;"",G17&lt;&gt;"",J17&lt;&gt;"Done",J17&lt;&gt;"Not applicable",O17&gt;G17),"Target date is after the duty applies. ","")&amp;IF(AND(N17="High",L17="",J17&lt;&gt;"Done",J17&lt;&gt;"Not applicable"),"High priority with no owner. ","")&amp;IF(AND(J17="Done",K17=""),"Done but no evidence location. ","")&amp;IF(AND(J17="Not applicable",M17=""),"Say why it is not applicable. ",""))</f>
        <v/>
      </c>
      <c r="R17" s="32" t="str">
        <f aca="false">IF(AND(A17&lt;&gt;"",N17="High",J17&lt;&gt;"Done",J17&lt;&gt;"Not applicable"),COUNTIFS($A$6:A17,"&lt;&gt;",$N$6:N17,"High",$J$6:J17,"&lt;&gt;Done",$J$6:J17,"&lt;&gt;Not applicable"),"")</f>
        <v/>
      </c>
    </row>
    <row r="18" customFormat="false" ht="51.75" hidden="false" customHeight="true" outlineLevel="0" collapsed="false">
      <c r="A18" s="28" t="s">
        <v>167</v>
      </c>
      <c r="B18" s="28" t="s">
        <v>41</v>
      </c>
      <c r="C18" s="28" t="s">
        <v>168</v>
      </c>
      <c r="D18" s="28" t="s">
        <v>169</v>
      </c>
      <c r="E18" s="28" t="s">
        <v>140</v>
      </c>
      <c r="F18" s="29" t="n">
        <v>3</v>
      </c>
      <c r="G18" s="30" t="n">
        <f aca="false">IF(F18="","",INDEX(Timeline!$C$8:$C$10,F18))</f>
        <v>46520</v>
      </c>
      <c r="H18" s="31" t="s">
        <v>83</v>
      </c>
      <c r="I18" s="32" t="str">
        <f aca="false">IF(H18="","",IF(H18="ALL","Yes",IF(IFERROR(INDEX('Applicability Screen'!$E$8:$E$20,MATCH(H18,'Applicability Screen'!$G$8:$G$20,0)),"")="","Answer screen",INDEX('Applicability Screen'!$E$8:$E$20,MATCH(H18,'Applicability Screen'!$G$8:$G$20,0)))))</f>
        <v>Answer screen</v>
      </c>
      <c r="J18" s="33"/>
      <c r="K18" s="33"/>
      <c r="L18" s="33"/>
      <c r="M18" s="33"/>
      <c r="N18" s="33"/>
      <c r="O18" s="34"/>
      <c r="P18" s="32" t="str">
        <f aca="true">IF(OR(O18="",J18="Done",J18="Not applicable"),"",IF(O18&lt;TODAY(),"OVERDUE",""))</f>
        <v/>
      </c>
      <c r="Q18" s="32" t="str">
        <f aca="true">IF(AND(A18="",D18=""),"",IF(AND(I18="No",J18&lt;&gt;"Not applicable"),"Screen says not triggered - confirm or mark Not applicable. ","")&amp;IF(AND(G18&lt;&gt;"",J18&lt;&gt;"Done",J18&lt;&gt;"Not applicable",G18&lt;=TODAY()),"Duty already in force. ","")&amp;IF(AND(O18&lt;&gt;"",G18&lt;&gt;"",J18&lt;&gt;"Done",J18&lt;&gt;"Not applicable",O18&gt;G18),"Target date is after the duty applies. ","")&amp;IF(AND(N18="High",L18="",J18&lt;&gt;"Done",J18&lt;&gt;"Not applicable"),"High priority with no owner. ","")&amp;IF(AND(J18="Done",K18=""),"Done but no evidence location. ","")&amp;IF(AND(J18="Not applicable",M18=""),"Say why it is not applicable. ",""))</f>
        <v/>
      </c>
      <c r="R18" s="32" t="str">
        <f aca="false">IF(AND(A18&lt;&gt;"",N18="High",J18&lt;&gt;"Done",J18&lt;&gt;"Not applicable"),COUNTIFS($A$6:A18,"&lt;&gt;",$N$6:N18,"High",$J$6:J18,"&lt;&gt;Done",$J$6:J18,"&lt;&gt;Not applicable"),"")</f>
        <v/>
      </c>
    </row>
    <row r="19" customFormat="false" ht="39.75" hidden="false" customHeight="true" outlineLevel="0" collapsed="false">
      <c r="A19" s="28" t="s">
        <v>170</v>
      </c>
      <c r="B19" s="28" t="s">
        <v>41</v>
      </c>
      <c r="C19" s="28" t="s">
        <v>171</v>
      </c>
      <c r="D19" s="28" t="s">
        <v>172</v>
      </c>
      <c r="E19" s="28" t="s">
        <v>140</v>
      </c>
      <c r="F19" s="29" t="n">
        <v>3</v>
      </c>
      <c r="G19" s="30" t="n">
        <f aca="false">IF(F19="","",INDEX(Timeline!$C$8:$C$10,F19))</f>
        <v>46520</v>
      </c>
      <c r="H19" s="31" t="s">
        <v>83</v>
      </c>
      <c r="I19" s="32" t="str">
        <f aca="false">IF(H19="","",IF(H19="ALL","Yes",IF(IFERROR(INDEX('Applicability Screen'!$E$8:$E$20,MATCH(H19,'Applicability Screen'!$G$8:$G$20,0)),"")="","Answer screen",INDEX('Applicability Screen'!$E$8:$E$20,MATCH(H19,'Applicability Screen'!$G$8:$G$20,0)))))</f>
        <v>Answer screen</v>
      </c>
      <c r="J19" s="33"/>
      <c r="K19" s="33"/>
      <c r="L19" s="33"/>
      <c r="M19" s="33"/>
      <c r="N19" s="33"/>
      <c r="O19" s="34"/>
      <c r="P19" s="32" t="str">
        <f aca="true">IF(OR(O19="",J19="Done",J19="Not applicable"),"",IF(O19&lt;TODAY(),"OVERDUE",""))</f>
        <v/>
      </c>
      <c r="Q19" s="32" t="str">
        <f aca="true">IF(AND(A19="",D19=""),"",IF(AND(I19="No",J19&lt;&gt;"Not applicable"),"Screen says not triggered - confirm or mark Not applicable. ","")&amp;IF(AND(G19&lt;&gt;"",J19&lt;&gt;"Done",J19&lt;&gt;"Not applicable",G19&lt;=TODAY()),"Duty already in force. ","")&amp;IF(AND(O19&lt;&gt;"",G19&lt;&gt;"",J19&lt;&gt;"Done",J19&lt;&gt;"Not applicable",O19&gt;G19),"Target date is after the duty applies. ","")&amp;IF(AND(N19="High",L19="",J19&lt;&gt;"Done",J19&lt;&gt;"Not applicable"),"High priority with no owner. ","")&amp;IF(AND(J19="Done",K19=""),"Done but no evidence location. ","")&amp;IF(AND(J19="Not applicable",M19=""),"Say why it is not applicable. ",""))</f>
        <v/>
      </c>
      <c r="R19" s="32" t="str">
        <f aca="false">IF(AND(A19&lt;&gt;"",N19="High",J19&lt;&gt;"Done",J19&lt;&gt;"Not applicable"),COUNTIFS($A$6:A19,"&lt;&gt;",$N$6:N19,"High",$J$6:J19,"&lt;&gt;Done",$J$6:J19,"&lt;&gt;Not applicable"),"")</f>
        <v/>
      </c>
    </row>
    <row r="20" customFormat="false" ht="51.75" hidden="false" customHeight="true" outlineLevel="0" collapsed="false">
      <c r="A20" s="28" t="s">
        <v>173</v>
      </c>
      <c r="B20" s="28" t="s">
        <v>41</v>
      </c>
      <c r="C20" s="28" t="s">
        <v>174</v>
      </c>
      <c r="D20" s="28" t="s">
        <v>175</v>
      </c>
      <c r="E20" s="28" t="s">
        <v>140</v>
      </c>
      <c r="F20" s="29" t="n">
        <v>3</v>
      </c>
      <c r="G20" s="30" t="n">
        <f aca="false">IF(F20="","",INDEX(Timeline!$C$8:$C$10,F20))</f>
        <v>46520</v>
      </c>
      <c r="H20" s="31" t="s">
        <v>83</v>
      </c>
      <c r="I20" s="32" t="str">
        <f aca="false">IF(H20="","",IF(H20="ALL","Yes",IF(IFERROR(INDEX('Applicability Screen'!$E$8:$E$20,MATCH(H20,'Applicability Screen'!$G$8:$G$20,0)),"")="","Answer screen",INDEX('Applicability Screen'!$E$8:$E$20,MATCH(H20,'Applicability Screen'!$G$8:$G$20,0)))))</f>
        <v>Answer screen</v>
      </c>
      <c r="J20" s="33"/>
      <c r="K20" s="33"/>
      <c r="L20" s="33"/>
      <c r="M20" s="33"/>
      <c r="N20" s="33"/>
      <c r="O20" s="34"/>
      <c r="P20" s="32" t="str">
        <f aca="true">IF(OR(O20="",J20="Done",J20="Not applicable"),"",IF(O20&lt;TODAY(),"OVERDUE",""))</f>
        <v/>
      </c>
      <c r="Q20" s="32" t="str">
        <f aca="true">IF(AND(A20="",D20=""),"",IF(AND(I20="No",J20&lt;&gt;"Not applicable"),"Screen says not triggered - confirm or mark Not applicable. ","")&amp;IF(AND(G20&lt;&gt;"",J20&lt;&gt;"Done",J20&lt;&gt;"Not applicable",G20&lt;=TODAY()),"Duty already in force. ","")&amp;IF(AND(O20&lt;&gt;"",G20&lt;&gt;"",J20&lt;&gt;"Done",J20&lt;&gt;"Not applicable",O20&gt;G20),"Target date is after the duty applies. ","")&amp;IF(AND(N20="High",L20="",J20&lt;&gt;"Done",J20&lt;&gt;"Not applicable"),"High priority with no owner. ","")&amp;IF(AND(J20="Done",K20=""),"Done but no evidence location. ","")&amp;IF(AND(J20="Not applicable",M20=""),"Say why it is not applicable. ",""))</f>
        <v/>
      </c>
      <c r="R20" s="32" t="str">
        <f aca="false">IF(AND(A20&lt;&gt;"",N20="High",J20&lt;&gt;"Done",J20&lt;&gt;"Not applicable"),COUNTIFS($A$6:A20,"&lt;&gt;",$N$6:N20,"High",$J$6:J20,"&lt;&gt;Done",$J$6:J20,"&lt;&gt;Not applicable"),"")</f>
        <v/>
      </c>
    </row>
    <row r="21" customFormat="false" ht="51.75" hidden="false" customHeight="true" outlineLevel="0" collapsed="false">
      <c r="A21" s="28" t="s">
        <v>176</v>
      </c>
      <c r="B21" s="28" t="s">
        <v>42</v>
      </c>
      <c r="C21" s="28" t="s">
        <v>177</v>
      </c>
      <c r="D21" s="28" t="s">
        <v>178</v>
      </c>
      <c r="E21" s="28" t="s">
        <v>140</v>
      </c>
      <c r="F21" s="29" t="n">
        <v>3</v>
      </c>
      <c r="G21" s="30" t="n">
        <f aca="false">IF(F21="","",INDEX(Timeline!$C$8:$C$10,F21))</f>
        <v>46520</v>
      </c>
      <c r="H21" s="31" t="s">
        <v>83</v>
      </c>
      <c r="I21" s="32" t="str">
        <f aca="false">IF(H21="","",IF(H21="ALL","Yes",IF(IFERROR(INDEX('Applicability Screen'!$E$8:$E$20,MATCH(H21,'Applicability Screen'!$G$8:$G$20,0)),"")="","Answer screen",INDEX('Applicability Screen'!$E$8:$E$20,MATCH(H21,'Applicability Screen'!$G$8:$G$20,0)))))</f>
        <v>Answer screen</v>
      </c>
      <c r="J21" s="33"/>
      <c r="K21" s="33"/>
      <c r="L21" s="33"/>
      <c r="M21" s="33"/>
      <c r="N21" s="33"/>
      <c r="O21" s="34"/>
      <c r="P21" s="32" t="str">
        <f aca="true">IF(OR(O21="",J21="Done",J21="Not applicable"),"",IF(O21&lt;TODAY(),"OVERDUE",""))</f>
        <v/>
      </c>
      <c r="Q21" s="32" t="str">
        <f aca="true">IF(AND(A21="",D21=""),"",IF(AND(I21="No",J21&lt;&gt;"Not applicable"),"Screen says not triggered - confirm or mark Not applicable. ","")&amp;IF(AND(G21&lt;&gt;"",J21&lt;&gt;"Done",J21&lt;&gt;"Not applicable",G21&lt;=TODAY()),"Duty already in force. ","")&amp;IF(AND(O21&lt;&gt;"",G21&lt;&gt;"",J21&lt;&gt;"Done",J21&lt;&gt;"Not applicable",O21&gt;G21),"Target date is after the duty applies. ","")&amp;IF(AND(N21="High",L21="",J21&lt;&gt;"Done",J21&lt;&gt;"Not applicable"),"High priority with no owner. ","")&amp;IF(AND(J21="Done",K21=""),"Done but no evidence location. ","")&amp;IF(AND(J21="Not applicable",M21=""),"Say why it is not applicable. ",""))</f>
        <v/>
      </c>
      <c r="R21" s="32" t="str">
        <f aca="false">IF(AND(A21&lt;&gt;"",N21="High",J21&lt;&gt;"Done",J21&lt;&gt;"Not applicable"),COUNTIFS($A$6:A21,"&lt;&gt;",$N$6:N21,"High",$J$6:J21,"&lt;&gt;Done",$J$6:J21,"&lt;&gt;Not applicable"),"")</f>
        <v/>
      </c>
    </row>
    <row r="22" customFormat="false" ht="51.75" hidden="false" customHeight="true" outlineLevel="0" collapsed="false">
      <c r="A22" s="28" t="s">
        <v>179</v>
      </c>
      <c r="B22" s="28" t="s">
        <v>42</v>
      </c>
      <c r="C22" s="28" t="s">
        <v>180</v>
      </c>
      <c r="D22" s="28" t="s">
        <v>181</v>
      </c>
      <c r="E22" s="28" t="s">
        <v>140</v>
      </c>
      <c r="F22" s="29" t="n">
        <v>3</v>
      </c>
      <c r="G22" s="30" t="n">
        <f aca="false">IF(F22="","",INDEX(Timeline!$C$8:$C$10,F22))</f>
        <v>46520</v>
      </c>
      <c r="H22" s="31" t="s">
        <v>83</v>
      </c>
      <c r="I22" s="32" t="str">
        <f aca="false">IF(H22="","",IF(H22="ALL","Yes",IF(IFERROR(INDEX('Applicability Screen'!$E$8:$E$20,MATCH(H22,'Applicability Screen'!$G$8:$G$20,0)),"")="","Answer screen",INDEX('Applicability Screen'!$E$8:$E$20,MATCH(H22,'Applicability Screen'!$G$8:$G$20,0)))))</f>
        <v>Answer screen</v>
      </c>
      <c r="J22" s="33"/>
      <c r="K22" s="33"/>
      <c r="L22" s="33"/>
      <c r="M22" s="33"/>
      <c r="N22" s="33"/>
      <c r="O22" s="34"/>
      <c r="P22" s="32" t="str">
        <f aca="true">IF(OR(O22="",J22="Done",J22="Not applicable"),"",IF(O22&lt;TODAY(),"OVERDUE",""))</f>
        <v/>
      </c>
      <c r="Q22" s="32" t="str">
        <f aca="true">IF(AND(A22="",D22=""),"",IF(AND(I22="No",J22&lt;&gt;"Not applicable"),"Screen says not triggered - confirm or mark Not applicable. ","")&amp;IF(AND(G22&lt;&gt;"",J22&lt;&gt;"Done",J22&lt;&gt;"Not applicable",G22&lt;=TODAY()),"Duty already in force. ","")&amp;IF(AND(O22&lt;&gt;"",G22&lt;&gt;"",J22&lt;&gt;"Done",J22&lt;&gt;"Not applicable",O22&gt;G22),"Target date is after the duty applies. ","")&amp;IF(AND(N22="High",L22="",J22&lt;&gt;"Done",J22&lt;&gt;"Not applicable"),"High priority with no owner. ","")&amp;IF(AND(J22="Done",K22=""),"Done but no evidence location. ","")&amp;IF(AND(J22="Not applicable",M22=""),"Say why it is not applicable. ",""))</f>
        <v/>
      </c>
      <c r="R22" s="32" t="str">
        <f aca="false">IF(AND(A22&lt;&gt;"",N22="High",J22&lt;&gt;"Done",J22&lt;&gt;"Not applicable"),COUNTIFS($A$6:A22,"&lt;&gt;",$N$6:N22,"High",$J$6:J22,"&lt;&gt;Done",$J$6:J22,"&lt;&gt;Not applicable"),"")</f>
        <v/>
      </c>
    </row>
    <row r="23" customFormat="false" ht="39.75" hidden="false" customHeight="true" outlineLevel="0" collapsed="false">
      <c r="A23" s="28" t="s">
        <v>182</v>
      </c>
      <c r="B23" s="28" t="s">
        <v>42</v>
      </c>
      <c r="C23" s="28" t="s">
        <v>183</v>
      </c>
      <c r="D23" s="28" t="s">
        <v>184</v>
      </c>
      <c r="E23" s="28" t="s">
        <v>140</v>
      </c>
      <c r="F23" s="29" t="n">
        <v>3</v>
      </c>
      <c r="G23" s="30" t="n">
        <f aca="false">IF(F23="","",INDEX(Timeline!$C$8:$C$10,F23))</f>
        <v>46520</v>
      </c>
      <c r="H23" s="31" t="s">
        <v>83</v>
      </c>
      <c r="I23" s="32" t="str">
        <f aca="false">IF(H23="","",IF(H23="ALL","Yes",IF(IFERROR(INDEX('Applicability Screen'!$E$8:$E$20,MATCH(H23,'Applicability Screen'!$G$8:$G$20,0)),"")="","Answer screen",INDEX('Applicability Screen'!$E$8:$E$20,MATCH(H23,'Applicability Screen'!$G$8:$G$20,0)))))</f>
        <v>Answer screen</v>
      </c>
      <c r="J23" s="33"/>
      <c r="K23" s="33"/>
      <c r="L23" s="33"/>
      <c r="M23" s="33"/>
      <c r="N23" s="33"/>
      <c r="O23" s="34"/>
      <c r="P23" s="32" t="str">
        <f aca="true">IF(OR(O23="",J23="Done",J23="Not applicable"),"",IF(O23&lt;TODAY(),"OVERDUE",""))</f>
        <v/>
      </c>
      <c r="Q23" s="32" t="str">
        <f aca="true">IF(AND(A23="",D23=""),"",IF(AND(I23="No",J23&lt;&gt;"Not applicable"),"Screen says not triggered - confirm or mark Not applicable. ","")&amp;IF(AND(G23&lt;&gt;"",J23&lt;&gt;"Done",J23&lt;&gt;"Not applicable",G23&lt;=TODAY()),"Duty already in force. ","")&amp;IF(AND(O23&lt;&gt;"",G23&lt;&gt;"",J23&lt;&gt;"Done",J23&lt;&gt;"Not applicable",O23&gt;G23),"Target date is after the duty applies. ","")&amp;IF(AND(N23="High",L23="",J23&lt;&gt;"Done",J23&lt;&gt;"Not applicable"),"High priority with no owner. ","")&amp;IF(AND(J23="Done",K23=""),"Done but no evidence location. ","")&amp;IF(AND(J23="Not applicable",M23=""),"Say why it is not applicable. ",""))</f>
        <v/>
      </c>
      <c r="R23" s="32" t="str">
        <f aca="false">IF(AND(A23&lt;&gt;"",N23="High",J23&lt;&gt;"Done",J23&lt;&gt;"Not applicable"),COUNTIFS($A$6:A23,"&lt;&gt;",$N$6:N23,"High",$J$6:J23,"&lt;&gt;Done",$J$6:J23,"&lt;&gt;Not applicable"),"")</f>
        <v/>
      </c>
    </row>
    <row r="24" customFormat="false" ht="27.75" hidden="false" customHeight="true" outlineLevel="0" collapsed="false">
      <c r="A24" s="28" t="s">
        <v>185</v>
      </c>
      <c r="B24" s="28" t="s">
        <v>42</v>
      </c>
      <c r="C24" s="28" t="s">
        <v>186</v>
      </c>
      <c r="D24" s="28" t="s">
        <v>187</v>
      </c>
      <c r="E24" s="28" t="s">
        <v>140</v>
      </c>
      <c r="F24" s="29" t="n">
        <v>3</v>
      </c>
      <c r="G24" s="30" t="n">
        <f aca="false">IF(F24="","",INDEX(Timeline!$C$8:$C$10,F24))</f>
        <v>46520</v>
      </c>
      <c r="H24" s="31" t="s">
        <v>83</v>
      </c>
      <c r="I24" s="32" t="str">
        <f aca="false">IF(H24="","",IF(H24="ALL","Yes",IF(IFERROR(INDEX('Applicability Screen'!$E$8:$E$20,MATCH(H24,'Applicability Screen'!$G$8:$G$20,0)),"")="","Answer screen",INDEX('Applicability Screen'!$E$8:$E$20,MATCH(H24,'Applicability Screen'!$G$8:$G$20,0)))))</f>
        <v>Answer screen</v>
      </c>
      <c r="J24" s="33"/>
      <c r="K24" s="33"/>
      <c r="L24" s="33"/>
      <c r="M24" s="33"/>
      <c r="N24" s="33"/>
      <c r="O24" s="34"/>
      <c r="P24" s="32" t="str">
        <f aca="true">IF(OR(O24="",J24="Done",J24="Not applicable"),"",IF(O24&lt;TODAY(),"OVERDUE",""))</f>
        <v/>
      </c>
      <c r="Q24" s="32" t="str">
        <f aca="true">IF(AND(A24="",D24=""),"",IF(AND(I24="No",J24&lt;&gt;"Not applicable"),"Screen says not triggered - confirm or mark Not applicable. ","")&amp;IF(AND(G24&lt;&gt;"",J24&lt;&gt;"Done",J24&lt;&gt;"Not applicable",G24&lt;=TODAY()),"Duty already in force. ","")&amp;IF(AND(O24&lt;&gt;"",G24&lt;&gt;"",J24&lt;&gt;"Done",J24&lt;&gt;"Not applicable",O24&gt;G24),"Target date is after the duty applies. ","")&amp;IF(AND(N24="High",L24="",J24&lt;&gt;"Done",J24&lt;&gt;"Not applicable"),"High priority with no owner. ","")&amp;IF(AND(J24="Done",K24=""),"Done but no evidence location. ","")&amp;IF(AND(J24="Not applicable",M24=""),"Say why it is not applicable. ",""))</f>
        <v/>
      </c>
      <c r="R24" s="32" t="str">
        <f aca="false">IF(AND(A24&lt;&gt;"",N24="High",J24&lt;&gt;"Done",J24&lt;&gt;"Not applicable"),COUNTIFS($A$6:A24,"&lt;&gt;",$N$6:N24,"High",$J$6:J24,"&lt;&gt;Done",$J$6:J24,"&lt;&gt;Not applicable"),"")</f>
        <v/>
      </c>
    </row>
    <row r="25" customFormat="false" ht="51.75" hidden="false" customHeight="true" outlineLevel="0" collapsed="false">
      <c r="A25" s="28" t="s">
        <v>188</v>
      </c>
      <c r="B25" s="28" t="s">
        <v>42</v>
      </c>
      <c r="C25" s="28" t="s">
        <v>189</v>
      </c>
      <c r="D25" s="28" t="s">
        <v>190</v>
      </c>
      <c r="E25" s="28" t="s">
        <v>140</v>
      </c>
      <c r="F25" s="29" t="n">
        <v>3</v>
      </c>
      <c r="G25" s="30" t="n">
        <f aca="false">IF(F25="","",INDEX(Timeline!$C$8:$C$10,F25))</f>
        <v>46520</v>
      </c>
      <c r="H25" s="31" t="s">
        <v>83</v>
      </c>
      <c r="I25" s="32" t="str">
        <f aca="false">IF(H25="","",IF(H25="ALL","Yes",IF(IFERROR(INDEX('Applicability Screen'!$E$8:$E$20,MATCH(H25,'Applicability Screen'!$G$8:$G$20,0)),"")="","Answer screen",INDEX('Applicability Screen'!$E$8:$E$20,MATCH(H25,'Applicability Screen'!$G$8:$G$20,0)))))</f>
        <v>Answer screen</v>
      </c>
      <c r="J25" s="33"/>
      <c r="K25" s="33"/>
      <c r="L25" s="33"/>
      <c r="M25" s="33"/>
      <c r="N25" s="33"/>
      <c r="O25" s="34"/>
      <c r="P25" s="32" t="str">
        <f aca="true">IF(OR(O25="",J25="Done",J25="Not applicable"),"",IF(O25&lt;TODAY(),"OVERDUE",""))</f>
        <v/>
      </c>
      <c r="Q25" s="32" t="str">
        <f aca="true">IF(AND(A25="",D25=""),"",IF(AND(I25="No",J25&lt;&gt;"Not applicable"),"Screen says not triggered - confirm or mark Not applicable. ","")&amp;IF(AND(G25&lt;&gt;"",J25&lt;&gt;"Done",J25&lt;&gt;"Not applicable",G25&lt;=TODAY()),"Duty already in force. ","")&amp;IF(AND(O25&lt;&gt;"",G25&lt;&gt;"",J25&lt;&gt;"Done",J25&lt;&gt;"Not applicable",O25&gt;G25),"Target date is after the duty applies. ","")&amp;IF(AND(N25="High",L25="",J25&lt;&gt;"Done",J25&lt;&gt;"Not applicable"),"High priority with no owner. ","")&amp;IF(AND(J25="Done",K25=""),"Done but no evidence location. ","")&amp;IF(AND(J25="Not applicable",M25=""),"Say why it is not applicable. ",""))</f>
        <v/>
      </c>
      <c r="R25" s="32" t="str">
        <f aca="false">IF(AND(A25&lt;&gt;"",N25="High",J25&lt;&gt;"Done",J25&lt;&gt;"Not applicable"),COUNTIFS($A$6:A25,"&lt;&gt;",$N$6:N25,"High",$J$6:J25,"&lt;&gt;Done",$J$6:J25,"&lt;&gt;Not applicable"),"")</f>
        <v/>
      </c>
    </row>
    <row r="26" customFormat="false" ht="39.75" hidden="false" customHeight="true" outlineLevel="0" collapsed="false">
      <c r="A26" s="28" t="s">
        <v>191</v>
      </c>
      <c r="B26" s="28" t="s">
        <v>42</v>
      </c>
      <c r="C26" s="28" t="s">
        <v>192</v>
      </c>
      <c r="D26" s="28" t="s">
        <v>193</v>
      </c>
      <c r="E26" s="28" t="s">
        <v>194</v>
      </c>
      <c r="F26" s="29" t="n">
        <v>3</v>
      </c>
      <c r="G26" s="30" t="n">
        <f aca="false">IF(F26="","",INDEX(Timeline!$C$8:$C$10,F26))</f>
        <v>46520</v>
      </c>
      <c r="H26" s="31" t="s">
        <v>83</v>
      </c>
      <c r="I26" s="32" t="str">
        <f aca="false">IF(H26="","",IF(H26="ALL","Yes",IF(IFERROR(INDEX('Applicability Screen'!$E$8:$E$20,MATCH(H26,'Applicability Screen'!$G$8:$G$20,0)),"")="","Answer screen",INDEX('Applicability Screen'!$E$8:$E$20,MATCH(H26,'Applicability Screen'!$G$8:$G$20,0)))))</f>
        <v>Answer screen</v>
      </c>
      <c r="J26" s="33"/>
      <c r="K26" s="33"/>
      <c r="L26" s="33"/>
      <c r="M26" s="33"/>
      <c r="N26" s="33"/>
      <c r="O26" s="34"/>
      <c r="P26" s="32" t="str">
        <f aca="true">IF(OR(O26="",J26="Done",J26="Not applicable"),"",IF(O26&lt;TODAY(),"OVERDUE",""))</f>
        <v/>
      </c>
      <c r="Q26" s="32" t="str">
        <f aca="true">IF(AND(A26="",D26=""),"",IF(AND(I26="No",J26&lt;&gt;"Not applicable"),"Screen says not triggered - confirm or mark Not applicable. ","")&amp;IF(AND(G26&lt;&gt;"",J26&lt;&gt;"Done",J26&lt;&gt;"Not applicable",G26&lt;=TODAY()),"Duty already in force. ","")&amp;IF(AND(O26&lt;&gt;"",G26&lt;&gt;"",J26&lt;&gt;"Done",J26&lt;&gt;"Not applicable",O26&gt;G26),"Target date is after the duty applies. ","")&amp;IF(AND(N26="High",L26="",J26&lt;&gt;"Done",J26&lt;&gt;"Not applicable"),"High priority with no owner. ","")&amp;IF(AND(J26="Done",K26=""),"Done but no evidence location. ","")&amp;IF(AND(J26="Not applicable",M26=""),"Say why it is not applicable. ",""))</f>
        <v/>
      </c>
      <c r="R26" s="32" t="str">
        <f aca="false">IF(AND(A26&lt;&gt;"",N26="High",J26&lt;&gt;"Done",J26&lt;&gt;"Not applicable"),COUNTIFS($A$6:A26,"&lt;&gt;",$N$6:N26,"High",$J$6:J26,"&lt;&gt;Done",$J$6:J26,"&lt;&gt;Not applicable"),"")</f>
        <v/>
      </c>
    </row>
    <row r="27" customFormat="false" ht="39.75" hidden="false" customHeight="true" outlineLevel="0" collapsed="false">
      <c r="A27" s="28" t="s">
        <v>195</v>
      </c>
      <c r="B27" s="28" t="s">
        <v>42</v>
      </c>
      <c r="C27" s="28" t="s">
        <v>196</v>
      </c>
      <c r="D27" s="28" t="s">
        <v>197</v>
      </c>
      <c r="E27" s="28" t="s">
        <v>140</v>
      </c>
      <c r="F27" s="29" t="n">
        <v>3</v>
      </c>
      <c r="G27" s="30" t="n">
        <f aca="false">IF(F27="","",INDEX(Timeline!$C$8:$C$10,F27))</f>
        <v>46520</v>
      </c>
      <c r="H27" s="31" t="s">
        <v>83</v>
      </c>
      <c r="I27" s="32" t="str">
        <f aca="false">IF(H27="","",IF(H27="ALL","Yes",IF(IFERROR(INDEX('Applicability Screen'!$E$8:$E$20,MATCH(H27,'Applicability Screen'!$G$8:$G$20,0)),"")="","Answer screen",INDEX('Applicability Screen'!$E$8:$E$20,MATCH(H27,'Applicability Screen'!$G$8:$G$20,0)))))</f>
        <v>Answer screen</v>
      </c>
      <c r="J27" s="33"/>
      <c r="K27" s="33"/>
      <c r="L27" s="33"/>
      <c r="M27" s="33"/>
      <c r="N27" s="33"/>
      <c r="O27" s="34"/>
      <c r="P27" s="32" t="str">
        <f aca="true">IF(OR(O27="",J27="Done",J27="Not applicable"),"",IF(O27&lt;TODAY(),"OVERDUE",""))</f>
        <v/>
      </c>
      <c r="Q27" s="32" t="str">
        <f aca="true">IF(AND(A27="",D27=""),"",IF(AND(I27="No",J27&lt;&gt;"Not applicable"),"Screen says not triggered - confirm or mark Not applicable. ","")&amp;IF(AND(G27&lt;&gt;"",J27&lt;&gt;"Done",J27&lt;&gt;"Not applicable",G27&lt;=TODAY()),"Duty already in force. ","")&amp;IF(AND(O27&lt;&gt;"",G27&lt;&gt;"",J27&lt;&gt;"Done",J27&lt;&gt;"Not applicable",O27&gt;G27),"Target date is after the duty applies. ","")&amp;IF(AND(N27="High",L27="",J27&lt;&gt;"Done",J27&lt;&gt;"Not applicable"),"High priority with no owner. ","")&amp;IF(AND(J27="Done",K27=""),"Done but no evidence location. ","")&amp;IF(AND(J27="Not applicable",M27=""),"Say why it is not applicable. ",""))</f>
        <v/>
      </c>
      <c r="R27" s="32" t="str">
        <f aca="false">IF(AND(A27&lt;&gt;"",N27="High",J27&lt;&gt;"Done",J27&lt;&gt;"Not applicable"),COUNTIFS($A$6:A27,"&lt;&gt;",$N$6:N27,"High",$J$6:J27,"&lt;&gt;Done",$J$6:J27,"&lt;&gt;Not applicable"),"")</f>
        <v/>
      </c>
    </row>
    <row r="28" customFormat="false" ht="39.75" hidden="false" customHeight="true" outlineLevel="0" collapsed="false">
      <c r="A28" s="28" t="s">
        <v>198</v>
      </c>
      <c r="B28" s="28" t="s">
        <v>42</v>
      </c>
      <c r="C28" s="28" t="s">
        <v>199</v>
      </c>
      <c r="D28" s="28" t="s">
        <v>200</v>
      </c>
      <c r="E28" s="28" t="s">
        <v>140</v>
      </c>
      <c r="F28" s="29" t="n">
        <v>3</v>
      </c>
      <c r="G28" s="30" t="n">
        <f aca="false">IF(F28="","",INDEX(Timeline!$C$8:$C$10,F28))</f>
        <v>46520</v>
      </c>
      <c r="H28" s="31" t="s">
        <v>83</v>
      </c>
      <c r="I28" s="32" t="str">
        <f aca="false">IF(H28="","",IF(H28="ALL","Yes",IF(IFERROR(INDEX('Applicability Screen'!$E$8:$E$20,MATCH(H28,'Applicability Screen'!$G$8:$G$20,0)),"")="","Answer screen",INDEX('Applicability Screen'!$E$8:$E$20,MATCH(H28,'Applicability Screen'!$G$8:$G$20,0)))))</f>
        <v>Answer screen</v>
      </c>
      <c r="J28" s="33"/>
      <c r="K28" s="33"/>
      <c r="L28" s="33"/>
      <c r="M28" s="33"/>
      <c r="N28" s="33"/>
      <c r="O28" s="34"/>
      <c r="P28" s="32" t="str">
        <f aca="true">IF(OR(O28="",J28="Done",J28="Not applicable"),"",IF(O28&lt;TODAY(),"OVERDUE",""))</f>
        <v/>
      </c>
      <c r="Q28" s="32" t="str">
        <f aca="true">IF(AND(A28="",D28=""),"",IF(AND(I28="No",J28&lt;&gt;"Not applicable"),"Screen says not triggered - confirm or mark Not applicable. ","")&amp;IF(AND(G28&lt;&gt;"",J28&lt;&gt;"Done",J28&lt;&gt;"Not applicable",G28&lt;=TODAY()),"Duty already in force. ","")&amp;IF(AND(O28&lt;&gt;"",G28&lt;&gt;"",J28&lt;&gt;"Done",J28&lt;&gt;"Not applicable",O28&gt;G28),"Target date is after the duty applies. ","")&amp;IF(AND(N28="High",L28="",J28&lt;&gt;"Done",J28&lt;&gt;"Not applicable"),"High priority with no owner. ","")&amp;IF(AND(J28="Done",K28=""),"Done but no evidence location. ","")&amp;IF(AND(J28="Not applicable",M28=""),"Say why it is not applicable. ",""))</f>
        <v/>
      </c>
      <c r="R28" s="32" t="str">
        <f aca="false">IF(AND(A28&lt;&gt;"",N28="High",J28&lt;&gt;"Done",J28&lt;&gt;"Not applicable"),COUNTIFS($A$6:A28,"&lt;&gt;",$N$6:N28,"High",$J$6:J28,"&lt;&gt;Done",$J$6:J28,"&lt;&gt;Not applicable"),"")</f>
        <v/>
      </c>
    </row>
    <row r="29" customFormat="false" ht="51.75" hidden="false" customHeight="true" outlineLevel="0" collapsed="false">
      <c r="A29" s="28" t="s">
        <v>201</v>
      </c>
      <c r="B29" s="28" t="s">
        <v>43</v>
      </c>
      <c r="C29" s="28" t="s">
        <v>202</v>
      </c>
      <c r="D29" s="28" t="s">
        <v>203</v>
      </c>
      <c r="E29" s="28" t="s">
        <v>140</v>
      </c>
      <c r="F29" s="29" t="n">
        <v>3</v>
      </c>
      <c r="G29" s="30" t="n">
        <f aca="false">IF(F29="","",INDEX(Timeline!$C$8:$C$10,F29))</f>
        <v>46520</v>
      </c>
      <c r="H29" s="31" t="s">
        <v>83</v>
      </c>
      <c r="I29" s="32" t="str">
        <f aca="false">IF(H29="","",IF(H29="ALL","Yes",IF(IFERROR(INDEX('Applicability Screen'!$E$8:$E$20,MATCH(H29,'Applicability Screen'!$G$8:$G$20,0)),"")="","Answer screen",INDEX('Applicability Screen'!$E$8:$E$20,MATCH(H29,'Applicability Screen'!$G$8:$G$20,0)))))</f>
        <v>Answer screen</v>
      </c>
      <c r="J29" s="33"/>
      <c r="K29" s="33"/>
      <c r="L29" s="33"/>
      <c r="M29" s="33"/>
      <c r="N29" s="33"/>
      <c r="O29" s="34"/>
      <c r="P29" s="32" t="str">
        <f aca="true">IF(OR(O29="",J29="Done",J29="Not applicable"),"",IF(O29&lt;TODAY(),"OVERDUE",""))</f>
        <v/>
      </c>
      <c r="Q29" s="32" t="str">
        <f aca="true">IF(AND(A29="",D29=""),"",IF(AND(I29="No",J29&lt;&gt;"Not applicable"),"Screen says not triggered - confirm or mark Not applicable. ","")&amp;IF(AND(G29&lt;&gt;"",J29&lt;&gt;"Done",J29&lt;&gt;"Not applicable",G29&lt;=TODAY()),"Duty already in force. ","")&amp;IF(AND(O29&lt;&gt;"",G29&lt;&gt;"",J29&lt;&gt;"Done",J29&lt;&gt;"Not applicable",O29&gt;G29),"Target date is after the duty applies. ","")&amp;IF(AND(N29="High",L29="",J29&lt;&gt;"Done",J29&lt;&gt;"Not applicable"),"High priority with no owner. ","")&amp;IF(AND(J29="Done",K29=""),"Done but no evidence location. ","")&amp;IF(AND(J29="Not applicable",M29=""),"Say why it is not applicable. ",""))</f>
        <v/>
      </c>
      <c r="R29" s="32" t="str">
        <f aca="false">IF(AND(A29&lt;&gt;"",N29="High",J29&lt;&gt;"Done",J29&lt;&gt;"Not applicable"),COUNTIFS($A$6:A29,"&lt;&gt;",$N$6:N29,"High",$J$6:J29,"&lt;&gt;Done",$J$6:J29,"&lt;&gt;Not applicable"),"")</f>
        <v/>
      </c>
    </row>
    <row r="30" customFormat="false" ht="51.75" hidden="false" customHeight="true" outlineLevel="0" collapsed="false">
      <c r="A30" s="28" t="s">
        <v>204</v>
      </c>
      <c r="B30" s="28" t="s">
        <v>43</v>
      </c>
      <c r="C30" s="28" t="s">
        <v>205</v>
      </c>
      <c r="D30" s="28" t="s">
        <v>206</v>
      </c>
      <c r="E30" s="28" t="s">
        <v>140</v>
      </c>
      <c r="F30" s="29" t="n">
        <v>3</v>
      </c>
      <c r="G30" s="30" t="n">
        <f aca="false">IF(F30="","",INDEX(Timeline!$C$8:$C$10,F30))</f>
        <v>46520</v>
      </c>
      <c r="H30" s="31" t="s">
        <v>83</v>
      </c>
      <c r="I30" s="32" t="str">
        <f aca="false">IF(H30="","",IF(H30="ALL","Yes",IF(IFERROR(INDEX('Applicability Screen'!$E$8:$E$20,MATCH(H30,'Applicability Screen'!$G$8:$G$20,0)),"")="","Answer screen",INDEX('Applicability Screen'!$E$8:$E$20,MATCH(H30,'Applicability Screen'!$G$8:$G$20,0)))))</f>
        <v>Answer screen</v>
      </c>
      <c r="J30" s="33"/>
      <c r="K30" s="33"/>
      <c r="L30" s="33"/>
      <c r="M30" s="33"/>
      <c r="N30" s="33"/>
      <c r="O30" s="34"/>
      <c r="P30" s="32" t="str">
        <f aca="true">IF(OR(O30="",J30="Done",J30="Not applicable"),"",IF(O30&lt;TODAY(),"OVERDUE",""))</f>
        <v/>
      </c>
      <c r="Q30" s="32" t="str">
        <f aca="true">IF(AND(A30="",D30=""),"",IF(AND(I30="No",J30&lt;&gt;"Not applicable"),"Screen says not triggered - confirm or mark Not applicable. ","")&amp;IF(AND(G30&lt;&gt;"",J30&lt;&gt;"Done",J30&lt;&gt;"Not applicable",G30&lt;=TODAY()),"Duty already in force. ","")&amp;IF(AND(O30&lt;&gt;"",G30&lt;&gt;"",J30&lt;&gt;"Done",J30&lt;&gt;"Not applicable",O30&gt;G30),"Target date is after the duty applies. ","")&amp;IF(AND(N30="High",L30="",J30&lt;&gt;"Done",J30&lt;&gt;"Not applicable"),"High priority with no owner. ","")&amp;IF(AND(J30="Done",K30=""),"Done but no evidence location. ","")&amp;IF(AND(J30="Not applicable",M30=""),"Say why it is not applicable. ",""))</f>
        <v/>
      </c>
      <c r="R30" s="32" t="str">
        <f aca="false">IF(AND(A30&lt;&gt;"",N30="High",J30&lt;&gt;"Done",J30&lt;&gt;"Not applicable"),COUNTIFS($A$6:A30,"&lt;&gt;",$N$6:N30,"High",$J$6:J30,"&lt;&gt;Done",$J$6:J30,"&lt;&gt;Not applicable"),"")</f>
        <v/>
      </c>
    </row>
    <row r="31" customFormat="false" ht="51.75" hidden="false" customHeight="true" outlineLevel="0" collapsed="false">
      <c r="A31" s="28" t="s">
        <v>207</v>
      </c>
      <c r="B31" s="28" t="s">
        <v>43</v>
      </c>
      <c r="C31" s="28" t="s">
        <v>208</v>
      </c>
      <c r="D31" s="28" t="s">
        <v>209</v>
      </c>
      <c r="E31" s="28" t="s">
        <v>140</v>
      </c>
      <c r="F31" s="29" t="n">
        <v>3</v>
      </c>
      <c r="G31" s="30" t="n">
        <f aca="false">IF(F31="","",INDEX(Timeline!$C$8:$C$10,F31))</f>
        <v>46520</v>
      </c>
      <c r="H31" s="31" t="s">
        <v>83</v>
      </c>
      <c r="I31" s="32" t="str">
        <f aca="false">IF(H31="","",IF(H31="ALL","Yes",IF(IFERROR(INDEX('Applicability Screen'!$E$8:$E$20,MATCH(H31,'Applicability Screen'!$G$8:$G$20,0)),"")="","Answer screen",INDEX('Applicability Screen'!$E$8:$E$20,MATCH(H31,'Applicability Screen'!$G$8:$G$20,0)))))</f>
        <v>Answer screen</v>
      </c>
      <c r="J31" s="33"/>
      <c r="K31" s="33"/>
      <c r="L31" s="33"/>
      <c r="M31" s="33"/>
      <c r="N31" s="33"/>
      <c r="O31" s="34"/>
      <c r="P31" s="32" t="str">
        <f aca="true">IF(OR(O31="",J31="Done",J31="Not applicable"),"",IF(O31&lt;TODAY(),"OVERDUE",""))</f>
        <v/>
      </c>
      <c r="Q31" s="32" t="str">
        <f aca="true">IF(AND(A31="",D31=""),"",IF(AND(I31="No",J31&lt;&gt;"Not applicable"),"Screen says not triggered - confirm or mark Not applicable. ","")&amp;IF(AND(G31&lt;&gt;"",J31&lt;&gt;"Done",J31&lt;&gt;"Not applicable",G31&lt;=TODAY()),"Duty already in force. ","")&amp;IF(AND(O31&lt;&gt;"",G31&lt;&gt;"",J31&lt;&gt;"Done",J31&lt;&gt;"Not applicable",O31&gt;G31),"Target date is after the duty applies. ","")&amp;IF(AND(N31="High",L31="",J31&lt;&gt;"Done",J31&lt;&gt;"Not applicable"),"High priority with no owner. ","")&amp;IF(AND(J31="Done",K31=""),"Done but no evidence location. ","")&amp;IF(AND(J31="Not applicable",M31=""),"Say why it is not applicable. ",""))</f>
        <v/>
      </c>
      <c r="R31" s="32" t="str">
        <f aca="false">IF(AND(A31&lt;&gt;"",N31="High",J31&lt;&gt;"Done",J31&lt;&gt;"Not applicable"),COUNTIFS($A$6:A31,"&lt;&gt;",$N$6:N31,"High",$J$6:J31,"&lt;&gt;Done",$J$6:J31,"&lt;&gt;Not applicable"),"")</f>
        <v/>
      </c>
    </row>
    <row r="32" customFormat="false" ht="51.75" hidden="false" customHeight="true" outlineLevel="0" collapsed="false">
      <c r="A32" s="28" t="s">
        <v>210</v>
      </c>
      <c r="B32" s="28" t="s">
        <v>43</v>
      </c>
      <c r="C32" s="28" t="s">
        <v>211</v>
      </c>
      <c r="D32" s="28" t="s">
        <v>212</v>
      </c>
      <c r="E32" s="28" t="s">
        <v>140</v>
      </c>
      <c r="F32" s="29" t="n">
        <v>3</v>
      </c>
      <c r="G32" s="30" t="n">
        <f aca="false">IF(F32="","",INDEX(Timeline!$C$8:$C$10,F32))</f>
        <v>46520</v>
      </c>
      <c r="H32" s="31" t="s">
        <v>83</v>
      </c>
      <c r="I32" s="32" t="str">
        <f aca="false">IF(H32="","",IF(H32="ALL","Yes",IF(IFERROR(INDEX('Applicability Screen'!$E$8:$E$20,MATCH(H32,'Applicability Screen'!$G$8:$G$20,0)),"")="","Answer screen",INDEX('Applicability Screen'!$E$8:$E$20,MATCH(H32,'Applicability Screen'!$G$8:$G$20,0)))))</f>
        <v>Answer screen</v>
      </c>
      <c r="J32" s="33"/>
      <c r="K32" s="33"/>
      <c r="L32" s="33"/>
      <c r="M32" s="33"/>
      <c r="N32" s="33"/>
      <c r="O32" s="34"/>
      <c r="P32" s="32" t="str">
        <f aca="true">IF(OR(O32="",J32="Done",J32="Not applicable"),"",IF(O32&lt;TODAY(),"OVERDUE",""))</f>
        <v/>
      </c>
      <c r="Q32" s="32" t="str">
        <f aca="true">IF(AND(A32="",D32=""),"",IF(AND(I32="No",J32&lt;&gt;"Not applicable"),"Screen says not triggered - confirm or mark Not applicable. ","")&amp;IF(AND(G32&lt;&gt;"",J32&lt;&gt;"Done",J32&lt;&gt;"Not applicable",G32&lt;=TODAY()),"Duty already in force. ","")&amp;IF(AND(O32&lt;&gt;"",G32&lt;&gt;"",J32&lt;&gt;"Done",J32&lt;&gt;"Not applicable",O32&gt;G32),"Target date is after the duty applies. ","")&amp;IF(AND(N32="High",L32="",J32&lt;&gt;"Done",J32&lt;&gt;"Not applicable"),"High priority with no owner. ","")&amp;IF(AND(J32="Done",K32=""),"Done but no evidence location. ","")&amp;IF(AND(J32="Not applicable",M32=""),"Say why it is not applicable. ",""))</f>
        <v/>
      </c>
      <c r="R32" s="32" t="str">
        <f aca="false">IF(AND(A32&lt;&gt;"",N32="High",J32&lt;&gt;"Done",J32&lt;&gt;"Not applicable"),COUNTIFS($A$6:A32,"&lt;&gt;",$N$6:N32,"High",$J$6:J32,"&lt;&gt;Done",$J$6:J32,"&lt;&gt;Not applicable"),"")</f>
        <v/>
      </c>
    </row>
    <row r="33" customFormat="false" ht="75.75" hidden="false" customHeight="true" outlineLevel="0" collapsed="false">
      <c r="A33" s="28" t="s">
        <v>213</v>
      </c>
      <c r="B33" s="28" t="s">
        <v>43</v>
      </c>
      <c r="C33" s="28" t="s">
        <v>214</v>
      </c>
      <c r="D33" s="28" t="s">
        <v>215</v>
      </c>
      <c r="E33" s="28" t="s">
        <v>216</v>
      </c>
      <c r="F33" s="29" t="n">
        <v>3</v>
      </c>
      <c r="G33" s="30" t="n">
        <f aca="false">IF(F33="","",INDEX(Timeline!$C$8:$C$10,F33))</f>
        <v>46520</v>
      </c>
      <c r="H33" s="31" t="s">
        <v>110</v>
      </c>
      <c r="I33" s="32" t="str">
        <f aca="false">IF(H33="","",IF(H33="ALL","Yes",IF(IFERROR(INDEX('Applicability Screen'!$E$8:$E$20,MATCH(H33,'Applicability Screen'!$G$8:$G$20,0)),"")="","Answer screen",INDEX('Applicability Screen'!$E$8:$E$20,MATCH(H33,'Applicability Screen'!$G$8:$G$20,0)))))</f>
        <v>Answer screen</v>
      </c>
      <c r="J33" s="33"/>
      <c r="K33" s="33"/>
      <c r="L33" s="33"/>
      <c r="M33" s="33"/>
      <c r="N33" s="33"/>
      <c r="O33" s="34"/>
      <c r="P33" s="32" t="str">
        <f aca="true">IF(OR(O33="",J33="Done",J33="Not applicable"),"",IF(O33&lt;TODAY(),"OVERDUE",""))</f>
        <v/>
      </c>
      <c r="Q33" s="32" t="str">
        <f aca="true">IF(AND(A33="",D33=""),"",IF(AND(I33="No",J33&lt;&gt;"Not applicable"),"Screen says not triggered - confirm or mark Not applicable. ","")&amp;IF(AND(G33&lt;&gt;"",J33&lt;&gt;"Done",J33&lt;&gt;"Not applicable",G33&lt;=TODAY()),"Duty already in force. ","")&amp;IF(AND(O33&lt;&gt;"",G33&lt;&gt;"",J33&lt;&gt;"Done",J33&lt;&gt;"Not applicable",O33&gt;G33),"Target date is after the duty applies. ","")&amp;IF(AND(N33="High",L33="",J33&lt;&gt;"Done",J33&lt;&gt;"Not applicable"),"High priority with no owner. ","")&amp;IF(AND(J33="Done",K33=""),"Done but no evidence location. ","")&amp;IF(AND(J33="Not applicable",M33=""),"Say why it is not applicable. ",""))</f>
        <v/>
      </c>
      <c r="R33" s="32" t="str">
        <f aca="false">IF(AND(A33&lt;&gt;"",N33="High",J33&lt;&gt;"Done",J33&lt;&gt;"Not applicable"),COUNTIFS($A$6:A33,"&lt;&gt;",$N$6:N33,"High",$J$6:J33,"&lt;&gt;Done",$J$6:J33,"&lt;&gt;Not applicable"),"")</f>
        <v/>
      </c>
    </row>
    <row r="34" customFormat="false" ht="39.75" hidden="false" customHeight="true" outlineLevel="0" collapsed="false">
      <c r="A34" s="28" t="s">
        <v>217</v>
      </c>
      <c r="B34" s="28" t="s">
        <v>44</v>
      </c>
      <c r="C34" s="28" t="s">
        <v>218</v>
      </c>
      <c r="D34" s="28" t="s">
        <v>219</v>
      </c>
      <c r="E34" s="28" t="s">
        <v>140</v>
      </c>
      <c r="F34" s="29" t="n">
        <v>3</v>
      </c>
      <c r="G34" s="30" t="n">
        <f aca="false">IF(F34="","",INDEX(Timeline!$C$8:$C$10,F34))</f>
        <v>46520</v>
      </c>
      <c r="H34" s="31" t="s">
        <v>83</v>
      </c>
      <c r="I34" s="32" t="str">
        <f aca="false">IF(H34="","",IF(H34="ALL","Yes",IF(IFERROR(INDEX('Applicability Screen'!$E$8:$E$20,MATCH(H34,'Applicability Screen'!$G$8:$G$20,0)),"")="","Answer screen",INDEX('Applicability Screen'!$E$8:$E$20,MATCH(H34,'Applicability Screen'!$G$8:$G$20,0)))))</f>
        <v>Answer screen</v>
      </c>
      <c r="J34" s="33"/>
      <c r="K34" s="33"/>
      <c r="L34" s="33"/>
      <c r="M34" s="33"/>
      <c r="N34" s="33"/>
      <c r="O34" s="34"/>
      <c r="P34" s="32" t="str">
        <f aca="true">IF(OR(O34="",J34="Done",J34="Not applicable"),"",IF(O34&lt;TODAY(),"OVERDUE",""))</f>
        <v/>
      </c>
      <c r="Q34" s="32" t="str">
        <f aca="true">IF(AND(A34="",D34=""),"",IF(AND(I34="No",J34&lt;&gt;"Not applicable"),"Screen says not triggered - confirm or mark Not applicable. ","")&amp;IF(AND(G34&lt;&gt;"",J34&lt;&gt;"Done",J34&lt;&gt;"Not applicable",G34&lt;=TODAY()),"Duty already in force. ","")&amp;IF(AND(O34&lt;&gt;"",G34&lt;&gt;"",J34&lt;&gt;"Done",J34&lt;&gt;"Not applicable",O34&gt;G34),"Target date is after the duty applies. ","")&amp;IF(AND(N34="High",L34="",J34&lt;&gt;"Done",J34&lt;&gt;"Not applicable"),"High priority with no owner. ","")&amp;IF(AND(J34="Done",K34=""),"Done but no evidence location. ","")&amp;IF(AND(J34="Not applicable",M34=""),"Say why it is not applicable. ",""))</f>
        <v/>
      </c>
      <c r="R34" s="32" t="str">
        <f aca="false">IF(AND(A34&lt;&gt;"",N34="High",J34&lt;&gt;"Done",J34&lt;&gt;"Not applicable"),COUNTIFS($A$6:A34,"&lt;&gt;",$N$6:N34,"High",$J$6:J34,"&lt;&gt;Done",$J$6:J34,"&lt;&gt;Not applicable"),"")</f>
        <v/>
      </c>
    </row>
    <row r="35" customFormat="false" ht="39.75" hidden="false" customHeight="true" outlineLevel="0" collapsed="false">
      <c r="A35" s="28" t="s">
        <v>220</v>
      </c>
      <c r="B35" s="28" t="s">
        <v>44</v>
      </c>
      <c r="C35" s="28" t="s">
        <v>221</v>
      </c>
      <c r="D35" s="28" t="s">
        <v>222</v>
      </c>
      <c r="E35" s="28" t="s">
        <v>140</v>
      </c>
      <c r="F35" s="29" t="n">
        <v>3</v>
      </c>
      <c r="G35" s="30" t="n">
        <f aca="false">IF(F35="","",INDEX(Timeline!$C$8:$C$10,F35))</f>
        <v>46520</v>
      </c>
      <c r="H35" s="31" t="s">
        <v>83</v>
      </c>
      <c r="I35" s="32" t="str">
        <f aca="false">IF(H35="","",IF(H35="ALL","Yes",IF(IFERROR(INDEX('Applicability Screen'!$E$8:$E$20,MATCH(H35,'Applicability Screen'!$G$8:$G$20,0)),"")="","Answer screen",INDEX('Applicability Screen'!$E$8:$E$20,MATCH(H35,'Applicability Screen'!$G$8:$G$20,0)))))</f>
        <v>Answer screen</v>
      </c>
      <c r="J35" s="33"/>
      <c r="K35" s="33"/>
      <c r="L35" s="33"/>
      <c r="M35" s="33"/>
      <c r="N35" s="33"/>
      <c r="O35" s="34"/>
      <c r="P35" s="32" t="str">
        <f aca="true">IF(OR(O35="",J35="Done",J35="Not applicable"),"",IF(O35&lt;TODAY(),"OVERDUE",""))</f>
        <v/>
      </c>
      <c r="Q35" s="32" t="str">
        <f aca="true">IF(AND(A35="",D35=""),"",IF(AND(I35="No",J35&lt;&gt;"Not applicable"),"Screen says not triggered - confirm or mark Not applicable. ","")&amp;IF(AND(G35&lt;&gt;"",J35&lt;&gt;"Done",J35&lt;&gt;"Not applicable",G35&lt;=TODAY()),"Duty already in force. ","")&amp;IF(AND(O35&lt;&gt;"",G35&lt;&gt;"",J35&lt;&gt;"Done",J35&lt;&gt;"Not applicable",O35&gt;G35),"Target date is after the duty applies. ","")&amp;IF(AND(N35="High",L35="",J35&lt;&gt;"Done",J35&lt;&gt;"Not applicable"),"High priority with no owner. ","")&amp;IF(AND(J35="Done",K35=""),"Done but no evidence location. ","")&amp;IF(AND(J35="Not applicable",M35=""),"Say why it is not applicable. ",""))</f>
        <v/>
      </c>
      <c r="R35" s="32" t="str">
        <f aca="false">IF(AND(A35&lt;&gt;"",N35="High",J35&lt;&gt;"Done",J35&lt;&gt;"Not applicable"),COUNTIFS($A$6:A35,"&lt;&gt;",$N$6:N35,"High",$J$6:J35,"&lt;&gt;Done",$J$6:J35,"&lt;&gt;Not applicable"),"")</f>
        <v/>
      </c>
    </row>
    <row r="36" customFormat="false" ht="39.75" hidden="false" customHeight="true" outlineLevel="0" collapsed="false">
      <c r="A36" s="28" t="s">
        <v>223</v>
      </c>
      <c r="B36" s="28" t="s">
        <v>44</v>
      </c>
      <c r="C36" s="28" t="s">
        <v>224</v>
      </c>
      <c r="D36" s="28" t="s">
        <v>225</v>
      </c>
      <c r="E36" s="28" t="s">
        <v>140</v>
      </c>
      <c r="F36" s="29" t="n">
        <v>3</v>
      </c>
      <c r="G36" s="30" t="n">
        <f aca="false">IF(F36="","",INDEX(Timeline!$C$8:$C$10,F36))</f>
        <v>46520</v>
      </c>
      <c r="H36" s="31" t="s">
        <v>83</v>
      </c>
      <c r="I36" s="32" t="str">
        <f aca="false">IF(H36="","",IF(H36="ALL","Yes",IF(IFERROR(INDEX('Applicability Screen'!$E$8:$E$20,MATCH(H36,'Applicability Screen'!$G$8:$G$20,0)),"")="","Answer screen",INDEX('Applicability Screen'!$E$8:$E$20,MATCH(H36,'Applicability Screen'!$G$8:$G$20,0)))))</f>
        <v>Answer screen</v>
      </c>
      <c r="J36" s="33"/>
      <c r="K36" s="33"/>
      <c r="L36" s="33"/>
      <c r="M36" s="33"/>
      <c r="N36" s="33"/>
      <c r="O36" s="34"/>
      <c r="P36" s="32" t="str">
        <f aca="true">IF(OR(O36="",J36="Done",J36="Not applicable"),"",IF(O36&lt;TODAY(),"OVERDUE",""))</f>
        <v/>
      </c>
      <c r="Q36" s="32" t="str">
        <f aca="true">IF(AND(A36="",D36=""),"",IF(AND(I36="No",J36&lt;&gt;"Not applicable"),"Screen says not triggered - confirm or mark Not applicable. ","")&amp;IF(AND(G36&lt;&gt;"",J36&lt;&gt;"Done",J36&lt;&gt;"Not applicable",G36&lt;=TODAY()),"Duty already in force. ","")&amp;IF(AND(O36&lt;&gt;"",G36&lt;&gt;"",J36&lt;&gt;"Done",J36&lt;&gt;"Not applicable",O36&gt;G36),"Target date is after the duty applies. ","")&amp;IF(AND(N36="High",L36="",J36&lt;&gt;"Done",J36&lt;&gt;"Not applicable"),"High priority with no owner. ","")&amp;IF(AND(J36="Done",K36=""),"Done but no evidence location. ","")&amp;IF(AND(J36="Not applicable",M36=""),"Say why it is not applicable. ",""))</f>
        <v/>
      </c>
      <c r="R36" s="32" t="str">
        <f aca="false">IF(AND(A36&lt;&gt;"",N36="High",J36&lt;&gt;"Done",J36&lt;&gt;"Not applicable"),COUNTIFS($A$6:A36,"&lt;&gt;",$N$6:N36,"High",$J$6:J36,"&lt;&gt;Done",$J$6:J36,"&lt;&gt;Not applicable"),"")</f>
        <v/>
      </c>
    </row>
    <row r="37" customFormat="false" ht="39.75" hidden="false" customHeight="true" outlineLevel="0" collapsed="false">
      <c r="A37" s="28" t="s">
        <v>226</v>
      </c>
      <c r="B37" s="28" t="s">
        <v>44</v>
      </c>
      <c r="C37" s="28" t="s">
        <v>227</v>
      </c>
      <c r="D37" s="28" t="s">
        <v>228</v>
      </c>
      <c r="E37" s="28" t="s">
        <v>140</v>
      </c>
      <c r="F37" s="29" t="n">
        <v>3</v>
      </c>
      <c r="G37" s="30" t="n">
        <f aca="false">IF(F37="","",INDEX(Timeline!$C$8:$C$10,F37))</f>
        <v>46520</v>
      </c>
      <c r="H37" s="31" t="s">
        <v>83</v>
      </c>
      <c r="I37" s="32" t="str">
        <f aca="false">IF(H37="","",IF(H37="ALL","Yes",IF(IFERROR(INDEX('Applicability Screen'!$E$8:$E$20,MATCH(H37,'Applicability Screen'!$G$8:$G$20,0)),"")="","Answer screen",INDEX('Applicability Screen'!$E$8:$E$20,MATCH(H37,'Applicability Screen'!$G$8:$G$20,0)))))</f>
        <v>Answer screen</v>
      </c>
      <c r="J37" s="33"/>
      <c r="K37" s="33"/>
      <c r="L37" s="33"/>
      <c r="M37" s="33"/>
      <c r="N37" s="33"/>
      <c r="O37" s="34"/>
      <c r="P37" s="32" t="str">
        <f aca="true">IF(OR(O37="",J37="Done",J37="Not applicable"),"",IF(O37&lt;TODAY(),"OVERDUE",""))</f>
        <v/>
      </c>
      <c r="Q37" s="32" t="str">
        <f aca="true">IF(AND(A37="",D37=""),"",IF(AND(I37="No",J37&lt;&gt;"Not applicable"),"Screen says not triggered - confirm or mark Not applicable. ","")&amp;IF(AND(G37&lt;&gt;"",J37&lt;&gt;"Done",J37&lt;&gt;"Not applicable",G37&lt;=TODAY()),"Duty already in force. ","")&amp;IF(AND(O37&lt;&gt;"",G37&lt;&gt;"",J37&lt;&gt;"Done",J37&lt;&gt;"Not applicable",O37&gt;G37),"Target date is after the duty applies. ","")&amp;IF(AND(N37="High",L37="",J37&lt;&gt;"Done",J37&lt;&gt;"Not applicable"),"High priority with no owner. ","")&amp;IF(AND(J37="Done",K37=""),"Done but no evidence location. ","")&amp;IF(AND(J37="Not applicable",M37=""),"Say why it is not applicable. ",""))</f>
        <v/>
      </c>
      <c r="R37" s="32" t="str">
        <f aca="false">IF(AND(A37&lt;&gt;"",N37="High",J37&lt;&gt;"Done",J37&lt;&gt;"Not applicable"),COUNTIFS($A$6:A37,"&lt;&gt;",$N$6:N37,"High",$J$6:J37,"&lt;&gt;Done",$J$6:J37,"&lt;&gt;Not applicable"),"")</f>
        <v/>
      </c>
    </row>
    <row r="38" customFormat="false" ht="39.75" hidden="false" customHeight="true" outlineLevel="0" collapsed="false">
      <c r="A38" s="28" t="s">
        <v>229</v>
      </c>
      <c r="B38" s="28" t="s">
        <v>45</v>
      </c>
      <c r="C38" s="28" t="s">
        <v>230</v>
      </c>
      <c r="D38" s="28" t="s">
        <v>231</v>
      </c>
      <c r="E38" s="28" t="s">
        <v>140</v>
      </c>
      <c r="F38" s="29" t="n">
        <v>3</v>
      </c>
      <c r="G38" s="30" t="n">
        <f aca="false">IF(F38="","",INDEX(Timeline!$C$8:$C$10,F38))</f>
        <v>46520</v>
      </c>
      <c r="H38" s="31" t="s">
        <v>83</v>
      </c>
      <c r="I38" s="32" t="str">
        <f aca="false">IF(H38="","",IF(H38="ALL","Yes",IF(IFERROR(INDEX('Applicability Screen'!$E$8:$E$20,MATCH(H38,'Applicability Screen'!$G$8:$G$20,0)),"")="","Answer screen",INDEX('Applicability Screen'!$E$8:$E$20,MATCH(H38,'Applicability Screen'!$G$8:$G$20,0)))))</f>
        <v>Answer screen</v>
      </c>
      <c r="J38" s="33"/>
      <c r="K38" s="33"/>
      <c r="L38" s="33"/>
      <c r="M38" s="33"/>
      <c r="N38" s="33"/>
      <c r="O38" s="34"/>
      <c r="P38" s="32" t="str">
        <f aca="true">IF(OR(O38="",J38="Done",J38="Not applicable"),"",IF(O38&lt;TODAY(),"OVERDUE",""))</f>
        <v/>
      </c>
      <c r="Q38" s="32" t="str">
        <f aca="true">IF(AND(A38="",D38=""),"",IF(AND(I38="No",J38&lt;&gt;"Not applicable"),"Screen says not triggered - confirm or mark Not applicable. ","")&amp;IF(AND(G38&lt;&gt;"",J38&lt;&gt;"Done",J38&lt;&gt;"Not applicable",G38&lt;=TODAY()),"Duty already in force. ","")&amp;IF(AND(O38&lt;&gt;"",G38&lt;&gt;"",J38&lt;&gt;"Done",J38&lt;&gt;"Not applicable",O38&gt;G38),"Target date is after the duty applies. ","")&amp;IF(AND(N38="High",L38="",J38&lt;&gt;"Done",J38&lt;&gt;"Not applicable"),"High priority with no owner. ","")&amp;IF(AND(J38="Done",K38=""),"Done but no evidence location. ","")&amp;IF(AND(J38="Not applicable",M38=""),"Say why it is not applicable. ",""))</f>
        <v/>
      </c>
      <c r="R38" s="32" t="str">
        <f aca="false">IF(AND(A38&lt;&gt;"",N38="High",J38&lt;&gt;"Done",J38&lt;&gt;"Not applicable"),COUNTIFS($A$6:A38,"&lt;&gt;",$N$6:N38,"High",$J$6:J38,"&lt;&gt;Done",$J$6:J38,"&lt;&gt;Not applicable"),"")</f>
        <v/>
      </c>
    </row>
    <row r="39" customFormat="false" ht="27.75" hidden="false" customHeight="true" outlineLevel="0" collapsed="false">
      <c r="A39" s="28" t="s">
        <v>232</v>
      </c>
      <c r="B39" s="28" t="s">
        <v>45</v>
      </c>
      <c r="C39" s="28" t="s">
        <v>233</v>
      </c>
      <c r="D39" s="28" t="s">
        <v>234</v>
      </c>
      <c r="E39" s="28" t="s">
        <v>140</v>
      </c>
      <c r="F39" s="29" t="n">
        <v>3</v>
      </c>
      <c r="G39" s="30" t="n">
        <f aca="false">IF(F39="","",INDEX(Timeline!$C$8:$C$10,F39))</f>
        <v>46520</v>
      </c>
      <c r="H39" s="31" t="s">
        <v>83</v>
      </c>
      <c r="I39" s="32" t="str">
        <f aca="false">IF(H39="","",IF(H39="ALL","Yes",IF(IFERROR(INDEX('Applicability Screen'!$E$8:$E$20,MATCH(H39,'Applicability Screen'!$G$8:$G$20,0)),"")="","Answer screen",INDEX('Applicability Screen'!$E$8:$E$20,MATCH(H39,'Applicability Screen'!$G$8:$G$20,0)))))</f>
        <v>Answer screen</v>
      </c>
      <c r="J39" s="33"/>
      <c r="K39" s="33"/>
      <c r="L39" s="33"/>
      <c r="M39" s="33"/>
      <c r="N39" s="33"/>
      <c r="O39" s="34"/>
      <c r="P39" s="32" t="str">
        <f aca="true">IF(OR(O39="",J39="Done",J39="Not applicable"),"",IF(O39&lt;TODAY(),"OVERDUE",""))</f>
        <v/>
      </c>
      <c r="Q39" s="32" t="str">
        <f aca="true">IF(AND(A39="",D39=""),"",IF(AND(I39="No",J39&lt;&gt;"Not applicable"),"Screen says not triggered - confirm or mark Not applicable. ","")&amp;IF(AND(G39&lt;&gt;"",J39&lt;&gt;"Done",J39&lt;&gt;"Not applicable",G39&lt;=TODAY()),"Duty already in force. ","")&amp;IF(AND(O39&lt;&gt;"",G39&lt;&gt;"",J39&lt;&gt;"Done",J39&lt;&gt;"Not applicable",O39&gt;G39),"Target date is after the duty applies. ","")&amp;IF(AND(N39="High",L39="",J39&lt;&gt;"Done",J39&lt;&gt;"Not applicable"),"High priority with no owner. ","")&amp;IF(AND(J39="Done",K39=""),"Done but no evidence location. ","")&amp;IF(AND(J39="Not applicable",M39=""),"Say why it is not applicable. ",""))</f>
        <v/>
      </c>
      <c r="R39" s="32" t="str">
        <f aca="false">IF(AND(A39&lt;&gt;"",N39="High",J39&lt;&gt;"Done",J39&lt;&gt;"Not applicable"),COUNTIFS($A$6:A39,"&lt;&gt;",$N$6:N39,"High",$J$6:J39,"&lt;&gt;Done",$J$6:J39,"&lt;&gt;Not applicable"),"")</f>
        <v/>
      </c>
    </row>
    <row r="40" customFormat="false" ht="39.75" hidden="false" customHeight="true" outlineLevel="0" collapsed="false">
      <c r="A40" s="28" t="s">
        <v>235</v>
      </c>
      <c r="B40" s="28" t="s">
        <v>45</v>
      </c>
      <c r="C40" s="28" t="s">
        <v>236</v>
      </c>
      <c r="D40" s="28" t="s">
        <v>237</v>
      </c>
      <c r="E40" s="28" t="s">
        <v>194</v>
      </c>
      <c r="F40" s="29" t="n">
        <v>3</v>
      </c>
      <c r="G40" s="30" t="n">
        <f aca="false">IF(F40="","",INDEX(Timeline!$C$8:$C$10,F40))</f>
        <v>46520</v>
      </c>
      <c r="H40" s="31" t="s">
        <v>83</v>
      </c>
      <c r="I40" s="32" t="str">
        <f aca="false">IF(H40="","",IF(H40="ALL","Yes",IF(IFERROR(INDEX('Applicability Screen'!$E$8:$E$20,MATCH(H40,'Applicability Screen'!$G$8:$G$20,0)),"")="","Answer screen",INDEX('Applicability Screen'!$E$8:$E$20,MATCH(H40,'Applicability Screen'!$G$8:$G$20,0)))))</f>
        <v>Answer screen</v>
      </c>
      <c r="J40" s="33"/>
      <c r="K40" s="33"/>
      <c r="L40" s="33"/>
      <c r="M40" s="33"/>
      <c r="N40" s="33"/>
      <c r="O40" s="34"/>
      <c r="P40" s="32" t="str">
        <f aca="true">IF(OR(O40="",J40="Done",J40="Not applicable"),"",IF(O40&lt;TODAY(),"OVERDUE",""))</f>
        <v/>
      </c>
      <c r="Q40" s="32" t="str">
        <f aca="true">IF(AND(A40="",D40=""),"",IF(AND(I40="No",J40&lt;&gt;"Not applicable"),"Screen says not triggered - confirm or mark Not applicable. ","")&amp;IF(AND(G40&lt;&gt;"",J40&lt;&gt;"Done",J40&lt;&gt;"Not applicable",G40&lt;=TODAY()),"Duty already in force. ","")&amp;IF(AND(O40&lt;&gt;"",G40&lt;&gt;"",J40&lt;&gt;"Done",J40&lt;&gt;"Not applicable",O40&gt;G40),"Target date is after the duty applies. ","")&amp;IF(AND(N40="High",L40="",J40&lt;&gt;"Done",J40&lt;&gt;"Not applicable"),"High priority with no owner. ","")&amp;IF(AND(J40="Done",K40=""),"Done but no evidence location. ","")&amp;IF(AND(J40="Not applicable",M40=""),"Say why it is not applicable. ",""))</f>
        <v/>
      </c>
      <c r="R40" s="32" t="str">
        <f aca="false">IF(AND(A40&lt;&gt;"",N40="High",J40&lt;&gt;"Done",J40&lt;&gt;"Not applicable"),COUNTIFS($A$6:A40,"&lt;&gt;",$N$6:N40,"High",$J$6:J40,"&lt;&gt;Done",$J$6:J40,"&lt;&gt;Not applicable"),"")</f>
        <v/>
      </c>
    </row>
    <row r="41" customFormat="false" ht="39.75" hidden="false" customHeight="true" outlineLevel="0" collapsed="false">
      <c r="A41" s="28" t="s">
        <v>238</v>
      </c>
      <c r="B41" s="28" t="s">
        <v>45</v>
      </c>
      <c r="C41" s="28" t="s">
        <v>239</v>
      </c>
      <c r="D41" s="28" t="s">
        <v>240</v>
      </c>
      <c r="E41" s="28" t="s">
        <v>140</v>
      </c>
      <c r="F41" s="29" t="n">
        <v>3</v>
      </c>
      <c r="G41" s="30" t="n">
        <f aca="false">IF(F41="","",INDEX(Timeline!$C$8:$C$10,F41))</f>
        <v>46520</v>
      </c>
      <c r="H41" s="31" t="s">
        <v>83</v>
      </c>
      <c r="I41" s="32" t="str">
        <f aca="false">IF(H41="","",IF(H41="ALL","Yes",IF(IFERROR(INDEX('Applicability Screen'!$E$8:$E$20,MATCH(H41,'Applicability Screen'!$G$8:$G$20,0)),"")="","Answer screen",INDEX('Applicability Screen'!$E$8:$E$20,MATCH(H41,'Applicability Screen'!$G$8:$G$20,0)))))</f>
        <v>Answer screen</v>
      </c>
      <c r="J41" s="33"/>
      <c r="K41" s="33"/>
      <c r="L41" s="33"/>
      <c r="M41" s="33"/>
      <c r="N41" s="33"/>
      <c r="O41" s="34"/>
      <c r="P41" s="32" t="str">
        <f aca="true">IF(OR(O41="",J41="Done",J41="Not applicable"),"",IF(O41&lt;TODAY(),"OVERDUE",""))</f>
        <v/>
      </c>
      <c r="Q41" s="32" t="str">
        <f aca="true">IF(AND(A41="",D41=""),"",IF(AND(I41="No",J41&lt;&gt;"Not applicable"),"Screen says not triggered - confirm or mark Not applicable. ","")&amp;IF(AND(G41&lt;&gt;"",J41&lt;&gt;"Done",J41&lt;&gt;"Not applicable",G41&lt;=TODAY()),"Duty already in force. ","")&amp;IF(AND(O41&lt;&gt;"",G41&lt;&gt;"",J41&lt;&gt;"Done",J41&lt;&gt;"Not applicable",O41&gt;G41),"Target date is after the duty applies. ","")&amp;IF(AND(N41="High",L41="",J41&lt;&gt;"Done",J41&lt;&gt;"Not applicable"),"High priority with no owner. ","")&amp;IF(AND(J41="Done",K41=""),"Done but no evidence location. ","")&amp;IF(AND(J41="Not applicable",M41=""),"Say why it is not applicable. ",""))</f>
        <v/>
      </c>
      <c r="R41" s="32" t="str">
        <f aca="false">IF(AND(A41&lt;&gt;"",N41="High",J41&lt;&gt;"Done",J41&lt;&gt;"Not applicable"),COUNTIFS($A$6:A41,"&lt;&gt;",$N$6:N41,"High",$J$6:J41,"&lt;&gt;Done",$J$6:J41,"&lt;&gt;Not applicable"),"")</f>
        <v/>
      </c>
    </row>
    <row r="42" customFormat="false" ht="39.75" hidden="false" customHeight="true" outlineLevel="0" collapsed="false">
      <c r="A42" s="28" t="s">
        <v>241</v>
      </c>
      <c r="B42" s="28" t="s">
        <v>45</v>
      </c>
      <c r="C42" s="28" t="s">
        <v>242</v>
      </c>
      <c r="D42" s="28" t="s">
        <v>243</v>
      </c>
      <c r="E42" s="28" t="s">
        <v>140</v>
      </c>
      <c r="F42" s="29" t="n">
        <v>3</v>
      </c>
      <c r="G42" s="30" t="n">
        <f aca="false">IF(F42="","",INDEX(Timeline!$C$8:$C$10,F42))</f>
        <v>46520</v>
      </c>
      <c r="H42" s="31" t="s">
        <v>83</v>
      </c>
      <c r="I42" s="32" t="str">
        <f aca="false">IF(H42="","",IF(H42="ALL","Yes",IF(IFERROR(INDEX('Applicability Screen'!$E$8:$E$20,MATCH(H42,'Applicability Screen'!$G$8:$G$20,0)),"")="","Answer screen",INDEX('Applicability Screen'!$E$8:$E$20,MATCH(H42,'Applicability Screen'!$G$8:$G$20,0)))))</f>
        <v>Answer screen</v>
      </c>
      <c r="J42" s="33"/>
      <c r="K42" s="33"/>
      <c r="L42" s="33"/>
      <c r="M42" s="33"/>
      <c r="N42" s="33"/>
      <c r="O42" s="34"/>
      <c r="P42" s="32" t="str">
        <f aca="true">IF(OR(O42="",J42="Done",J42="Not applicable"),"",IF(O42&lt;TODAY(),"OVERDUE",""))</f>
        <v/>
      </c>
      <c r="Q42" s="32" t="str">
        <f aca="true">IF(AND(A42="",D42=""),"",IF(AND(I42="No",J42&lt;&gt;"Not applicable"),"Screen says not triggered - confirm or mark Not applicable. ","")&amp;IF(AND(G42&lt;&gt;"",J42&lt;&gt;"Done",J42&lt;&gt;"Not applicable",G42&lt;=TODAY()),"Duty already in force. ","")&amp;IF(AND(O42&lt;&gt;"",G42&lt;&gt;"",J42&lt;&gt;"Done",J42&lt;&gt;"Not applicable",O42&gt;G42),"Target date is after the duty applies. ","")&amp;IF(AND(N42="High",L42="",J42&lt;&gt;"Done",J42&lt;&gt;"Not applicable"),"High priority with no owner. ","")&amp;IF(AND(J42="Done",K42=""),"Done but no evidence location. ","")&amp;IF(AND(J42="Not applicable",M42=""),"Say why it is not applicable. ",""))</f>
        <v/>
      </c>
      <c r="R42" s="32" t="str">
        <f aca="false">IF(AND(A42&lt;&gt;"",N42="High",J42&lt;&gt;"Done",J42&lt;&gt;"Not applicable"),COUNTIFS($A$6:A42,"&lt;&gt;",$N$6:N42,"High",$J$6:J42,"&lt;&gt;Done",$J$6:J42,"&lt;&gt;Not applicable"),"")</f>
        <v/>
      </c>
    </row>
    <row r="43" customFormat="false" ht="27.75" hidden="false" customHeight="true" outlineLevel="0" collapsed="false">
      <c r="A43" s="28" t="s">
        <v>244</v>
      </c>
      <c r="B43" s="28" t="s">
        <v>45</v>
      </c>
      <c r="C43" s="28" t="s">
        <v>245</v>
      </c>
      <c r="D43" s="28" t="s">
        <v>246</v>
      </c>
      <c r="E43" s="28" t="s">
        <v>140</v>
      </c>
      <c r="F43" s="29" t="n">
        <v>3</v>
      </c>
      <c r="G43" s="30" t="n">
        <f aca="false">IF(F43="","",INDEX(Timeline!$C$8:$C$10,F43))</f>
        <v>46520</v>
      </c>
      <c r="H43" s="31" t="s">
        <v>83</v>
      </c>
      <c r="I43" s="32" t="str">
        <f aca="false">IF(H43="","",IF(H43="ALL","Yes",IF(IFERROR(INDEX('Applicability Screen'!$E$8:$E$20,MATCH(H43,'Applicability Screen'!$G$8:$G$20,0)),"")="","Answer screen",INDEX('Applicability Screen'!$E$8:$E$20,MATCH(H43,'Applicability Screen'!$G$8:$G$20,0)))))</f>
        <v>Answer screen</v>
      </c>
      <c r="J43" s="33"/>
      <c r="K43" s="33"/>
      <c r="L43" s="33"/>
      <c r="M43" s="33"/>
      <c r="N43" s="33"/>
      <c r="O43" s="34"/>
      <c r="P43" s="32" t="str">
        <f aca="true">IF(OR(O43="",J43="Done",J43="Not applicable"),"",IF(O43&lt;TODAY(),"OVERDUE",""))</f>
        <v/>
      </c>
      <c r="Q43" s="32" t="str">
        <f aca="true">IF(AND(A43="",D43=""),"",IF(AND(I43="No",J43&lt;&gt;"Not applicable"),"Screen says not triggered - confirm or mark Not applicable. ","")&amp;IF(AND(G43&lt;&gt;"",J43&lt;&gt;"Done",J43&lt;&gt;"Not applicable",G43&lt;=TODAY()),"Duty already in force. ","")&amp;IF(AND(O43&lt;&gt;"",G43&lt;&gt;"",J43&lt;&gt;"Done",J43&lt;&gt;"Not applicable",O43&gt;G43),"Target date is after the duty applies. ","")&amp;IF(AND(N43="High",L43="",J43&lt;&gt;"Done",J43&lt;&gt;"Not applicable"),"High priority with no owner. ","")&amp;IF(AND(J43="Done",K43=""),"Done but no evidence location. ","")&amp;IF(AND(J43="Not applicable",M43=""),"Say why it is not applicable. ",""))</f>
        <v/>
      </c>
      <c r="R43" s="32" t="str">
        <f aca="false">IF(AND(A43&lt;&gt;"",N43="High",J43&lt;&gt;"Done",J43&lt;&gt;"Not applicable"),COUNTIFS($A$6:A43,"&lt;&gt;",$N$6:N43,"High",$J$6:J43,"&lt;&gt;Done",$J$6:J43,"&lt;&gt;Not applicable"),"")</f>
        <v/>
      </c>
    </row>
    <row r="44" customFormat="false" ht="27.75" hidden="false" customHeight="true" outlineLevel="0" collapsed="false">
      <c r="A44" s="28" t="s">
        <v>247</v>
      </c>
      <c r="B44" s="28" t="s">
        <v>45</v>
      </c>
      <c r="C44" s="28" t="s">
        <v>248</v>
      </c>
      <c r="D44" s="28" t="s">
        <v>249</v>
      </c>
      <c r="E44" s="28" t="s">
        <v>140</v>
      </c>
      <c r="F44" s="29" t="n">
        <v>3</v>
      </c>
      <c r="G44" s="30" t="n">
        <f aca="false">IF(F44="","",INDEX(Timeline!$C$8:$C$10,F44))</f>
        <v>46520</v>
      </c>
      <c r="H44" s="31" t="s">
        <v>83</v>
      </c>
      <c r="I44" s="32" t="str">
        <f aca="false">IF(H44="","",IF(H44="ALL","Yes",IF(IFERROR(INDEX('Applicability Screen'!$E$8:$E$20,MATCH(H44,'Applicability Screen'!$G$8:$G$20,0)),"")="","Answer screen",INDEX('Applicability Screen'!$E$8:$E$20,MATCH(H44,'Applicability Screen'!$G$8:$G$20,0)))))</f>
        <v>Answer screen</v>
      </c>
      <c r="J44" s="33"/>
      <c r="K44" s="33"/>
      <c r="L44" s="33"/>
      <c r="M44" s="33"/>
      <c r="N44" s="33"/>
      <c r="O44" s="34"/>
      <c r="P44" s="32" t="str">
        <f aca="true">IF(OR(O44="",J44="Done",J44="Not applicable"),"",IF(O44&lt;TODAY(),"OVERDUE",""))</f>
        <v/>
      </c>
      <c r="Q44" s="32" t="str">
        <f aca="true">IF(AND(A44="",D44=""),"",IF(AND(I44="No",J44&lt;&gt;"Not applicable"),"Screen says not triggered - confirm or mark Not applicable. ","")&amp;IF(AND(G44&lt;&gt;"",J44&lt;&gt;"Done",J44&lt;&gt;"Not applicable",G44&lt;=TODAY()),"Duty already in force. ","")&amp;IF(AND(O44&lt;&gt;"",G44&lt;&gt;"",J44&lt;&gt;"Done",J44&lt;&gt;"Not applicable",O44&gt;G44),"Target date is after the duty applies. ","")&amp;IF(AND(N44="High",L44="",J44&lt;&gt;"Done",J44&lt;&gt;"Not applicable"),"High priority with no owner. ","")&amp;IF(AND(J44="Done",K44=""),"Done but no evidence location. ","")&amp;IF(AND(J44="Not applicable",M44=""),"Say why it is not applicable. ",""))</f>
        <v/>
      </c>
      <c r="R44" s="32" t="str">
        <f aca="false">IF(AND(A44&lt;&gt;"",N44="High",J44&lt;&gt;"Done",J44&lt;&gt;"Not applicable"),COUNTIFS($A$6:A44,"&lt;&gt;",$N$6:N44,"High",$J$6:J44,"&lt;&gt;Done",$J$6:J44,"&lt;&gt;Not applicable"),"")</f>
        <v/>
      </c>
    </row>
    <row r="45" customFormat="false" ht="63.75" hidden="false" customHeight="true" outlineLevel="0" collapsed="false">
      <c r="A45" s="28" t="s">
        <v>250</v>
      </c>
      <c r="B45" s="28" t="s">
        <v>46</v>
      </c>
      <c r="C45" s="28" t="s">
        <v>251</v>
      </c>
      <c r="D45" s="28" t="s">
        <v>252</v>
      </c>
      <c r="E45" s="28" t="s">
        <v>140</v>
      </c>
      <c r="F45" s="29" t="n">
        <v>3</v>
      </c>
      <c r="G45" s="30" t="n">
        <f aca="false">IF(F45="","",INDEX(Timeline!$C$8:$C$10,F45))</f>
        <v>46520</v>
      </c>
      <c r="H45" s="31" t="s">
        <v>83</v>
      </c>
      <c r="I45" s="32" t="str">
        <f aca="false">IF(H45="","",IF(H45="ALL","Yes",IF(IFERROR(INDEX('Applicability Screen'!$E$8:$E$20,MATCH(H45,'Applicability Screen'!$G$8:$G$20,0)),"")="","Answer screen",INDEX('Applicability Screen'!$E$8:$E$20,MATCH(H45,'Applicability Screen'!$G$8:$G$20,0)))))</f>
        <v>Answer screen</v>
      </c>
      <c r="J45" s="33"/>
      <c r="K45" s="33"/>
      <c r="L45" s="33"/>
      <c r="M45" s="33"/>
      <c r="N45" s="33"/>
      <c r="O45" s="34"/>
      <c r="P45" s="32" t="str">
        <f aca="true">IF(OR(O45="",J45="Done",J45="Not applicable"),"",IF(O45&lt;TODAY(),"OVERDUE",""))</f>
        <v/>
      </c>
      <c r="Q45" s="32" t="str">
        <f aca="true">IF(AND(A45="",D45=""),"",IF(AND(I45="No",J45&lt;&gt;"Not applicable"),"Screen says not triggered - confirm or mark Not applicable. ","")&amp;IF(AND(G45&lt;&gt;"",J45&lt;&gt;"Done",J45&lt;&gt;"Not applicable",G45&lt;=TODAY()),"Duty already in force. ","")&amp;IF(AND(O45&lt;&gt;"",G45&lt;&gt;"",J45&lt;&gt;"Done",J45&lt;&gt;"Not applicable",O45&gt;G45),"Target date is after the duty applies. ","")&amp;IF(AND(N45="High",L45="",J45&lt;&gt;"Done",J45&lt;&gt;"Not applicable"),"High priority with no owner. ","")&amp;IF(AND(J45="Done",K45=""),"Done but no evidence location. ","")&amp;IF(AND(J45="Not applicable",M45=""),"Say why it is not applicable. ",""))</f>
        <v/>
      </c>
      <c r="R45" s="32" t="str">
        <f aca="false">IF(AND(A45&lt;&gt;"",N45="High",J45&lt;&gt;"Done",J45&lt;&gt;"Not applicable"),COUNTIFS($A$6:A45,"&lt;&gt;",$N$6:N45,"High",$J$6:J45,"&lt;&gt;Done",$J$6:J45,"&lt;&gt;Not applicable"),"")</f>
        <v/>
      </c>
    </row>
    <row r="46" customFormat="false" ht="39.75" hidden="false" customHeight="true" outlineLevel="0" collapsed="false">
      <c r="A46" s="28" t="s">
        <v>253</v>
      </c>
      <c r="B46" s="28" t="s">
        <v>46</v>
      </c>
      <c r="C46" s="28" t="s">
        <v>254</v>
      </c>
      <c r="D46" s="28" t="s">
        <v>255</v>
      </c>
      <c r="E46" s="28" t="s">
        <v>140</v>
      </c>
      <c r="F46" s="29" t="n">
        <v>3</v>
      </c>
      <c r="G46" s="30" t="n">
        <f aca="false">IF(F46="","",INDEX(Timeline!$C$8:$C$10,F46))</f>
        <v>46520</v>
      </c>
      <c r="H46" s="31" t="s">
        <v>83</v>
      </c>
      <c r="I46" s="32" t="str">
        <f aca="false">IF(H46="","",IF(H46="ALL","Yes",IF(IFERROR(INDEX('Applicability Screen'!$E$8:$E$20,MATCH(H46,'Applicability Screen'!$G$8:$G$20,0)),"")="","Answer screen",INDEX('Applicability Screen'!$E$8:$E$20,MATCH(H46,'Applicability Screen'!$G$8:$G$20,0)))))</f>
        <v>Answer screen</v>
      </c>
      <c r="J46" s="33"/>
      <c r="K46" s="33"/>
      <c r="L46" s="33"/>
      <c r="M46" s="33"/>
      <c r="N46" s="33"/>
      <c r="O46" s="34"/>
      <c r="P46" s="32" t="str">
        <f aca="true">IF(OR(O46="",J46="Done",J46="Not applicable"),"",IF(O46&lt;TODAY(),"OVERDUE",""))</f>
        <v/>
      </c>
      <c r="Q46" s="32" t="str">
        <f aca="true">IF(AND(A46="",D46=""),"",IF(AND(I46="No",J46&lt;&gt;"Not applicable"),"Screen says not triggered - confirm or mark Not applicable. ","")&amp;IF(AND(G46&lt;&gt;"",J46&lt;&gt;"Done",J46&lt;&gt;"Not applicable",G46&lt;=TODAY()),"Duty already in force. ","")&amp;IF(AND(O46&lt;&gt;"",G46&lt;&gt;"",J46&lt;&gt;"Done",J46&lt;&gt;"Not applicable",O46&gt;G46),"Target date is after the duty applies. ","")&amp;IF(AND(N46="High",L46="",J46&lt;&gt;"Done",J46&lt;&gt;"Not applicable"),"High priority with no owner. ","")&amp;IF(AND(J46="Done",K46=""),"Done but no evidence location. ","")&amp;IF(AND(J46="Not applicable",M46=""),"Say why it is not applicable. ",""))</f>
        <v/>
      </c>
      <c r="R46" s="32" t="str">
        <f aca="false">IF(AND(A46&lt;&gt;"",N46="High",J46&lt;&gt;"Done",J46&lt;&gt;"Not applicable"),COUNTIFS($A$6:A46,"&lt;&gt;",$N$6:N46,"High",$J$6:J46,"&lt;&gt;Done",$J$6:J46,"&lt;&gt;Not applicable"),"")</f>
        <v/>
      </c>
    </row>
    <row r="47" customFormat="false" ht="63.75" hidden="false" customHeight="true" outlineLevel="0" collapsed="false">
      <c r="A47" s="28" t="s">
        <v>256</v>
      </c>
      <c r="B47" s="28" t="s">
        <v>46</v>
      </c>
      <c r="C47" s="28" t="s">
        <v>257</v>
      </c>
      <c r="D47" s="28" t="s">
        <v>258</v>
      </c>
      <c r="E47" s="28" t="s">
        <v>140</v>
      </c>
      <c r="F47" s="29" t="n">
        <v>3</v>
      </c>
      <c r="G47" s="30" t="n">
        <f aca="false">IF(F47="","",INDEX(Timeline!$C$8:$C$10,F47))</f>
        <v>46520</v>
      </c>
      <c r="H47" s="31" t="s">
        <v>83</v>
      </c>
      <c r="I47" s="32" t="str">
        <f aca="false">IF(H47="","",IF(H47="ALL","Yes",IF(IFERROR(INDEX('Applicability Screen'!$E$8:$E$20,MATCH(H47,'Applicability Screen'!$G$8:$G$20,0)),"")="","Answer screen",INDEX('Applicability Screen'!$E$8:$E$20,MATCH(H47,'Applicability Screen'!$G$8:$G$20,0)))))</f>
        <v>Answer screen</v>
      </c>
      <c r="J47" s="33"/>
      <c r="K47" s="33"/>
      <c r="L47" s="33"/>
      <c r="M47" s="33"/>
      <c r="N47" s="33"/>
      <c r="O47" s="34"/>
      <c r="P47" s="32" t="str">
        <f aca="true">IF(OR(O47="",J47="Done",J47="Not applicable"),"",IF(O47&lt;TODAY(),"OVERDUE",""))</f>
        <v/>
      </c>
      <c r="Q47" s="32" t="str">
        <f aca="true">IF(AND(A47="",D47=""),"",IF(AND(I47="No",J47&lt;&gt;"Not applicable"),"Screen says not triggered - confirm or mark Not applicable. ","")&amp;IF(AND(G47&lt;&gt;"",J47&lt;&gt;"Done",J47&lt;&gt;"Not applicable",G47&lt;=TODAY()),"Duty already in force. ","")&amp;IF(AND(O47&lt;&gt;"",G47&lt;&gt;"",J47&lt;&gt;"Done",J47&lt;&gt;"Not applicable",O47&gt;G47),"Target date is after the duty applies. ","")&amp;IF(AND(N47="High",L47="",J47&lt;&gt;"Done",J47&lt;&gt;"Not applicable"),"High priority with no owner. ","")&amp;IF(AND(J47="Done",K47=""),"Done but no evidence location. ","")&amp;IF(AND(J47="Not applicable",M47=""),"Say why it is not applicable. ",""))</f>
        <v/>
      </c>
      <c r="R47" s="32" t="str">
        <f aca="false">IF(AND(A47&lt;&gt;"",N47="High",J47&lt;&gt;"Done",J47&lt;&gt;"Not applicable"),COUNTIFS($A$6:A47,"&lt;&gt;",$N$6:N47,"High",$J$6:J47,"&lt;&gt;Done",$J$6:J47,"&lt;&gt;Not applicable"),"")</f>
        <v/>
      </c>
    </row>
    <row r="48" customFormat="false" ht="27.75" hidden="false" customHeight="true" outlineLevel="0" collapsed="false">
      <c r="A48" s="28" t="s">
        <v>259</v>
      </c>
      <c r="B48" s="28" t="s">
        <v>46</v>
      </c>
      <c r="C48" s="28" t="s">
        <v>260</v>
      </c>
      <c r="D48" s="28" t="s">
        <v>261</v>
      </c>
      <c r="E48" s="28" t="s">
        <v>140</v>
      </c>
      <c r="F48" s="29" t="n">
        <v>3</v>
      </c>
      <c r="G48" s="30" t="n">
        <f aca="false">IF(F48="","",INDEX(Timeline!$C$8:$C$10,F48))</f>
        <v>46520</v>
      </c>
      <c r="H48" s="31" t="s">
        <v>83</v>
      </c>
      <c r="I48" s="32" t="str">
        <f aca="false">IF(H48="","",IF(H48="ALL","Yes",IF(IFERROR(INDEX('Applicability Screen'!$E$8:$E$20,MATCH(H48,'Applicability Screen'!$G$8:$G$20,0)),"")="","Answer screen",INDEX('Applicability Screen'!$E$8:$E$20,MATCH(H48,'Applicability Screen'!$G$8:$G$20,0)))))</f>
        <v>Answer screen</v>
      </c>
      <c r="J48" s="33"/>
      <c r="K48" s="33"/>
      <c r="L48" s="33"/>
      <c r="M48" s="33"/>
      <c r="N48" s="33"/>
      <c r="O48" s="34"/>
      <c r="P48" s="32" t="str">
        <f aca="true">IF(OR(O48="",J48="Done",J48="Not applicable"),"",IF(O48&lt;TODAY(),"OVERDUE",""))</f>
        <v/>
      </c>
      <c r="Q48" s="32" t="str">
        <f aca="true">IF(AND(A48="",D48=""),"",IF(AND(I48="No",J48&lt;&gt;"Not applicable"),"Screen says not triggered - confirm or mark Not applicable. ","")&amp;IF(AND(G48&lt;&gt;"",J48&lt;&gt;"Done",J48&lt;&gt;"Not applicable",G48&lt;=TODAY()),"Duty already in force. ","")&amp;IF(AND(O48&lt;&gt;"",G48&lt;&gt;"",J48&lt;&gt;"Done",J48&lt;&gt;"Not applicable",O48&gt;G48),"Target date is after the duty applies. ","")&amp;IF(AND(N48="High",L48="",J48&lt;&gt;"Done",J48&lt;&gt;"Not applicable"),"High priority with no owner. ","")&amp;IF(AND(J48="Done",K48=""),"Done but no evidence location. ","")&amp;IF(AND(J48="Not applicable",M48=""),"Say why it is not applicable. ",""))</f>
        <v/>
      </c>
      <c r="R48" s="32" t="str">
        <f aca="false">IF(AND(A48&lt;&gt;"",N48="High",J48&lt;&gt;"Done",J48&lt;&gt;"Not applicable"),COUNTIFS($A$6:A48,"&lt;&gt;",$N$6:N48,"High",$J$6:J48,"&lt;&gt;Done",$J$6:J48,"&lt;&gt;Not applicable"),"")</f>
        <v/>
      </c>
    </row>
    <row r="49" customFormat="false" ht="75.75" hidden="false" customHeight="true" outlineLevel="0" collapsed="false">
      <c r="A49" s="28" t="s">
        <v>262</v>
      </c>
      <c r="B49" s="28" t="s">
        <v>46</v>
      </c>
      <c r="C49" s="28" t="s">
        <v>263</v>
      </c>
      <c r="D49" s="28" t="s">
        <v>264</v>
      </c>
      <c r="E49" s="28" t="s">
        <v>140</v>
      </c>
      <c r="F49" s="29" t="n">
        <v>3</v>
      </c>
      <c r="G49" s="30" t="n">
        <f aca="false">IF(F49="","",INDEX(Timeline!$C$8:$C$10,F49))</f>
        <v>46520</v>
      </c>
      <c r="H49" s="31" t="s">
        <v>83</v>
      </c>
      <c r="I49" s="32" t="str">
        <f aca="false">IF(H49="","",IF(H49="ALL","Yes",IF(IFERROR(INDEX('Applicability Screen'!$E$8:$E$20,MATCH(H49,'Applicability Screen'!$G$8:$G$20,0)),"")="","Answer screen",INDEX('Applicability Screen'!$E$8:$E$20,MATCH(H49,'Applicability Screen'!$G$8:$G$20,0)))))</f>
        <v>Answer screen</v>
      </c>
      <c r="J49" s="35" t="s">
        <v>36</v>
      </c>
      <c r="K49" s="35"/>
      <c r="L49" s="35"/>
      <c r="M49" s="35" t="s">
        <v>265</v>
      </c>
      <c r="N49" s="35" t="s">
        <v>160</v>
      </c>
      <c r="O49" s="36" t="n">
        <v>46295</v>
      </c>
      <c r="P49" s="32" t="str">
        <f aca="true">IF(OR(O49="",J49="Done",J49="Not applicable"),"",IF(O49&lt;TODAY(),"OVERDUE",""))</f>
        <v>OVERDUE</v>
      </c>
      <c r="Q49" s="32" t="str">
        <f aca="true">IF(AND(A49="",D49=""),"",IF(AND(I49="No",J49&lt;&gt;"Not applicable"),"Screen says not triggered - confirm or mark Not applicable. ","")&amp;IF(AND(G49&lt;&gt;"",J49&lt;&gt;"Done",J49&lt;&gt;"Not applicable",G49&lt;=TODAY()),"Duty already in force. ","")&amp;IF(AND(O49&lt;&gt;"",G49&lt;&gt;"",J49&lt;&gt;"Done",J49&lt;&gt;"Not applicable",O49&gt;G49),"Target date is after the duty applies. ","")&amp;IF(AND(N49="High",L49="",J49&lt;&gt;"Done",J49&lt;&gt;"Not applicable"),"High priority with no owner. ","")&amp;IF(AND(J49="Done",K49=""),"Done but no evidence location. ","")&amp;IF(AND(J49="Not applicable",M49=""),"Say why it is not applicable. ",""))</f>
        <v>High priority with no owner. </v>
      </c>
      <c r="R49" s="32" t="n">
        <f aca="false">IF(AND(A49&lt;&gt;"",N49="High",J49&lt;&gt;"Done",J49&lt;&gt;"Not applicable"),COUNTIFS($A$6:A49,"&lt;&gt;",$N$6:N49,"High",$J$6:J49,"&lt;&gt;Done",$J$6:J49,"&lt;&gt;Not applicable"),"")</f>
        <v>2</v>
      </c>
    </row>
    <row r="50" customFormat="false" ht="39.75" hidden="false" customHeight="true" outlineLevel="0" collapsed="false">
      <c r="A50" s="28" t="s">
        <v>266</v>
      </c>
      <c r="B50" s="28" t="s">
        <v>46</v>
      </c>
      <c r="C50" s="28" t="s">
        <v>267</v>
      </c>
      <c r="D50" s="28" t="s">
        <v>268</v>
      </c>
      <c r="E50" s="28" t="s">
        <v>140</v>
      </c>
      <c r="F50" s="29" t="n">
        <v>3</v>
      </c>
      <c r="G50" s="30" t="n">
        <f aca="false">IF(F50="","",INDEX(Timeline!$C$8:$C$10,F50))</f>
        <v>46520</v>
      </c>
      <c r="H50" s="31" t="s">
        <v>83</v>
      </c>
      <c r="I50" s="32" t="str">
        <f aca="false">IF(H50="","",IF(H50="ALL","Yes",IF(IFERROR(INDEX('Applicability Screen'!$E$8:$E$20,MATCH(H50,'Applicability Screen'!$G$8:$G$20,0)),"")="","Answer screen",INDEX('Applicability Screen'!$E$8:$E$20,MATCH(H50,'Applicability Screen'!$G$8:$G$20,0)))))</f>
        <v>Answer screen</v>
      </c>
      <c r="J50" s="33"/>
      <c r="K50" s="33"/>
      <c r="L50" s="33"/>
      <c r="M50" s="33"/>
      <c r="N50" s="33"/>
      <c r="O50" s="34"/>
      <c r="P50" s="32" t="str">
        <f aca="true">IF(OR(O50="",J50="Done",J50="Not applicable"),"",IF(O50&lt;TODAY(),"OVERDUE",""))</f>
        <v/>
      </c>
      <c r="Q50" s="32" t="str">
        <f aca="true">IF(AND(A50="",D50=""),"",IF(AND(I50="No",J50&lt;&gt;"Not applicable"),"Screen says not triggered - confirm or mark Not applicable. ","")&amp;IF(AND(G50&lt;&gt;"",J50&lt;&gt;"Done",J50&lt;&gt;"Not applicable",G50&lt;=TODAY()),"Duty already in force. ","")&amp;IF(AND(O50&lt;&gt;"",G50&lt;&gt;"",J50&lt;&gt;"Done",J50&lt;&gt;"Not applicable",O50&gt;G50),"Target date is after the duty applies. ","")&amp;IF(AND(N50="High",L50="",J50&lt;&gt;"Done",J50&lt;&gt;"Not applicable"),"High priority with no owner. ","")&amp;IF(AND(J50="Done",K50=""),"Done but no evidence location. ","")&amp;IF(AND(J50="Not applicable",M50=""),"Say why it is not applicable. ",""))</f>
        <v/>
      </c>
      <c r="R50" s="32" t="str">
        <f aca="false">IF(AND(A50&lt;&gt;"",N50="High",J50&lt;&gt;"Done",J50&lt;&gt;"Not applicable"),COUNTIFS($A$6:A50,"&lt;&gt;",$N$6:N50,"High",$J$6:J50,"&lt;&gt;Done",$J$6:J50,"&lt;&gt;Not applicable"),"")</f>
        <v/>
      </c>
    </row>
    <row r="51" customFormat="false" ht="51.75" hidden="false" customHeight="true" outlineLevel="0" collapsed="false">
      <c r="A51" s="28" t="s">
        <v>269</v>
      </c>
      <c r="B51" s="28" t="s">
        <v>47</v>
      </c>
      <c r="C51" s="28" t="s">
        <v>270</v>
      </c>
      <c r="D51" s="28" t="s">
        <v>271</v>
      </c>
      <c r="E51" s="28" t="s">
        <v>140</v>
      </c>
      <c r="F51" s="29" t="n">
        <v>3</v>
      </c>
      <c r="G51" s="30" t="n">
        <f aca="false">IF(F51="","",INDEX(Timeline!$C$8:$C$10,F51))</f>
        <v>46520</v>
      </c>
      <c r="H51" s="31" t="s">
        <v>83</v>
      </c>
      <c r="I51" s="32" t="str">
        <f aca="false">IF(H51="","",IF(H51="ALL","Yes",IF(IFERROR(INDEX('Applicability Screen'!$E$8:$E$20,MATCH(H51,'Applicability Screen'!$G$8:$G$20,0)),"")="","Answer screen",INDEX('Applicability Screen'!$E$8:$E$20,MATCH(H51,'Applicability Screen'!$G$8:$G$20,0)))))</f>
        <v>Answer screen</v>
      </c>
      <c r="J51" s="33"/>
      <c r="K51" s="33"/>
      <c r="L51" s="33"/>
      <c r="M51" s="33"/>
      <c r="N51" s="33"/>
      <c r="O51" s="34"/>
      <c r="P51" s="32" t="str">
        <f aca="true">IF(OR(O51="",J51="Done",J51="Not applicable"),"",IF(O51&lt;TODAY(),"OVERDUE",""))</f>
        <v/>
      </c>
      <c r="Q51" s="32" t="str">
        <f aca="true">IF(AND(A51="",D51=""),"",IF(AND(I51="No",J51&lt;&gt;"Not applicable"),"Screen says not triggered - confirm or mark Not applicable. ","")&amp;IF(AND(G51&lt;&gt;"",J51&lt;&gt;"Done",J51&lt;&gt;"Not applicable",G51&lt;=TODAY()),"Duty already in force. ","")&amp;IF(AND(O51&lt;&gt;"",G51&lt;&gt;"",J51&lt;&gt;"Done",J51&lt;&gt;"Not applicable",O51&gt;G51),"Target date is after the duty applies. ","")&amp;IF(AND(N51="High",L51="",J51&lt;&gt;"Done",J51&lt;&gt;"Not applicable"),"High priority with no owner. ","")&amp;IF(AND(J51="Done",K51=""),"Done but no evidence location. ","")&amp;IF(AND(J51="Not applicable",M51=""),"Say why it is not applicable. ",""))</f>
        <v/>
      </c>
      <c r="R51" s="32" t="str">
        <f aca="false">IF(AND(A51&lt;&gt;"",N51="High",J51&lt;&gt;"Done",J51&lt;&gt;"Not applicable"),COUNTIFS($A$6:A51,"&lt;&gt;",$N$6:N51,"High",$J$6:J51,"&lt;&gt;Done",$J$6:J51,"&lt;&gt;Not applicable"),"")</f>
        <v/>
      </c>
    </row>
    <row r="52" customFormat="false" ht="39.75" hidden="false" customHeight="true" outlineLevel="0" collapsed="false">
      <c r="A52" s="28" t="s">
        <v>272</v>
      </c>
      <c r="B52" s="28" t="s">
        <v>47</v>
      </c>
      <c r="C52" s="28" t="s">
        <v>273</v>
      </c>
      <c r="D52" s="28" t="s">
        <v>274</v>
      </c>
      <c r="E52" s="28" t="s">
        <v>194</v>
      </c>
      <c r="F52" s="29" t="n">
        <v>3</v>
      </c>
      <c r="G52" s="30" t="n">
        <f aca="false">IF(F52="","",INDEX(Timeline!$C$8:$C$10,F52))</f>
        <v>46520</v>
      </c>
      <c r="H52" s="31" t="s">
        <v>83</v>
      </c>
      <c r="I52" s="32" t="str">
        <f aca="false">IF(H52="","",IF(H52="ALL","Yes",IF(IFERROR(INDEX('Applicability Screen'!$E$8:$E$20,MATCH(H52,'Applicability Screen'!$G$8:$G$20,0)),"")="","Answer screen",INDEX('Applicability Screen'!$E$8:$E$20,MATCH(H52,'Applicability Screen'!$G$8:$G$20,0)))))</f>
        <v>Answer screen</v>
      </c>
      <c r="J52" s="33"/>
      <c r="K52" s="33"/>
      <c r="L52" s="33"/>
      <c r="M52" s="33"/>
      <c r="N52" s="33"/>
      <c r="O52" s="34"/>
      <c r="P52" s="32" t="str">
        <f aca="true">IF(OR(O52="",J52="Done",J52="Not applicable"),"",IF(O52&lt;TODAY(),"OVERDUE",""))</f>
        <v/>
      </c>
      <c r="Q52" s="32" t="str">
        <f aca="true">IF(AND(A52="",D52=""),"",IF(AND(I52="No",J52&lt;&gt;"Not applicable"),"Screen says not triggered - confirm or mark Not applicable. ","")&amp;IF(AND(G52&lt;&gt;"",J52&lt;&gt;"Done",J52&lt;&gt;"Not applicable",G52&lt;=TODAY()),"Duty already in force. ","")&amp;IF(AND(O52&lt;&gt;"",G52&lt;&gt;"",J52&lt;&gt;"Done",J52&lt;&gt;"Not applicable",O52&gt;G52),"Target date is after the duty applies. ","")&amp;IF(AND(N52="High",L52="",J52&lt;&gt;"Done",J52&lt;&gt;"Not applicable"),"High priority with no owner. ","")&amp;IF(AND(J52="Done",K52=""),"Done but no evidence location. ","")&amp;IF(AND(J52="Not applicable",M52=""),"Say why it is not applicable. ",""))</f>
        <v/>
      </c>
      <c r="R52" s="32" t="str">
        <f aca="false">IF(AND(A52&lt;&gt;"",N52="High",J52&lt;&gt;"Done",J52&lt;&gt;"Not applicable"),COUNTIFS($A$6:A52,"&lt;&gt;",$N$6:N52,"High",$J$6:J52,"&lt;&gt;Done",$J$6:J52,"&lt;&gt;Not applicable"),"")</f>
        <v/>
      </c>
    </row>
    <row r="53" customFormat="false" ht="87.75" hidden="false" customHeight="true" outlineLevel="0" collapsed="false">
      <c r="A53" s="28" t="s">
        <v>275</v>
      </c>
      <c r="B53" s="28" t="s">
        <v>47</v>
      </c>
      <c r="C53" s="28" t="s">
        <v>276</v>
      </c>
      <c r="D53" s="28" t="s">
        <v>277</v>
      </c>
      <c r="E53" s="28" t="s">
        <v>140</v>
      </c>
      <c r="F53" s="29" t="n">
        <v>3</v>
      </c>
      <c r="G53" s="30" t="n">
        <f aca="false">IF(F53="","",INDEX(Timeline!$C$8:$C$10,F53))</f>
        <v>46520</v>
      </c>
      <c r="H53" s="31" t="s">
        <v>98</v>
      </c>
      <c r="I53" s="32" t="str">
        <f aca="false">IF(H53="","",IF(H53="ALL","Yes",IF(IFERROR(INDEX('Applicability Screen'!$E$8:$E$20,MATCH(H53,'Applicability Screen'!$G$8:$G$20,0)),"")="","Answer screen",INDEX('Applicability Screen'!$E$8:$E$20,MATCH(H53,'Applicability Screen'!$G$8:$G$20,0)))))</f>
        <v>Answer screen</v>
      </c>
      <c r="J53" s="33"/>
      <c r="K53" s="33"/>
      <c r="L53" s="33"/>
      <c r="M53" s="33"/>
      <c r="N53" s="33"/>
      <c r="O53" s="34"/>
      <c r="P53" s="32" t="str">
        <f aca="true">IF(OR(O53="",J53="Done",J53="Not applicable"),"",IF(O53&lt;TODAY(),"OVERDUE",""))</f>
        <v/>
      </c>
      <c r="Q53" s="32" t="str">
        <f aca="true">IF(AND(A53="",D53=""),"",IF(AND(I53="No",J53&lt;&gt;"Not applicable"),"Screen says not triggered - confirm or mark Not applicable. ","")&amp;IF(AND(G53&lt;&gt;"",J53&lt;&gt;"Done",J53&lt;&gt;"Not applicable",G53&lt;=TODAY()),"Duty already in force. ","")&amp;IF(AND(O53&lt;&gt;"",G53&lt;&gt;"",J53&lt;&gt;"Done",J53&lt;&gt;"Not applicable",O53&gt;G53),"Target date is after the duty applies. ","")&amp;IF(AND(N53="High",L53="",J53&lt;&gt;"Done",J53&lt;&gt;"Not applicable"),"High priority with no owner. ","")&amp;IF(AND(J53="Done",K53=""),"Done but no evidence location. ","")&amp;IF(AND(J53="Not applicable",M53=""),"Say why it is not applicable. ",""))</f>
        <v/>
      </c>
      <c r="R53" s="32" t="str">
        <f aca="false">IF(AND(A53&lt;&gt;"",N53="High",J53&lt;&gt;"Done",J53&lt;&gt;"Not applicable"),COUNTIFS($A$6:A53,"&lt;&gt;",$N$6:N53,"High",$J$6:J53,"&lt;&gt;Done",$J$6:J53,"&lt;&gt;Not applicable"),"")</f>
        <v/>
      </c>
    </row>
    <row r="54" customFormat="false" ht="39.75" hidden="false" customHeight="true" outlineLevel="0" collapsed="false">
      <c r="A54" s="28" t="s">
        <v>278</v>
      </c>
      <c r="B54" s="28" t="s">
        <v>47</v>
      </c>
      <c r="C54" s="28" t="s">
        <v>279</v>
      </c>
      <c r="D54" s="28" t="s">
        <v>280</v>
      </c>
      <c r="E54" s="28" t="s">
        <v>140</v>
      </c>
      <c r="F54" s="29" t="n">
        <v>3</v>
      </c>
      <c r="G54" s="30" t="n">
        <f aca="false">IF(F54="","",INDEX(Timeline!$C$8:$C$10,F54))</f>
        <v>46520</v>
      </c>
      <c r="H54" s="31" t="s">
        <v>98</v>
      </c>
      <c r="I54" s="32" t="str">
        <f aca="false">IF(H54="","",IF(H54="ALL","Yes",IF(IFERROR(INDEX('Applicability Screen'!$E$8:$E$20,MATCH(H54,'Applicability Screen'!$G$8:$G$20,0)),"")="","Answer screen",INDEX('Applicability Screen'!$E$8:$E$20,MATCH(H54,'Applicability Screen'!$G$8:$G$20,0)))))</f>
        <v>Answer screen</v>
      </c>
      <c r="J54" s="33"/>
      <c r="K54" s="33"/>
      <c r="L54" s="33"/>
      <c r="M54" s="33"/>
      <c r="N54" s="33"/>
      <c r="O54" s="34"/>
      <c r="P54" s="32" t="str">
        <f aca="true">IF(OR(O54="",J54="Done",J54="Not applicable"),"",IF(O54&lt;TODAY(),"OVERDUE",""))</f>
        <v/>
      </c>
      <c r="Q54" s="32" t="str">
        <f aca="true">IF(AND(A54="",D54=""),"",IF(AND(I54="No",J54&lt;&gt;"Not applicable"),"Screen says not triggered - confirm or mark Not applicable. ","")&amp;IF(AND(G54&lt;&gt;"",J54&lt;&gt;"Done",J54&lt;&gt;"Not applicable",G54&lt;=TODAY()),"Duty already in force. ","")&amp;IF(AND(O54&lt;&gt;"",G54&lt;&gt;"",J54&lt;&gt;"Done",J54&lt;&gt;"Not applicable",O54&gt;G54),"Target date is after the duty applies. ","")&amp;IF(AND(N54="High",L54="",J54&lt;&gt;"Done",J54&lt;&gt;"Not applicable"),"High priority with no owner. ","")&amp;IF(AND(J54="Done",K54=""),"Done but no evidence location. ","")&amp;IF(AND(J54="Not applicable",M54=""),"Say why it is not applicable. ",""))</f>
        <v/>
      </c>
      <c r="R54" s="32" t="str">
        <f aca="false">IF(AND(A54&lt;&gt;"",N54="High",J54&lt;&gt;"Done",J54&lt;&gt;"Not applicable"),COUNTIFS($A$6:A54,"&lt;&gt;",$N$6:N54,"High",$J$6:J54,"&lt;&gt;Done",$J$6:J54,"&lt;&gt;Not applicable"),"")</f>
        <v/>
      </c>
    </row>
    <row r="55" customFormat="false" ht="63.75" hidden="false" customHeight="true" outlineLevel="0" collapsed="false">
      <c r="A55" s="28" t="s">
        <v>281</v>
      </c>
      <c r="B55" s="28" t="s">
        <v>47</v>
      </c>
      <c r="C55" s="28" t="s">
        <v>282</v>
      </c>
      <c r="D55" s="28" t="s">
        <v>283</v>
      </c>
      <c r="E55" s="28" t="s">
        <v>194</v>
      </c>
      <c r="F55" s="29" t="n">
        <v>3</v>
      </c>
      <c r="G55" s="30" t="n">
        <f aca="false">IF(F55="","",INDEX(Timeline!$C$8:$C$10,F55))</f>
        <v>46520</v>
      </c>
      <c r="H55" s="31" t="s">
        <v>83</v>
      </c>
      <c r="I55" s="32" t="str">
        <f aca="false">IF(H55="","",IF(H55="ALL","Yes",IF(IFERROR(INDEX('Applicability Screen'!$E$8:$E$20,MATCH(H55,'Applicability Screen'!$G$8:$G$20,0)),"")="","Answer screen",INDEX('Applicability Screen'!$E$8:$E$20,MATCH(H55,'Applicability Screen'!$G$8:$G$20,0)))))</f>
        <v>Answer screen</v>
      </c>
      <c r="J55" s="33"/>
      <c r="K55" s="33"/>
      <c r="L55" s="33"/>
      <c r="M55" s="33"/>
      <c r="N55" s="33"/>
      <c r="O55" s="34"/>
      <c r="P55" s="32" t="str">
        <f aca="true">IF(OR(O55="",J55="Done",J55="Not applicable"),"",IF(O55&lt;TODAY(),"OVERDUE",""))</f>
        <v/>
      </c>
      <c r="Q55" s="32" t="str">
        <f aca="true">IF(AND(A55="",D55=""),"",IF(AND(I55="No",J55&lt;&gt;"Not applicable"),"Screen says not triggered - confirm or mark Not applicable. ","")&amp;IF(AND(G55&lt;&gt;"",J55&lt;&gt;"Done",J55&lt;&gt;"Not applicable",G55&lt;=TODAY()),"Duty already in force. ","")&amp;IF(AND(O55&lt;&gt;"",G55&lt;&gt;"",J55&lt;&gt;"Done",J55&lt;&gt;"Not applicable",O55&gt;G55),"Target date is after the duty applies. ","")&amp;IF(AND(N55="High",L55="",J55&lt;&gt;"Done",J55&lt;&gt;"Not applicable"),"High priority with no owner. ","")&amp;IF(AND(J55="Done",K55=""),"Done but no evidence location. ","")&amp;IF(AND(J55="Not applicable",M55=""),"Say why it is not applicable. ",""))</f>
        <v/>
      </c>
      <c r="R55" s="32" t="str">
        <f aca="false">IF(AND(A55&lt;&gt;"",N55="High",J55&lt;&gt;"Done",J55&lt;&gt;"Not applicable"),COUNTIFS($A$6:A55,"&lt;&gt;",$N$6:N55,"High",$J$6:J55,"&lt;&gt;Done",$J$6:J55,"&lt;&gt;Not applicable"),"")</f>
        <v/>
      </c>
    </row>
    <row r="56" customFormat="false" ht="39.75" hidden="false" customHeight="true" outlineLevel="0" collapsed="false">
      <c r="A56" s="28" t="s">
        <v>284</v>
      </c>
      <c r="B56" s="28" t="s">
        <v>47</v>
      </c>
      <c r="C56" s="28" t="s">
        <v>285</v>
      </c>
      <c r="D56" s="28" t="s">
        <v>286</v>
      </c>
      <c r="E56" s="28" t="s">
        <v>140</v>
      </c>
      <c r="F56" s="29" t="n">
        <v>3</v>
      </c>
      <c r="G56" s="30" t="n">
        <f aca="false">IF(F56="","",INDEX(Timeline!$C$8:$C$10,F56))</f>
        <v>46520</v>
      </c>
      <c r="H56" s="31" t="s">
        <v>83</v>
      </c>
      <c r="I56" s="32" t="str">
        <f aca="false">IF(H56="","",IF(H56="ALL","Yes",IF(IFERROR(INDEX('Applicability Screen'!$E$8:$E$20,MATCH(H56,'Applicability Screen'!$G$8:$G$20,0)),"")="","Answer screen",INDEX('Applicability Screen'!$E$8:$E$20,MATCH(H56,'Applicability Screen'!$G$8:$G$20,0)))))</f>
        <v>Answer screen</v>
      </c>
      <c r="J56" s="33"/>
      <c r="K56" s="33"/>
      <c r="L56" s="33"/>
      <c r="M56" s="33"/>
      <c r="N56" s="33"/>
      <c r="O56" s="34"/>
      <c r="P56" s="32" t="str">
        <f aca="true">IF(OR(O56="",J56="Done",J56="Not applicable"),"",IF(O56&lt;TODAY(),"OVERDUE",""))</f>
        <v/>
      </c>
      <c r="Q56" s="32" t="str">
        <f aca="true">IF(AND(A56="",D56=""),"",IF(AND(I56="No",J56&lt;&gt;"Not applicable"),"Screen says not triggered - confirm or mark Not applicable. ","")&amp;IF(AND(G56&lt;&gt;"",J56&lt;&gt;"Done",J56&lt;&gt;"Not applicable",G56&lt;=TODAY()),"Duty already in force. ","")&amp;IF(AND(O56&lt;&gt;"",G56&lt;&gt;"",J56&lt;&gt;"Done",J56&lt;&gt;"Not applicable",O56&gt;G56),"Target date is after the duty applies. ","")&amp;IF(AND(N56="High",L56="",J56&lt;&gt;"Done",J56&lt;&gt;"Not applicable"),"High priority with no owner. ","")&amp;IF(AND(J56="Done",K56=""),"Done but no evidence location. ","")&amp;IF(AND(J56="Not applicable",M56=""),"Say why it is not applicable. ",""))</f>
        <v/>
      </c>
      <c r="R56" s="32" t="str">
        <f aca="false">IF(AND(A56&lt;&gt;"",N56="High",J56&lt;&gt;"Done",J56&lt;&gt;"Not applicable"),COUNTIFS($A$6:A56,"&lt;&gt;",$N$6:N56,"High",$J$6:J56,"&lt;&gt;Done",$J$6:J56,"&lt;&gt;Not applicable"),"")</f>
        <v/>
      </c>
    </row>
    <row r="57" customFormat="false" ht="39.75" hidden="false" customHeight="true" outlineLevel="0" collapsed="false">
      <c r="A57" s="28" t="s">
        <v>287</v>
      </c>
      <c r="B57" s="28" t="s">
        <v>48</v>
      </c>
      <c r="C57" s="28" t="s">
        <v>288</v>
      </c>
      <c r="D57" s="28" t="s">
        <v>289</v>
      </c>
      <c r="E57" s="28" t="s">
        <v>140</v>
      </c>
      <c r="F57" s="29" t="n">
        <v>3</v>
      </c>
      <c r="G57" s="30" t="n">
        <f aca="false">IF(F57="","",INDEX(Timeline!$C$8:$C$10,F57))</f>
        <v>46520</v>
      </c>
      <c r="H57" s="31" t="s">
        <v>83</v>
      </c>
      <c r="I57" s="32" t="str">
        <f aca="false">IF(H57="","",IF(H57="ALL","Yes",IF(IFERROR(INDEX('Applicability Screen'!$E$8:$E$20,MATCH(H57,'Applicability Screen'!$G$8:$G$20,0)),"")="","Answer screen",INDEX('Applicability Screen'!$E$8:$E$20,MATCH(H57,'Applicability Screen'!$G$8:$G$20,0)))))</f>
        <v>Answer screen</v>
      </c>
      <c r="J57" s="35" t="s">
        <v>34</v>
      </c>
      <c r="K57" s="35"/>
      <c r="L57" s="35" t="s">
        <v>290</v>
      </c>
      <c r="M57" s="35"/>
      <c r="N57" s="35" t="s">
        <v>291</v>
      </c>
      <c r="O57" s="36" t="n">
        <v>46266</v>
      </c>
      <c r="P57" s="32" t="str">
        <f aca="true">IF(OR(O57="",J57="Done",J57="Not applicable"),"",IF(O57&lt;TODAY(),"OVERDUE",""))</f>
        <v/>
      </c>
      <c r="Q57" s="32" t="str">
        <f aca="true">IF(AND(A57="",D57=""),"",IF(AND(I57="No",J57&lt;&gt;"Not applicable"),"Screen says not triggered - confirm or mark Not applicable. ","")&amp;IF(AND(G57&lt;&gt;"",J57&lt;&gt;"Done",J57&lt;&gt;"Not applicable",G57&lt;=TODAY()),"Duty already in force. ","")&amp;IF(AND(O57&lt;&gt;"",G57&lt;&gt;"",J57&lt;&gt;"Done",J57&lt;&gt;"Not applicable",O57&gt;G57),"Target date is after the duty applies. ","")&amp;IF(AND(N57="High",L57="",J57&lt;&gt;"Done",J57&lt;&gt;"Not applicable"),"High priority with no owner. ","")&amp;IF(AND(J57="Done",K57=""),"Done but no evidence location. ","")&amp;IF(AND(J57="Not applicable",M57=""),"Say why it is not applicable. ",""))</f>
        <v>Done but no evidence location. </v>
      </c>
      <c r="R57" s="32" t="str">
        <f aca="false">IF(AND(A57&lt;&gt;"",N57="High",J57&lt;&gt;"Done",J57&lt;&gt;"Not applicable"),COUNTIFS($A$6:A57,"&lt;&gt;",$N$6:N57,"High",$J$6:J57,"&lt;&gt;Done",$J$6:J57,"&lt;&gt;Not applicable"),"")</f>
        <v/>
      </c>
    </row>
    <row r="58" customFormat="false" ht="27.75" hidden="false" customHeight="true" outlineLevel="0" collapsed="false">
      <c r="A58" s="28" t="s">
        <v>292</v>
      </c>
      <c r="B58" s="28" t="s">
        <v>48</v>
      </c>
      <c r="C58" s="28" t="s">
        <v>293</v>
      </c>
      <c r="D58" s="28" t="s">
        <v>294</v>
      </c>
      <c r="E58" s="28" t="s">
        <v>140</v>
      </c>
      <c r="F58" s="29" t="n">
        <v>3</v>
      </c>
      <c r="G58" s="30" t="n">
        <f aca="false">IF(F58="","",INDEX(Timeline!$C$8:$C$10,F58))</f>
        <v>46520</v>
      </c>
      <c r="H58" s="31" t="s">
        <v>83</v>
      </c>
      <c r="I58" s="32" t="str">
        <f aca="false">IF(H58="","",IF(H58="ALL","Yes",IF(IFERROR(INDEX('Applicability Screen'!$E$8:$E$20,MATCH(H58,'Applicability Screen'!$G$8:$G$20,0)),"")="","Answer screen",INDEX('Applicability Screen'!$E$8:$E$20,MATCH(H58,'Applicability Screen'!$G$8:$G$20,0)))))</f>
        <v>Answer screen</v>
      </c>
      <c r="J58" s="33"/>
      <c r="K58" s="33"/>
      <c r="L58" s="33"/>
      <c r="M58" s="33"/>
      <c r="N58" s="33"/>
      <c r="O58" s="34"/>
      <c r="P58" s="32" t="str">
        <f aca="true">IF(OR(O58="",J58="Done",J58="Not applicable"),"",IF(O58&lt;TODAY(),"OVERDUE",""))</f>
        <v/>
      </c>
      <c r="Q58" s="32" t="str">
        <f aca="true">IF(AND(A58="",D58=""),"",IF(AND(I58="No",J58&lt;&gt;"Not applicable"),"Screen says not triggered - confirm or mark Not applicable. ","")&amp;IF(AND(G58&lt;&gt;"",J58&lt;&gt;"Done",J58&lt;&gt;"Not applicable",G58&lt;=TODAY()),"Duty already in force. ","")&amp;IF(AND(O58&lt;&gt;"",G58&lt;&gt;"",J58&lt;&gt;"Done",J58&lt;&gt;"Not applicable",O58&gt;G58),"Target date is after the duty applies. ","")&amp;IF(AND(N58="High",L58="",J58&lt;&gt;"Done",J58&lt;&gt;"Not applicable"),"High priority with no owner. ","")&amp;IF(AND(J58="Done",K58=""),"Done but no evidence location. ","")&amp;IF(AND(J58="Not applicable",M58=""),"Say why it is not applicable. ",""))</f>
        <v/>
      </c>
      <c r="R58" s="32" t="str">
        <f aca="false">IF(AND(A58&lt;&gt;"",N58="High",J58&lt;&gt;"Done",J58&lt;&gt;"Not applicable"),COUNTIFS($A$6:A58,"&lt;&gt;",$N$6:N58,"High",$J$6:J58,"&lt;&gt;Done",$J$6:J58,"&lt;&gt;Not applicable"),"")</f>
        <v/>
      </c>
    </row>
    <row r="59" customFormat="false" ht="39.75" hidden="false" customHeight="true" outlineLevel="0" collapsed="false">
      <c r="A59" s="28" t="s">
        <v>295</v>
      </c>
      <c r="B59" s="28" t="s">
        <v>48</v>
      </c>
      <c r="C59" s="28" t="s">
        <v>296</v>
      </c>
      <c r="D59" s="28" t="s">
        <v>297</v>
      </c>
      <c r="E59" s="28" t="s">
        <v>298</v>
      </c>
      <c r="F59" s="29" t="n">
        <v>3</v>
      </c>
      <c r="G59" s="30" t="n">
        <f aca="false">IF(F59="","",INDEX(Timeline!$C$8:$C$10,F59))</f>
        <v>46520</v>
      </c>
      <c r="H59" s="31" t="s">
        <v>83</v>
      </c>
      <c r="I59" s="32" t="str">
        <f aca="false">IF(H59="","",IF(H59="ALL","Yes",IF(IFERROR(INDEX('Applicability Screen'!$E$8:$E$20,MATCH(H59,'Applicability Screen'!$G$8:$G$20,0)),"")="","Answer screen",INDEX('Applicability Screen'!$E$8:$E$20,MATCH(H59,'Applicability Screen'!$G$8:$G$20,0)))))</f>
        <v>Answer screen</v>
      </c>
      <c r="J59" s="33"/>
      <c r="K59" s="33"/>
      <c r="L59" s="33"/>
      <c r="M59" s="33"/>
      <c r="N59" s="33"/>
      <c r="O59" s="34"/>
      <c r="P59" s="32" t="str">
        <f aca="true">IF(OR(O59="",J59="Done",J59="Not applicable"),"",IF(O59&lt;TODAY(),"OVERDUE",""))</f>
        <v/>
      </c>
      <c r="Q59" s="32" t="str">
        <f aca="true">IF(AND(A59="",D59=""),"",IF(AND(I59="No",J59&lt;&gt;"Not applicable"),"Screen says not triggered - confirm or mark Not applicable. ","")&amp;IF(AND(G59&lt;&gt;"",J59&lt;&gt;"Done",J59&lt;&gt;"Not applicable",G59&lt;=TODAY()),"Duty already in force. ","")&amp;IF(AND(O59&lt;&gt;"",G59&lt;&gt;"",J59&lt;&gt;"Done",J59&lt;&gt;"Not applicable",O59&gt;G59),"Target date is after the duty applies. ","")&amp;IF(AND(N59="High",L59="",J59&lt;&gt;"Done",J59&lt;&gt;"Not applicable"),"High priority with no owner. ","")&amp;IF(AND(J59="Done",K59=""),"Done but no evidence location. ","")&amp;IF(AND(J59="Not applicable",M59=""),"Say why it is not applicable. ",""))</f>
        <v/>
      </c>
      <c r="R59" s="32" t="str">
        <f aca="false">IF(AND(A59&lt;&gt;"",N59="High",J59&lt;&gt;"Done",J59&lt;&gt;"Not applicable"),COUNTIFS($A$6:A59,"&lt;&gt;",$N$6:N59,"High",$J$6:J59,"&lt;&gt;Done",$J$6:J59,"&lt;&gt;Not applicable"),"")</f>
        <v/>
      </c>
    </row>
    <row r="60" customFormat="false" ht="39.75" hidden="false" customHeight="true" outlineLevel="0" collapsed="false">
      <c r="A60" s="28" t="s">
        <v>299</v>
      </c>
      <c r="B60" s="28" t="s">
        <v>48</v>
      </c>
      <c r="C60" s="28" t="s">
        <v>300</v>
      </c>
      <c r="D60" s="28" t="s">
        <v>301</v>
      </c>
      <c r="E60" s="28" t="s">
        <v>298</v>
      </c>
      <c r="F60" s="29" t="n">
        <v>3</v>
      </c>
      <c r="G60" s="30" t="n">
        <f aca="false">IF(F60="","",INDEX(Timeline!$C$8:$C$10,F60))</f>
        <v>46520</v>
      </c>
      <c r="H60" s="31" t="s">
        <v>83</v>
      </c>
      <c r="I60" s="32" t="str">
        <f aca="false">IF(H60="","",IF(H60="ALL","Yes",IF(IFERROR(INDEX('Applicability Screen'!$E$8:$E$20,MATCH(H60,'Applicability Screen'!$G$8:$G$20,0)),"")="","Answer screen",INDEX('Applicability Screen'!$E$8:$E$20,MATCH(H60,'Applicability Screen'!$G$8:$G$20,0)))))</f>
        <v>Answer screen</v>
      </c>
      <c r="J60" s="33"/>
      <c r="K60" s="33"/>
      <c r="L60" s="33"/>
      <c r="M60" s="33"/>
      <c r="N60" s="33"/>
      <c r="O60" s="34"/>
      <c r="P60" s="32" t="str">
        <f aca="true">IF(OR(O60="",J60="Done",J60="Not applicable"),"",IF(O60&lt;TODAY(),"OVERDUE",""))</f>
        <v/>
      </c>
      <c r="Q60" s="32" t="str">
        <f aca="true">IF(AND(A60="",D60=""),"",IF(AND(I60="No",J60&lt;&gt;"Not applicable"),"Screen says not triggered - confirm or mark Not applicable. ","")&amp;IF(AND(G60&lt;&gt;"",J60&lt;&gt;"Done",J60&lt;&gt;"Not applicable",G60&lt;=TODAY()),"Duty already in force. ","")&amp;IF(AND(O60&lt;&gt;"",G60&lt;&gt;"",J60&lt;&gt;"Done",J60&lt;&gt;"Not applicable",O60&gt;G60),"Target date is after the duty applies. ","")&amp;IF(AND(N60="High",L60="",J60&lt;&gt;"Done",J60&lt;&gt;"Not applicable"),"High priority with no owner. ","")&amp;IF(AND(J60="Done",K60=""),"Done but no evidence location. ","")&amp;IF(AND(J60="Not applicable",M60=""),"Say why it is not applicable. ",""))</f>
        <v/>
      </c>
      <c r="R60" s="32" t="str">
        <f aca="false">IF(AND(A60&lt;&gt;"",N60="High",J60&lt;&gt;"Done",J60&lt;&gt;"Not applicable"),COUNTIFS($A$6:A60,"&lt;&gt;",$N$6:N60,"High",$J$6:J60,"&lt;&gt;Done",$J$6:J60,"&lt;&gt;Not applicable"),"")</f>
        <v/>
      </c>
    </row>
    <row r="61" customFormat="false" ht="39.75" hidden="false" customHeight="true" outlineLevel="0" collapsed="false">
      <c r="A61" s="28" t="s">
        <v>302</v>
      </c>
      <c r="B61" s="28" t="s">
        <v>48</v>
      </c>
      <c r="C61" s="28" t="s">
        <v>303</v>
      </c>
      <c r="D61" s="28" t="s">
        <v>304</v>
      </c>
      <c r="E61" s="28" t="s">
        <v>298</v>
      </c>
      <c r="F61" s="29" t="n">
        <v>3</v>
      </c>
      <c r="G61" s="30" t="n">
        <f aca="false">IF(F61="","",INDEX(Timeline!$C$8:$C$10,F61))</f>
        <v>46520</v>
      </c>
      <c r="H61" s="31" t="s">
        <v>83</v>
      </c>
      <c r="I61" s="32" t="str">
        <f aca="false">IF(H61="","",IF(H61="ALL","Yes",IF(IFERROR(INDEX('Applicability Screen'!$E$8:$E$20,MATCH(H61,'Applicability Screen'!$G$8:$G$20,0)),"")="","Answer screen",INDEX('Applicability Screen'!$E$8:$E$20,MATCH(H61,'Applicability Screen'!$G$8:$G$20,0)))))</f>
        <v>Answer screen</v>
      </c>
      <c r="J61" s="33"/>
      <c r="K61" s="33"/>
      <c r="L61" s="33"/>
      <c r="M61" s="33"/>
      <c r="N61" s="33"/>
      <c r="O61" s="34"/>
      <c r="P61" s="32" t="str">
        <f aca="true">IF(OR(O61="",J61="Done",J61="Not applicable"),"",IF(O61&lt;TODAY(),"OVERDUE",""))</f>
        <v/>
      </c>
      <c r="Q61" s="32" t="str">
        <f aca="true">IF(AND(A61="",D61=""),"",IF(AND(I61="No",J61&lt;&gt;"Not applicable"),"Screen says not triggered - confirm or mark Not applicable. ","")&amp;IF(AND(G61&lt;&gt;"",J61&lt;&gt;"Done",J61&lt;&gt;"Not applicable",G61&lt;=TODAY()),"Duty already in force. ","")&amp;IF(AND(O61&lt;&gt;"",G61&lt;&gt;"",J61&lt;&gt;"Done",J61&lt;&gt;"Not applicable",O61&gt;G61),"Target date is after the duty applies. ","")&amp;IF(AND(N61="High",L61="",J61&lt;&gt;"Done",J61&lt;&gt;"Not applicable"),"High priority with no owner. ","")&amp;IF(AND(J61="Done",K61=""),"Done but no evidence location. ","")&amp;IF(AND(J61="Not applicable",M61=""),"Say why it is not applicable. ",""))</f>
        <v/>
      </c>
      <c r="R61" s="32" t="str">
        <f aca="false">IF(AND(A61&lt;&gt;"",N61="High",J61&lt;&gt;"Done",J61&lt;&gt;"Not applicable"),COUNTIFS($A$6:A61,"&lt;&gt;",$N$6:N61,"High",$J$6:J61,"&lt;&gt;Done",$J$6:J61,"&lt;&gt;Not applicable"),"")</f>
        <v/>
      </c>
    </row>
    <row r="62" customFormat="false" ht="39.75" hidden="false" customHeight="true" outlineLevel="0" collapsed="false">
      <c r="A62" s="28" t="s">
        <v>305</v>
      </c>
      <c r="B62" s="28" t="s">
        <v>49</v>
      </c>
      <c r="C62" s="28" t="s">
        <v>306</v>
      </c>
      <c r="D62" s="28" t="s">
        <v>307</v>
      </c>
      <c r="E62" s="28" t="s">
        <v>140</v>
      </c>
      <c r="F62" s="29" t="n">
        <v>3</v>
      </c>
      <c r="G62" s="30" t="n">
        <f aca="false">IF(F62="","",INDEX(Timeline!$C$8:$C$10,F62))</f>
        <v>46520</v>
      </c>
      <c r="H62" s="31" t="s">
        <v>83</v>
      </c>
      <c r="I62" s="32" t="str">
        <f aca="false">IF(H62="","",IF(H62="ALL","Yes",IF(IFERROR(INDEX('Applicability Screen'!$E$8:$E$20,MATCH(H62,'Applicability Screen'!$G$8:$G$20,0)),"")="","Answer screen",INDEX('Applicability Screen'!$E$8:$E$20,MATCH(H62,'Applicability Screen'!$G$8:$G$20,0)))))</f>
        <v>Answer screen</v>
      </c>
      <c r="J62" s="33"/>
      <c r="K62" s="33"/>
      <c r="L62" s="33"/>
      <c r="M62" s="33"/>
      <c r="N62" s="33"/>
      <c r="O62" s="34"/>
      <c r="P62" s="32" t="str">
        <f aca="true">IF(OR(O62="",J62="Done",J62="Not applicable"),"",IF(O62&lt;TODAY(),"OVERDUE",""))</f>
        <v/>
      </c>
      <c r="Q62" s="32" t="str">
        <f aca="true">IF(AND(A62="",D62=""),"",IF(AND(I62="No",J62&lt;&gt;"Not applicable"),"Screen says not triggered - confirm or mark Not applicable. ","")&amp;IF(AND(G62&lt;&gt;"",J62&lt;&gt;"Done",J62&lt;&gt;"Not applicable",G62&lt;=TODAY()),"Duty already in force. ","")&amp;IF(AND(O62&lt;&gt;"",G62&lt;&gt;"",J62&lt;&gt;"Done",J62&lt;&gt;"Not applicable",O62&gt;G62),"Target date is after the duty applies. ","")&amp;IF(AND(N62="High",L62="",J62&lt;&gt;"Done",J62&lt;&gt;"Not applicable"),"High priority with no owner. ","")&amp;IF(AND(J62="Done",K62=""),"Done but no evidence location. ","")&amp;IF(AND(J62="Not applicable",M62=""),"Say why it is not applicable. ",""))</f>
        <v/>
      </c>
      <c r="R62" s="32" t="str">
        <f aca="false">IF(AND(A62&lt;&gt;"",N62="High",J62&lt;&gt;"Done",J62&lt;&gt;"Not applicable"),COUNTIFS($A$6:A62,"&lt;&gt;",$N$6:N62,"High",$J$6:J62,"&lt;&gt;Done",$J$6:J62,"&lt;&gt;Not applicable"),"")</f>
        <v/>
      </c>
    </row>
    <row r="63" customFormat="false" ht="39.75" hidden="false" customHeight="true" outlineLevel="0" collapsed="false">
      <c r="A63" s="28" t="s">
        <v>308</v>
      </c>
      <c r="B63" s="28" t="s">
        <v>49</v>
      </c>
      <c r="C63" s="28" t="s">
        <v>309</v>
      </c>
      <c r="D63" s="28" t="s">
        <v>310</v>
      </c>
      <c r="E63" s="28" t="s">
        <v>194</v>
      </c>
      <c r="F63" s="29" t="n">
        <v>3</v>
      </c>
      <c r="G63" s="30" t="n">
        <f aca="false">IF(F63="","",INDEX(Timeline!$C$8:$C$10,F63))</f>
        <v>46520</v>
      </c>
      <c r="H63" s="31" t="s">
        <v>83</v>
      </c>
      <c r="I63" s="32" t="str">
        <f aca="false">IF(H63="","",IF(H63="ALL","Yes",IF(IFERROR(INDEX('Applicability Screen'!$E$8:$E$20,MATCH(H63,'Applicability Screen'!$G$8:$G$20,0)),"")="","Answer screen",INDEX('Applicability Screen'!$E$8:$E$20,MATCH(H63,'Applicability Screen'!$G$8:$G$20,0)))))</f>
        <v>Answer screen</v>
      </c>
      <c r="J63" s="33"/>
      <c r="K63" s="33"/>
      <c r="L63" s="33"/>
      <c r="M63" s="33"/>
      <c r="N63" s="33"/>
      <c r="O63" s="34"/>
      <c r="P63" s="32" t="str">
        <f aca="true">IF(OR(O63="",J63="Done",J63="Not applicable"),"",IF(O63&lt;TODAY(),"OVERDUE",""))</f>
        <v/>
      </c>
      <c r="Q63" s="32" t="str">
        <f aca="true">IF(AND(A63="",D63=""),"",IF(AND(I63="No",J63&lt;&gt;"Not applicable"),"Screen says not triggered - confirm or mark Not applicable. ","")&amp;IF(AND(G63&lt;&gt;"",J63&lt;&gt;"Done",J63&lt;&gt;"Not applicable",G63&lt;=TODAY()),"Duty already in force. ","")&amp;IF(AND(O63&lt;&gt;"",G63&lt;&gt;"",J63&lt;&gt;"Done",J63&lt;&gt;"Not applicable",O63&gt;G63),"Target date is after the duty applies. ","")&amp;IF(AND(N63="High",L63="",J63&lt;&gt;"Done",J63&lt;&gt;"Not applicable"),"High priority with no owner. ","")&amp;IF(AND(J63="Done",K63=""),"Done but no evidence location. ","")&amp;IF(AND(J63="Not applicable",M63=""),"Say why it is not applicable. ",""))</f>
        <v/>
      </c>
      <c r="R63" s="32" t="str">
        <f aca="false">IF(AND(A63&lt;&gt;"",N63="High",J63&lt;&gt;"Done",J63&lt;&gt;"Not applicable"),COUNTIFS($A$6:A63,"&lt;&gt;",$N$6:N63,"High",$J$6:J63,"&lt;&gt;Done",$J$6:J63,"&lt;&gt;Not applicable"),"")</f>
        <v/>
      </c>
    </row>
    <row r="64" customFormat="false" ht="39.75" hidden="false" customHeight="true" outlineLevel="0" collapsed="false">
      <c r="A64" s="28" t="s">
        <v>311</v>
      </c>
      <c r="B64" s="28" t="s">
        <v>49</v>
      </c>
      <c r="C64" s="28" t="s">
        <v>312</v>
      </c>
      <c r="D64" s="28" t="s">
        <v>313</v>
      </c>
      <c r="E64" s="28" t="s">
        <v>194</v>
      </c>
      <c r="F64" s="29" t="n">
        <v>3</v>
      </c>
      <c r="G64" s="30" t="n">
        <f aca="false">IF(F64="","",INDEX(Timeline!$C$8:$C$10,F64))</f>
        <v>46520</v>
      </c>
      <c r="H64" s="31" t="s">
        <v>83</v>
      </c>
      <c r="I64" s="32" t="str">
        <f aca="false">IF(H64="","",IF(H64="ALL","Yes",IF(IFERROR(INDEX('Applicability Screen'!$E$8:$E$20,MATCH(H64,'Applicability Screen'!$G$8:$G$20,0)),"")="","Answer screen",INDEX('Applicability Screen'!$E$8:$E$20,MATCH(H64,'Applicability Screen'!$G$8:$G$20,0)))))</f>
        <v>Answer screen</v>
      </c>
      <c r="J64" s="33"/>
      <c r="K64" s="33"/>
      <c r="L64" s="33"/>
      <c r="M64" s="33"/>
      <c r="N64" s="33"/>
      <c r="O64" s="34"/>
      <c r="P64" s="32" t="str">
        <f aca="true">IF(OR(O64="",J64="Done",J64="Not applicable"),"",IF(O64&lt;TODAY(),"OVERDUE",""))</f>
        <v/>
      </c>
      <c r="Q64" s="32" t="str">
        <f aca="true">IF(AND(A64="",D64=""),"",IF(AND(I64="No",J64&lt;&gt;"Not applicable"),"Screen says not triggered - confirm or mark Not applicable. ","")&amp;IF(AND(G64&lt;&gt;"",J64&lt;&gt;"Done",J64&lt;&gt;"Not applicable",G64&lt;=TODAY()),"Duty already in force. ","")&amp;IF(AND(O64&lt;&gt;"",G64&lt;&gt;"",J64&lt;&gt;"Done",J64&lt;&gt;"Not applicable",O64&gt;G64),"Target date is after the duty applies. ","")&amp;IF(AND(N64="High",L64="",J64&lt;&gt;"Done",J64&lt;&gt;"Not applicable"),"High priority with no owner. ","")&amp;IF(AND(J64="Done",K64=""),"Done but no evidence location. ","")&amp;IF(AND(J64="Not applicable",M64=""),"Say why it is not applicable. ",""))</f>
        <v/>
      </c>
      <c r="R64" s="32" t="str">
        <f aca="false">IF(AND(A64&lt;&gt;"",N64="High",J64&lt;&gt;"Done",J64&lt;&gt;"Not applicable"),COUNTIFS($A$6:A64,"&lt;&gt;",$N$6:N64,"High",$J$6:J64,"&lt;&gt;Done",$J$6:J64,"&lt;&gt;Not applicable"),"")</f>
        <v/>
      </c>
    </row>
    <row r="65" customFormat="false" ht="39.75" hidden="false" customHeight="true" outlineLevel="0" collapsed="false">
      <c r="A65" s="28" t="s">
        <v>314</v>
      </c>
      <c r="B65" s="28" t="s">
        <v>49</v>
      </c>
      <c r="C65" s="28" t="s">
        <v>315</v>
      </c>
      <c r="D65" s="28" t="s">
        <v>316</v>
      </c>
      <c r="E65" s="28" t="s">
        <v>194</v>
      </c>
      <c r="F65" s="29" t="n">
        <v>3</v>
      </c>
      <c r="G65" s="30" t="n">
        <f aca="false">IF(F65="","",INDEX(Timeline!$C$8:$C$10,F65))</f>
        <v>46520</v>
      </c>
      <c r="H65" s="31" t="s">
        <v>83</v>
      </c>
      <c r="I65" s="32" t="str">
        <f aca="false">IF(H65="","",IF(H65="ALL","Yes",IF(IFERROR(INDEX('Applicability Screen'!$E$8:$E$20,MATCH(H65,'Applicability Screen'!$G$8:$G$20,0)),"")="","Answer screen",INDEX('Applicability Screen'!$E$8:$E$20,MATCH(H65,'Applicability Screen'!$G$8:$G$20,0)))))</f>
        <v>Answer screen</v>
      </c>
      <c r="J65" s="33"/>
      <c r="K65" s="33"/>
      <c r="L65" s="33"/>
      <c r="M65" s="33"/>
      <c r="N65" s="33"/>
      <c r="O65" s="34"/>
      <c r="P65" s="32" t="str">
        <f aca="true">IF(OR(O65="",J65="Done",J65="Not applicable"),"",IF(O65&lt;TODAY(),"OVERDUE",""))</f>
        <v/>
      </c>
      <c r="Q65" s="32" t="str">
        <f aca="true">IF(AND(A65="",D65=""),"",IF(AND(I65="No",J65&lt;&gt;"Not applicable"),"Screen says not triggered - confirm or mark Not applicable. ","")&amp;IF(AND(G65&lt;&gt;"",J65&lt;&gt;"Done",J65&lt;&gt;"Not applicable",G65&lt;=TODAY()),"Duty already in force. ","")&amp;IF(AND(O65&lt;&gt;"",G65&lt;&gt;"",J65&lt;&gt;"Done",J65&lt;&gt;"Not applicable",O65&gt;G65),"Target date is after the duty applies. ","")&amp;IF(AND(N65="High",L65="",J65&lt;&gt;"Done",J65&lt;&gt;"Not applicable"),"High priority with no owner. ","")&amp;IF(AND(J65="Done",K65=""),"Done but no evidence location. ","")&amp;IF(AND(J65="Not applicable",M65=""),"Say why it is not applicable. ",""))</f>
        <v/>
      </c>
      <c r="R65" s="32" t="str">
        <f aca="false">IF(AND(A65&lt;&gt;"",N65="High",J65&lt;&gt;"Done",J65&lt;&gt;"Not applicable"),COUNTIFS($A$6:A65,"&lt;&gt;",$N$6:N65,"High",$J$6:J65,"&lt;&gt;Done",$J$6:J65,"&lt;&gt;Not applicable"),"")</f>
        <v/>
      </c>
    </row>
    <row r="66" customFormat="false" ht="39.75" hidden="false" customHeight="true" outlineLevel="0" collapsed="false">
      <c r="A66" s="28" t="s">
        <v>317</v>
      </c>
      <c r="B66" s="28" t="s">
        <v>49</v>
      </c>
      <c r="C66" s="28" t="s">
        <v>318</v>
      </c>
      <c r="D66" s="28" t="s">
        <v>319</v>
      </c>
      <c r="E66" s="28" t="s">
        <v>140</v>
      </c>
      <c r="F66" s="29" t="n">
        <v>3</v>
      </c>
      <c r="G66" s="30" t="n">
        <f aca="false">IF(F66="","",INDEX(Timeline!$C$8:$C$10,F66))</f>
        <v>46520</v>
      </c>
      <c r="H66" s="31" t="s">
        <v>83</v>
      </c>
      <c r="I66" s="32" t="str">
        <f aca="false">IF(H66="","",IF(H66="ALL","Yes",IF(IFERROR(INDEX('Applicability Screen'!$E$8:$E$20,MATCH(H66,'Applicability Screen'!$G$8:$G$20,0)),"")="","Answer screen",INDEX('Applicability Screen'!$E$8:$E$20,MATCH(H66,'Applicability Screen'!$G$8:$G$20,0)))))</f>
        <v>Answer screen</v>
      </c>
      <c r="J66" s="33"/>
      <c r="K66" s="33"/>
      <c r="L66" s="33"/>
      <c r="M66" s="33"/>
      <c r="N66" s="33"/>
      <c r="O66" s="34"/>
      <c r="P66" s="32" t="str">
        <f aca="true">IF(OR(O66="",J66="Done",J66="Not applicable"),"",IF(O66&lt;TODAY(),"OVERDUE",""))</f>
        <v/>
      </c>
      <c r="Q66" s="32" t="str">
        <f aca="true">IF(AND(A66="",D66=""),"",IF(AND(I66="No",J66&lt;&gt;"Not applicable"),"Screen says not triggered - confirm or mark Not applicable. ","")&amp;IF(AND(G66&lt;&gt;"",J66&lt;&gt;"Done",J66&lt;&gt;"Not applicable",G66&lt;=TODAY()),"Duty already in force. ","")&amp;IF(AND(O66&lt;&gt;"",G66&lt;&gt;"",J66&lt;&gt;"Done",J66&lt;&gt;"Not applicable",O66&gt;G66),"Target date is after the duty applies. ","")&amp;IF(AND(N66="High",L66="",J66&lt;&gt;"Done",J66&lt;&gt;"Not applicable"),"High priority with no owner. ","")&amp;IF(AND(J66="Done",K66=""),"Done but no evidence location. ","")&amp;IF(AND(J66="Not applicable",M66=""),"Say why it is not applicable. ",""))</f>
        <v/>
      </c>
      <c r="R66" s="32" t="str">
        <f aca="false">IF(AND(A66&lt;&gt;"",N66="High",J66&lt;&gt;"Done",J66&lt;&gt;"Not applicable"),COUNTIFS($A$6:A66,"&lt;&gt;",$N$6:N66,"High",$J$6:J66,"&lt;&gt;Done",$J$6:J66,"&lt;&gt;Not applicable"),"")</f>
        <v/>
      </c>
    </row>
    <row r="67" customFormat="false" ht="51.75" hidden="false" customHeight="true" outlineLevel="0" collapsed="false">
      <c r="A67" s="28" t="s">
        <v>320</v>
      </c>
      <c r="B67" s="28" t="s">
        <v>49</v>
      </c>
      <c r="C67" s="28" t="s">
        <v>321</v>
      </c>
      <c r="D67" s="28" t="s">
        <v>322</v>
      </c>
      <c r="E67" s="28" t="s">
        <v>323</v>
      </c>
      <c r="F67" s="29" t="n">
        <v>3</v>
      </c>
      <c r="G67" s="30" t="n">
        <f aca="false">IF(F67="","",INDEX(Timeline!$C$8:$C$10,F67))</f>
        <v>46520</v>
      </c>
      <c r="H67" s="31" t="s">
        <v>86</v>
      </c>
      <c r="I67" s="32" t="str">
        <f aca="false">IF(H67="","",IF(H67="ALL","Yes",IF(IFERROR(INDEX('Applicability Screen'!$E$8:$E$20,MATCH(H67,'Applicability Screen'!$G$8:$G$20,0)),"")="","Answer screen",INDEX('Applicability Screen'!$E$8:$E$20,MATCH(H67,'Applicability Screen'!$G$8:$G$20,0)))))</f>
        <v>Answer screen</v>
      </c>
      <c r="J67" s="33"/>
      <c r="K67" s="33"/>
      <c r="L67" s="33"/>
      <c r="M67" s="33"/>
      <c r="N67" s="33"/>
      <c r="O67" s="34"/>
      <c r="P67" s="32" t="str">
        <f aca="true">IF(OR(O67="",J67="Done",J67="Not applicable"),"",IF(O67&lt;TODAY(),"OVERDUE",""))</f>
        <v/>
      </c>
      <c r="Q67" s="32" t="str">
        <f aca="true">IF(AND(A67="",D67=""),"",IF(AND(I67="No",J67&lt;&gt;"Not applicable"),"Screen says not triggered - confirm or mark Not applicable. ","")&amp;IF(AND(G67&lt;&gt;"",J67&lt;&gt;"Done",J67&lt;&gt;"Not applicable",G67&lt;=TODAY()),"Duty already in force. ","")&amp;IF(AND(O67&lt;&gt;"",G67&lt;&gt;"",J67&lt;&gt;"Done",J67&lt;&gt;"Not applicable",O67&gt;G67),"Target date is after the duty applies. ","")&amp;IF(AND(N67="High",L67="",J67&lt;&gt;"Done",J67&lt;&gt;"Not applicable"),"High priority with no owner. ","")&amp;IF(AND(J67="Done",K67=""),"Done but no evidence location. ","")&amp;IF(AND(J67="Not applicable",M67=""),"Say why it is not applicable. ",""))</f>
        <v/>
      </c>
      <c r="R67" s="32" t="str">
        <f aca="false">IF(AND(A67&lt;&gt;"",N67="High",J67&lt;&gt;"Done",J67&lt;&gt;"Not applicable"),COUNTIFS($A$6:A67,"&lt;&gt;",$N$6:N67,"High",$J$6:J67,"&lt;&gt;Done",$J$6:J67,"&lt;&gt;Not applicable"),"")</f>
        <v/>
      </c>
    </row>
    <row r="68" customFormat="false" ht="51.75" hidden="false" customHeight="true" outlineLevel="0" collapsed="false">
      <c r="A68" s="28" t="s">
        <v>324</v>
      </c>
      <c r="B68" s="28" t="s">
        <v>50</v>
      </c>
      <c r="C68" s="28" t="s">
        <v>325</v>
      </c>
      <c r="D68" s="28" t="s">
        <v>326</v>
      </c>
      <c r="E68" s="28" t="s">
        <v>140</v>
      </c>
      <c r="F68" s="29" t="n">
        <v>3</v>
      </c>
      <c r="G68" s="30" t="n">
        <f aca="false">IF(F68="","",INDEX(Timeline!$C$8:$C$10,F68))</f>
        <v>46520</v>
      </c>
      <c r="H68" s="31" t="s">
        <v>92</v>
      </c>
      <c r="I68" s="32" t="str">
        <f aca="false">IF(H68="","",IF(H68="ALL","Yes",IF(IFERROR(INDEX('Applicability Screen'!$E$8:$E$20,MATCH(H68,'Applicability Screen'!$G$8:$G$20,0)),"")="","Answer screen",INDEX('Applicability Screen'!$E$8:$E$20,MATCH(H68,'Applicability Screen'!$G$8:$G$20,0)))))</f>
        <v>Answer screen</v>
      </c>
      <c r="J68" s="33"/>
      <c r="K68" s="33"/>
      <c r="L68" s="33"/>
      <c r="M68" s="33"/>
      <c r="N68" s="33"/>
      <c r="O68" s="34"/>
      <c r="P68" s="32" t="str">
        <f aca="true">IF(OR(O68="",J68="Done",J68="Not applicable"),"",IF(O68&lt;TODAY(),"OVERDUE",""))</f>
        <v/>
      </c>
      <c r="Q68" s="32" t="str">
        <f aca="true">IF(AND(A68="",D68=""),"",IF(AND(I68="No",J68&lt;&gt;"Not applicable"),"Screen says not triggered - confirm or mark Not applicable. ","")&amp;IF(AND(G68&lt;&gt;"",J68&lt;&gt;"Done",J68&lt;&gt;"Not applicable",G68&lt;=TODAY()),"Duty already in force. ","")&amp;IF(AND(O68&lt;&gt;"",G68&lt;&gt;"",J68&lt;&gt;"Done",J68&lt;&gt;"Not applicable",O68&gt;G68),"Target date is after the duty applies. ","")&amp;IF(AND(N68="High",L68="",J68&lt;&gt;"Done",J68&lt;&gt;"Not applicable"),"High priority with no owner. ","")&amp;IF(AND(J68="Done",K68=""),"Done but no evidence location. ","")&amp;IF(AND(J68="Not applicable",M68=""),"Say why it is not applicable. ",""))</f>
        <v/>
      </c>
      <c r="R68" s="32" t="str">
        <f aca="false">IF(AND(A68&lt;&gt;"",N68="High",J68&lt;&gt;"Done",J68&lt;&gt;"Not applicable"),COUNTIFS($A$6:A68,"&lt;&gt;",$N$6:N68,"High",$J$6:J68,"&lt;&gt;Done",$J$6:J68,"&lt;&gt;Not applicable"),"")</f>
        <v/>
      </c>
    </row>
    <row r="69" customFormat="false" ht="27.75" hidden="false" customHeight="true" outlineLevel="0" collapsed="false">
      <c r="A69" s="28" t="s">
        <v>327</v>
      </c>
      <c r="B69" s="28" t="s">
        <v>50</v>
      </c>
      <c r="C69" s="28" t="s">
        <v>328</v>
      </c>
      <c r="D69" s="28" t="s">
        <v>329</v>
      </c>
      <c r="E69" s="28" t="s">
        <v>140</v>
      </c>
      <c r="F69" s="29" t="n">
        <v>3</v>
      </c>
      <c r="G69" s="30" t="n">
        <f aca="false">IF(F69="","",INDEX(Timeline!$C$8:$C$10,F69))</f>
        <v>46520</v>
      </c>
      <c r="H69" s="31" t="s">
        <v>92</v>
      </c>
      <c r="I69" s="32" t="str">
        <f aca="false">IF(H69="","",IF(H69="ALL","Yes",IF(IFERROR(INDEX('Applicability Screen'!$E$8:$E$20,MATCH(H69,'Applicability Screen'!$G$8:$G$20,0)),"")="","Answer screen",INDEX('Applicability Screen'!$E$8:$E$20,MATCH(H69,'Applicability Screen'!$G$8:$G$20,0)))))</f>
        <v>Answer screen</v>
      </c>
      <c r="J69" s="33"/>
      <c r="K69" s="33"/>
      <c r="L69" s="33"/>
      <c r="M69" s="33"/>
      <c r="N69" s="33"/>
      <c r="O69" s="34"/>
      <c r="P69" s="32" t="str">
        <f aca="true">IF(OR(O69="",J69="Done",J69="Not applicable"),"",IF(O69&lt;TODAY(),"OVERDUE",""))</f>
        <v/>
      </c>
      <c r="Q69" s="32" t="str">
        <f aca="true">IF(AND(A69="",D69=""),"",IF(AND(I69="No",J69&lt;&gt;"Not applicable"),"Screen says not triggered - confirm or mark Not applicable. ","")&amp;IF(AND(G69&lt;&gt;"",J69&lt;&gt;"Done",J69&lt;&gt;"Not applicable",G69&lt;=TODAY()),"Duty already in force. ","")&amp;IF(AND(O69&lt;&gt;"",G69&lt;&gt;"",J69&lt;&gt;"Done",J69&lt;&gt;"Not applicable",O69&gt;G69),"Target date is after the duty applies. ","")&amp;IF(AND(N69="High",L69="",J69&lt;&gt;"Done",J69&lt;&gt;"Not applicable"),"High priority with no owner. ","")&amp;IF(AND(J69="Done",K69=""),"Done but no evidence location. ","")&amp;IF(AND(J69="Not applicable",M69=""),"Say why it is not applicable. ",""))</f>
        <v/>
      </c>
      <c r="R69" s="32" t="str">
        <f aca="false">IF(AND(A69&lt;&gt;"",N69="High",J69&lt;&gt;"Done",J69&lt;&gt;"Not applicable"),COUNTIFS($A$6:A69,"&lt;&gt;",$N$6:N69,"High",$J$6:J69,"&lt;&gt;Done",$J$6:J69,"&lt;&gt;Not applicable"),"")</f>
        <v/>
      </c>
    </row>
    <row r="70" customFormat="false" ht="63.75" hidden="false" customHeight="true" outlineLevel="0" collapsed="false">
      <c r="A70" s="28" t="s">
        <v>330</v>
      </c>
      <c r="B70" s="28" t="s">
        <v>50</v>
      </c>
      <c r="C70" s="28" t="s">
        <v>331</v>
      </c>
      <c r="D70" s="28" t="s">
        <v>332</v>
      </c>
      <c r="E70" s="28" t="s">
        <v>140</v>
      </c>
      <c r="F70" s="29" t="n">
        <v>3</v>
      </c>
      <c r="G70" s="30" t="n">
        <f aca="false">IF(F70="","",INDEX(Timeline!$C$8:$C$10,F70))</f>
        <v>46520</v>
      </c>
      <c r="H70" s="31" t="s">
        <v>92</v>
      </c>
      <c r="I70" s="32" t="str">
        <f aca="false">IF(H70="","",IF(H70="ALL","Yes",IF(IFERROR(INDEX('Applicability Screen'!$E$8:$E$20,MATCH(H70,'Applicability Screen'!$G$8:$G$20,0)),"")="","Answer screen",INDEX('Applicability Screen'!$E$8:$E$20,MATCH(H70,'Applicability Screen'!$G$8:$G$20,0)))))</f>
        <v>Answer screen</v>
      </c>
      <c r="J70" s="33"/>
      <c r="K70" s="33"/>
      <c r="L70" s="33"/>
      <c r="M70" s="33"/>
      <c r="N70" s="33"/>
      <c r="O70" s="34"/>
      <c r="P70" s="32" t="str">
        <f aca="true">IF(OR(O70="",J70="Done",J70="Not applicable"),"",IF(O70&lt;TODAY(),"OVERDUE",""))</f>
        <v/>
      </c>
      <c r="Q70" s="32" t="str">
        <f aca="true">IF(AND(A70="",D70=""),"",IF(AND(I70="No",J70&lt;&gt;"Not applicable"),"Screen says not triggered - confirm or mark Not applicable. ","")&amp;IF(AND(G70&lt;&gt;"",J70&lt;&gt;"Done",J70&lt;&gt;"Not applicable",G70&lt;=TODAY()),"Duty already in force. ","")&amp;IF(AND(O70&lt;&gt;"",G70&lt;&gt;"",J70&lt;&gt;"Done",J70&lt;&gt;"Not applicable",O70&gt;G70),"Target date is after the duty applies. ","")&amp;IF(AND(N70="High",L70="",J70&lt;&gt;"Done",J70&lt;&gt;"Not applicable"),"High priority with no owner. ","")&amp;IF(AND(J70="Done",K70=""),"Done but no evidence location. ","")&amp;IF(AND(J70="Not applicable",M70=""),"Say why it is not applicable. ",""))</f>
        <v/>
      </c>
      <c r="R70" s="32" t="str">
        <f aca="false">IF(AND(A70&lt;&gt;"",N70="High",J70&lt;&gt;"Done",J70&lt;&gt;"Not applicable"),COUNTIFS($A$6:A70,"&lt;&gt;",$N$6:N70,"High",$J$6:J70,"&lt;&gt;Done",$J$6:J70,"&lt;&gt;Not applicable"),"")</f>
        <v/>
      </c>
    </row>
    <row r="71" customFormat="false" ht="27.75" hidden="false" customHeight="true" outlineLevel="0" collapsed="false">
      <c r="A71" s="28" t="s">
        <v>333</v>
      </c>
      <c r="B71" s="28" t="s">
        <v>50</v>
      </c>
      <c r="C71" s="28" t="s">
        <v>334</v>
      </c>
      <c r="D71" s="28" t="s">
        <v>335</v>
      </c>
      <c r="E71" s="28" t="s">
        <v>140</v>
      </c>
      <c r="F71" s="29" t="n">
        <v>3</v>
      </c>
      <c r="G71" s="30" t="n">
        <f aca="false">IF(F71="","",INDEX(Timeline!$C$8:$C$10,F71))</f>
        <v>46520</v>
      </c>
      <c r="H71" s="31" t="s">
        <v>92</v>
      </c>
      <c r="I71" s="32" t="str">
        <f aca="false">IF(H71="","",IF(H71="ALL","Yes",IF(IFERROR(INDEX('Applicability Screen'!$E$8:$E$20,MATCH(H71,'Applicability Screen'!$G$8:$G$20,0)),"")="","Answer screen",INDEX('Applicability Screen'!$E$8:$E$20,MATCH(H71,'Applicability Screen'!$G$8:$G$20,0)))))</f>
        <v>Answer screen</v>
      </c>
      <c r="J71" s="33"/>
      <c r="K71" s="33"/>
      <c r="L71" s="33"/>
      <c r="M71" s="33"/>
      <c r="N71" s="33"/>
      <c r="O71" s="34"/>
      <c r="P71" s="32" t="str">
        <f aca="true">IF(OR(O71="",J71="Done",J71="Not applicable"),"",IF(O71&lt;TODAY(),"OVERDUE",""))</f>
        <v/>
      </c>
      <c r="Q71" s="32" t="str">
        <f aca="true">IF(AND(A71="",D71=""),"",IF(AND(I71="No",J71&lt;&gt;"Not applicable"),"Screen says not triggered - confirm or mark Not applicable. ","")&amp;IF(AND(G71&lt;&gt;"",J71&lt;&gt;"Done",J71&lt;&gt;"Not applicable",G71&lt;=TODAY()),"Duty already in force. ","")&amp;IF(AND(O71&lt;&gt;"",G71&lt;&gt;"",J71&lt;&gt;"Done",J71&lt;&gt;"Not applicable",O71&gt;G71),"Target date is after the duty applies. ","")&amp;IF(AND(N71="High",L71="",J71&lt;&gt;"Done",J71&lt;&gt;"Not applicable"),"High priority with no owner. ","")&amp;IF(AND(J71="Done",K71=""),"Done but no evidence location. ","")&amp;IF(AND(J71="Not applicable",M71=""),"Say why it is not applicable. ",""))</f>
        <v/>
      </c>
      <c r="R71" s="32" t="str">
        <f aca="false">IF(AND(A71&lt;&gt;"",N71="High",J71&lt;&gt;"Done",J71&lt;&gt;"Not applicable"),COUNTIFS($A$6:A71,"&lt;&gt;",$N$6:N71,"High",$J$6:J71,"&lt;&gt;Done",$J$6:J71,"&lt;&gt;Not applicable"),"")</f>
        <v/>
      </c>
    </row>
    <row r="72" customFormat="false" ht="27.75" hidden="false" customHeight="true" outlineLevel="0" collapsed="false">
      <c r="A72" s="28" t="s">
        <v>336</v>
      </c>
      <c r="B72" s="28" t="s">
        <v>50</v>
      </c>
      <c r="C72" s="28" t="s">
        <v>337</v>
      </c>
      <c r="D72" s="28" t="s">
        <v>338</v>
      </c>
      <c r="E72" s="28" t="s">
        <v>140</v>
      </c>
      <c r="F72" s="29" t="n">
        <v>3</v>
      </c>
      <c r="G72" s="30" t="n">
        <f aca="false">IF(F72="","",INDEX(Timeline!$C$8:$C$10,F72))</f>
        <v>46520</v>
      </c>
      <c r="H72" s="31" t="s">
        <v>92</v>
      </c>
      <c r="I72" s="32" t="str">
        <f aca="false">IF(H72="","",IF(H72="ALL","Yes",IF(IFERROR(INDEX('Applicability Screen'!$E$8:$E$20,MATCH(H72,'Applicability Screen'!$G$8:$G$20,0)),"")="","Answer screen",INDEX('Applicability Screen'!$E$8:$E$20,MATCH(H72,'Applicability Screen'!$G$8:$G$20,0)))))</f>
        <v>Answer screen</v>
      </c>
      <c r="J72" s="33"/>
      <c r="K72" s="33"/>
      <c r="L72" s="33"/>
      <c r="M72" s="33"/>
      <c r="N72" s="33"/>
      <c r="O72" s="34"/>
      <c r="P72" s="32" t="str">
        <f aca="true">IF(OR(O72="",J72="Done",J72="Not applicable"),"",IF(O72&lt;TODAY(),"OVERDUE",""))</f>
        <v/>
      </c>
      <c r="Q72" s="32" t="str">
        <f aca="true">IF(AND(A72="",D72=""),"",IF(AND(I72="No",J72&lt;&gt;"Not applicable"),"Screen says not triggered - confirm or mark Not applicable. ","")&amp;IF(AND(G72&lt;&gt;"",J72&lt;&gt;"Done",J72&lt;&gt;"Not applicable",G72&lt;=TODAY()),"Duty already in force. ","")&amp;IF(AND(O72&lt;&gt;"",G72&lt;&gt;"",J72&lt;&gt;"Done",J72&lt;&gt;"Not applicable",O72&gt;G72),"Target date is after the duty applies. ","")&amp;IF(AND(N72="High",L72="",J72&lt;&gt;"Done",J72&lt;&gt;"Not applicable"),"High priority with no owner. ","")&amp;IF(AND(J72="Done",K72=""),"Done but no evidence location. ","")&amp;IF(AND(J72="Not applicable",M72=""),"Say why it is not applicable. ",""))</f>
        <v/>
      </c>
      <c r="R72" s="32" t="str">
        <f aca="false">IF(AND(A72&lt;&gt;"",N72="High",J72&lt;&gt;"Done",J72&lt;&gt;"Not applicable"),COUNTIFS($A$6:A72,"&lt;&gt;",$N$6:N72,"High",$J$6:J72,"&lt;&gt;Done",$J$6:J72,"&lt;&gt;Not applicable"),"")</f>
        <v/>
      </c>
    </row>
    <row r="73" customFormat="false" ht="87.75" hidden="false" customHeight="true" outlineLevel="0" collapsed="false">
      <c r="A73" s="28" t="s">
        <v>339</v>
      </c>
      <c r="B73" s="28" t="s">
        <v>50</v>
      </c>
      <c r="C73" s="28" t="s">
        <v>340</v>
      </c>
      <c r="D73" s="28" t="s">
        <v>341</v>
      </c>
      <c r="E73" s="28" t="s">
        <v>140</v>
      </c>
      <c r="F73" s="29" t="n">
        <v>3</v>
      </c>
      <c r="G73" s="30" t="n">
        <f aca="false">IF(F73="","",INDEX(Timeline!$C$8:$C$10,F73))</f>
        <v>46520</v>
      </c>
      <c r="H73" s="31" t="s">
        <v>92</v>
      </c>
      <c r="I73" s="32" t="str">
        <f aca="false">IF(H73="","",IF(H73="ALL","Yes",IF(IFERROR(INDEX('Applicability Screen'!$E$8:$E$20,MATCH(H73,'Applicability Screen'!$G$8:$G$20,0)),"")="","Answer screen",INDEX('Applicability Screen'!$E$8:$E$20,MATCH(H73,'Applicability Screen'!$G$8:$G$20,0)))))</f>
        <v>Answer screen</v>
      </c>
      <c r="J73" s="33"/>
      <c r="K73" s="33"/>
      <c r="L73" s="33"/>
      <c r="M73" s="33"/>
      <c r="N73" s="33"/>
      <c r="O73" s="34"/>
      <c r="P73" s="32" t="str">
        <f aca="true">IF(OR(O73="",J73="Done",J73="Not applicable"),"",IF(O73&lt;TODAY(),"OVERDUE",""))</f>
        <v/>
      </c>
      <c r="Q73" s="32" t="str">
        <f aca="true">IF(AND(A73="",D73=""),"",IF(AND(I73="No",J73&lt;&gt;"Not applicable"),"Screen says not triggered - confirm or mark Not applicable. ","")&amp;IF(AND(G73&lt;&gt;"",J73&lt;&gt;"Done",J73&lt;&gt;"Not applicable",G73&lt;=TODAY()),"Duty already in force. ","")&amp;IF(AND(O73&lt;&gt;"",G73&lt;&gt;"",J73&lt;&gt;"Done",J73&lt;&gt;"Not applicable",O73&gt;G73),"Target date is after the duty applies. ","")&amp;IF(AND(N73="High",L73="",J73&lt;&gt;"Done",J73&lt;&gt;"Not applicable"),"High priority with no owner. ","")&amp;IF(AND(J73="Done",K73=""),"Done but no evidence location. ","")&amp;IF(AND(J73="Not applicable",M73=""),"Say why it is not applicable. ",""))</f>
        <v/>
      </c>
      <c r="R73" s="32" t="str">
        <f aca="false">IF(AND(A73&lt;&gt;"",N73="High",J73&lt;&gt;"Done",J73&lt;&gt;"Not applicable"),COUNTIFS($A$6:A73,"&lt;&gt;",$N$6:N73,"High",$J$6:J73,"&lt;&gt;Done",$J$6:J73,"&lt;&gt;Not applicable"),"")</f>
        <v/>
      </c>
    </row>
    <row r="74" customFormat="false" ht="51.75" hidden="false" customHeight="true" outlineLevel="0" collapsed="false">
      <c r="A74" s="28" t="s">
        <v>342</v>
      </c>
      <c r="B74" s="28" t="s">
        <v>50</v>
      </c>
      <c r="C74" s="28" t="s">
        <v>94</v>
      </c>
      <c r="D74" s="28" t="s">
        <v>343</v>
      </c>
      <c r="E74" s="28" t="s">
        <v>140</v>
      </c>
      <c r="F74" s="29" t="n">
        <v>3</v>
      </c>
      <c r="G74" s="30" t="n">
        <f aca="false">IF(F74="","",INDEX(Timeline!$C$8:$C$10,F74))</f>
        <v>46520</v>
      </c>
      <c r="H74" s="31" t="s">
        <v>95</v>
      </c>
      <c r="I74" s="32" t="str">
        <f aca="false">IF(H74="","",IF(H74="ALL","Yes",IF(IFERROR(INDEX('Applicability Screen'!$E$8:$E$20,MATCH(H74,'Applicability Screen'!$G$8:$G$20,0)),"")="","Answer screen",INDEX('Applicability Screen'!$E$8:$E$20,MATCH(H74,'Applicability Screen'!$G$8:$G$20,0)))))</f>
        <v>Answer screen</v>
      </c>
      <c r="J74" s="33"/>
      <c r="K74" s="33"/>
      <c r="L74" s="33"/>
      <c r="M74" s="33"/>
      <c r="N74" s="33"/>
      <c r="O74" s="34"/>
      <c r="P74" s="32" t="str">
        <f aca="true">IF(OR(O74="",J74="Done",J74="Not applicable"),"",IF(O74&lt;TODAY(),"OVERDUE",""))</f>
        <v/>
      </c>
      <c r="Q74" s="32" t="str">
        <f aca="true">IF(AND(A74="",D74=""),"",IF(AND(I74="No",J74&lt;&gt;"Not applicable"),"Screen says not triggered - confirm or mark Not applicable. ","")&amp;IF(AND(G74&lt;&gt;"",J74&lt;&gt;"Done",J74&lt;&gt;"Not applicable",G74&lt;=TODAY()),"Duty already in force. ","")&amp;IF(AND(O74&lt;&gt;"",G74&lt;&gt;"",J74&lt;&gt;"Done",J74&lt;&gt;"Not applicable",O74&gt;G74),"Target date is after the duty applies. ","")&amp;IF(AND(N74="High",L74="",J74&lt;&gt;"Done",J74&lt;&gt;"Not applicable"),"High priority with no owner. ","")&amp;IF(AND(J74="Done",K74=""),"Done but no evidence location. ","")&amp;IF(AND(J74="Not applicable",M74=""),"Say why it is not applicable. ",""))</f>
        <v/>
      </c>
      <c r="R74" s="32" t="str">
        <f aca="false">IF(AND(A74&lt;&gt;"",N74="High",J74&lt;&gt;"Done",J74&lt;&gt;"Not applicable"),COUNTIFS($A$6:A74,"&lt;&gt;",$N$6:N74,"High",$J$6:J74,"&lt;&gt;Done",$J$6:J74,"&lt;&gt;Not applicable"),"")</f>
        <v/>
      </c>
    </row>
    <row r="75" customFormat="false" ht="39.75" hidden="false" customHeight="true" outlineLevel="0" collapsed="false">
      <c r="A75" s="28" t="s">
        <v>344</v>
      </c>
      <c r="B75" s="28" t="s">
        <v>51</v>
      </c>
      <c r="C75" s="28" t="s">
        <v>345</v>
      </c>
      <c r="D75" s="28" t="s">
        <v>346</v>
      </c>
      <c r="E75" s="28" t="s">
        <v>51</v>
      </c>
      <c r="F75" s="29" t="n">
        <v>3</v>
      </c>
      <c r="G75" s="30" t="n">
        <f aca="false">IF(F75="","",INDEX(Timeline!$C$8:$C$10,F75))</f>
        <v>46520</v>
      </c>
      <c r="H75" s="31" t="s">
        <v>89</v>
      </c>
      <c r="I75" s="32" t="str">
        <f aca="false">IF(H75="","",IF(H75="ALL","Yes",IF(IFERROR(INDEX('Applicability Screen'!$E$8:$E$20,MATCH(H75,'Applicability Screen'!$G$8:$G$20,0)),"")="","Answer screen",INDEX('Applicability Screen'!$E$8:$E$20,MATCH(H75,'Applicability Screen'!$G$8:$G$20,0)))))</f>
        <v>Answer screen</v>
      </c>
      <c r="J75" s="33"/>
      <c r="K75" s="33"/>
      <c r="L75" s="33"/>
      <c r="M75" s="33"/>
      <c r="N75" s="33"/>
      <c r="O75" s="34"/>
      <c r="P75" s="32" t="str">
        <f aca="true">IF(OR(O75="",J75="Done",J75="Not applicable"),"",IF(O75&lt;TODAY(),"OVERDUE",""))</f>
        <v/>
      </c>
      <c r="Q75" s="32" t="str">
        <f aca="true">IF(AND(A75="",D75=""),"",IF(AND(I75="No",J75&lt;&gt;"Not applicable"),"Screen says not triggered - confirm or mark Not applicable. ","")&amp;IF(AND(G75&lt;&gt;"",J75&lt;&gt;"Done",J75&lt;&gt;"Not applicable",G75&lt;=TODAY()),"Duty already in force. ","")&amp;IF(AND(O75&lt;&gt;"",G75&lt;&gt;"",J75&lt;&gt;"Done",J75&lt;&gt;"Not applicable",O75&gt;G75),"Target date is after the duty applies. ","")&amp;IF(AND(N75="High",L75="",J75&lt;&gt;"Done",J75&lt;&gt;"Not applicable"),"High priority with no owner. ","")&amp;IF(AND(J75="Done",K75=""),"Done but no evidence location. ","")&amp;IF(AND(J75="Not applicable",M75=""),"Say why it is not applicable. ",""))</f>
        <v/>
      </c>
      <c r="R75" s="32" t="str">
        <f aca="false">IF(AND(A75&lt;&gt;"",N75="High",J75&lt;&gt;"Done",J75&lt;&gt;"Not applicable"),COUNTIFS($A$6:A75,"&lt;&gt;",$N$6:N75,"High",$J$6:J75,"&lt;&gt;Done",$J$6:J75,"&lt;&gt;Not applicable"),"")</f>
        <v/>
      </c>
    </row>
    <row r="76" customFormat="false" ht="27.75" hidden="false" customHeight="true" outlineLevel="0" collapsed="false">
      <c r="A76" s="28" t="s">
        <v>347</v>
      </c>
      <c r="B76" s="28" t="s">
        <v>51</v>
      </c>
      <c r="C76" s="28" t="s">
        <v>348</v>
      </c>
      <c r="D76" s="28" t="s">
        <v>349</v>
      </c>
      <c r="E76" s="28" t="s">
        <v>51</v>
      </c>
      <c r="F76" s="29" t="n">
        <v>3</v>
      </c>
      <c r="G76" s="30" t="n">
        <f aca="false">IF(F76="","",INDEX(Timeline!$C$8:$C$10,F76))</f>
        <v>46520</v>
      </c>
      <c r="H76" s="31" t="s">
        <v>89</v>
      </c>
      <c r="I76" s="32" t="str">
        <f aca="false">IF(H76="","",IF(H76="ALL","Yes",IF(IFERROR(INDEX('Applicability Screen'!$E$8:$E$20,MATCH(H76,'Applicability Screen'!$G$8:$G$20,0)),"")="","Answer screen",INDEX('Applicability Screen'!$E$8:$E$20,MATCH(H76,'Applicability Screen'!$G$8:$G$20,0)))))</f>
        <v>Answer screen</v>
      </c>
      <c r="J76" s="33"/>
      <c r="K76" s="33"/>
      <c r="L76" s="33"/>
      <c r="M76" s="33"/>
      <c r="N76" s="33"/>
      <c r="O76" s="34"/>
      <c r="P76" s="32" t="str">
        <f aca="true">IF(OR(O76="",J76="Done",J76="Not applicable"),"",IF(O76&lt;TODAY(),"OVERDUE",""))</f>
        <v/>
      </c>
      <c r="Q76" s="32" t="str">
        <f aca="true">IF(AND(A76="",D76=""),"",IF(AND(I76="No",J76&lt;&gt;"Not applicable"),"Screen says not triggered - confirm or mark Not applicable. ","")&amp;IF(AND(G76&lt;&gt;"",J76&lt;&gt;"Done",J76&lt;&gt;"Not applicable",G76&lt;=TODAY()),"Duty already in force. ","")&amp;IF(AND(O76&lt;&gt;"",G76&lt;&gt;"",J76&lt;&gt;"Done",J76&lt;&gt;"Not applicable",O76&gt;G76),"Target date is after the duty applies. ","")&amp;IF(AND(N76="High",L76="",J76&lt;&gt;"Done",J76&lt;&gt;"Not applicable"),"High priority with no owner. ","")&amp;IF(AND(J76="Done",K76=""),"Done but no evidence location. ","")&amp;IF(AND(J76="Not applicable",M76=""),"Say why it is not applicable. ",""))</f>
        <v/>
      </c>
      <c r="R76" s="32" t="str">
        <f aca="false">IF(AND(A76&lt;&gt;"",N76="High",J76&lt;&gt;"Done",J76&lt;&gt;"Not applicable"),COUNTIFS($A$6:A76,"&lt;&gt;",$N$6:N76,"High",$J$6:J76,"&lt;&gt;Done",$J$6:J76,"&lt;&gt;Not applicable"),"")</f>
        <v/>
      </c>
    </row>
    <row r="77" customFormat="false" ht="51.75" hidden="false" customHeight="true" outlineLevel="0" collapsed="false">
      <c r="A77" s="28" t="s">
        <v>350</v>
      </c>
      <c r="B77" s="28" t="s">
        <v>51</v>
      </c>
      <c r="C77" s="28" t="s">
        <v>351</v>
      </c>
      <c r="D77" s="28" t="s">
        <v>352</v>
      </c>
      <c r="E77" s="28" t="s">
        <v>51</v>
      </c>
      <c r="F77" s="29" t="n">
        <v>3</v>
      </c>
      <c r="G77" s="30" t="n">
        <f aca="false">IF(F77="","",INDEX(Timeline!$C$8:$C$10,F77))</f>
        <v>46520</v>
      </c>
      <c r="H77" s="31" t="s">
        <v>89</v>
      </c>
      <c r="I77" s="32" t="str">
        <f aca="false">IF(H77="","",IF(H77="ALL","Yes",IF(IFERROR(INDEX('Applicability Screen'!$E$8:$E$20,MATCH(H77,'Applicability Screen'!$G$8:$G$20,0)),"")="","Answer screen",INDEX('Applicability Screen'!$E$8:$E$20,MATCH(H77,'Applicability Screen'!$G$8:$G$20,0)))))</f>
        <v>Answer screen</v>
      </c>
      <c r="J77" s="33"/>
      <c r="K77" s="33"/>
      <c r="L77" s="33"/>
      <c r="M77" s="33"/>
      <c r="N77" s="33"/>
      <c r="O77" s="34"/>
      <c r="P77" s="32" t="str">
        <f aca="true">IF(OR(O77="",J77="Done",J77="Not applicable"),"",IF(O77&lt;TODAY(),"OVERDUE",""))</f>
        <v/>
      </c>
      <c r="Q77" s="32" t="str">
        <f aca="true">IF(AND(A77="",D77=""),"",IF(AND(I77="No",J77&lt;&gt;"Not applicable"),"Screen says not triggered - confirm or mark Not applicable. ","")&amp;IF(AND(G77&lt;&gt;"",J77&lt;&gt;"Done",J77&lt;&gt;"Not applicable",G77&lt;=TODAY()),"Duty already in force. ","")&amp;IF(AND(O77&lt;&gt;"",G77&lt;&gt;"",J77&lt;&gt;"Done",J77&lt;&gt;"Not applicable",O77&gt;G77),"Target date is after the duty applies. ","")&amp;IF(AND(N77="High",L77="",J77&lt;&gt;"Done",J77&lt;&gt;"Not applicable"),"High priority with no owner. ","")&amp;IF(AND(J77="Done",K77=""),"Done but no evidence location. ","")&amp;IF(AND(J77="Not applicable",M77=""),"Say why it is not applicable. ",""))</f>
        <v/>
      </c>
      <c r="R77" s="32" t="str">
        <f aca="false">IF(AND(A77&lt;&gt;"",N77="High",J77&lt;&gt;"Done",J77&lt;&gt;"Not applicable"),COUNTIFS($A$6:A77,"&lt;&gt;",$N$6:N77,"High",$J$6:J77,"&lt;&gt;Done",$J$6:J77,"&lt;&gt;Not applicable"),"")</f>
        <v/>
      </c>
    </row>
    <row r="78" customFormat="false" ht="27.75" hidden="false" customHeight="true" outlineLevel="0" collapsed="false">
      <c r="A78" s="28" t="s">
        <v>353</v>
      </c>
      <c r="B78" s="28" t="s">
        <v>51</v>
      </c>
      <c r="C78" s="28" t="s">
        <v>354</v>
      </c>
      <c r="D78" s="28" t="s">
        <v>355</v>
      </c>
      <c r="E78" s="28" t="s">
        <v>51</v>
      </c>
      <c r="F78" s="29" t="n">
        <v>3</v>
      </c>
      <c r="G78" s="30" t="n">
        <f aca="false">IF(F78="","",INDEX(Timeline!$C$8:$C$10,F78))</f>
        <v>46520</v>
      </c>
      <c r="H78" s="31" t="s">
        <v>89</v>
      </c>
      <c r="I78" s="32" t="str">
        <f aca="false">IF(H78="","",IF(H78="ALL","Yes",IF(IFERROR(INDEX('Applicability Screen'!$E$8:$E$20,MATCH(H78,'Applicability Screen'!$G$8:$G$20,0)),"")="","Answer screen",INDEX('Applicability Screen'!$E$8:$E$20,MATCH(H78,'Applicability Screen'!$G$8:$G$20,0)))))</f>
        <v>Answer screen</v>
      </c>
      <c r="J78" s="33"/>
      <c r="K78" s="33"/>
      <c r="L78" s="33"/>
      <c r="M78" s="33"/>
      <c r="N78" s="33"/>
      <c r="O78" s="34"/>
      <c r="P78" s="32" t="str">
        <f aca="true">IF(OR(O78="",J78="Done",J78="Not applicable"),"",IF(O78&lt;TODAY(),"OVERDUE",""))</f>
        <v/>
      </c>
      <c r="Q78" s="32" t="str">
        <f aca="true">IF(AND(A78="",D78=""),"",IF(AND(I78="No",J78&lt;&gt;"Not applicable"),"Screen says not triggered - confirm or mark Not applicable. ","")&amp;IF(AND(G78&lt;&gt;"",J78&lt;&gt;"Done",J78&lt;&gt;"Not applicable",G78&lt;=TODAY()),"Duty already in force. ","")&amp;IF(AND(O78&lt;&gt;"",G78&lt;&gt;"",J78&lt;&gt;"Done",J78&lt;&gt;"Not applicable",O78&gt;G78),"Target date is after the duty applies. ","")&amp;IF(AND(N78="High",L78="",J78&lt;&gt;"Done",J78&lt;&gt;"Not applicable"),"High priority with no owner. ","")&amp;IF(AND(J78="Done",K78=""),"Done but no evidence location. ","")&amp;IF(AND(J78="Not applicable",M78=""),"Say why it is not applicable. ",""))</f>
        <v/>
      </c>
      <c r="R78" s="32" t="str">
        <f aca="false">IF(AND(A78&lt;&gt;"",N78="High",J78&lt;&gt;"Done",J78&lt;&gt;"Not applicable"),COUNTIFS($A$6:A78,"&lt;&gt;",$N$6:N78,"High",$J$6:J78,"&lt;&gt;Done",$J$6:J78,"&lt;&gt;Not applicable"),"")</f>
        <v/>
      </c>
    </row>
    <row r="79" customFormat="false" ht="27.75" hidden="false" customHeight="true" outlineLevel="0" collapsed="false">
      <c r="A79" s="28" t="s">
        <v>356</v>
      </c>
      <c r="B79" s="28" t="s">
        <v>51</v>
      </c>
      <c r="C79" s="28" t="s">
        <v>357</v>
      </c>
      <c r="D79" s="28" t="s">
        <v>358</v>
      </c>
      <c r="E79" s="28" t="s">
        <v>51</v>
      </c>
      <c r="F79" s="29" t="n">
        <v>3</v>
      </c>
      <c r="G79" s="30" t="n">
        <f aca="false">IF(F79="","",INDEX(Timeline!$C$8:$C$10,F79))</f>
        <v>46520</v>
      </c>
      <c r="H79" s="31" t="s">
        <v>89</v>
      </c>
      <c r="I79" s="32" t="str">
        <f aca="false">IF(H79="","",IF(H79="ALL","Yes",IF(IFERROR(INDEX('Applicability Screen'!$E$8:$E$20,MATCH(H79,'Applicability Screen'!$G$8:$G$20,0)),"")="","Answer screen",INDEX('Applicability Screen'!$E$8:$E$20,MATCH(H79,'Applicability Screen'!$G$8:$G$20,0)))))</f>
        <v>Answer screen</v>
      </c>
      <c r="J79" s="33"/>
      <c r="K79" s="33"/>
      <c r="L79" s="33"/>
      <c r="M79" s="33"/>
      <c r="N79" s="33"/>
      <c r="O79" s="34"/>
      <c r="P79" s="32" t="str">
        <f aca="true">IF(OR(O79="",J79="Done",J79="Not applicable"),"",IF(O79&lt;TODAY(),"OVERDUE",""))</f>
        <v/>
      </c>
      <c r="Q79" s="32" t="str">
        <f aca="true">IF(AND(A79="",D79=""),"",IF(AND(I79="No",J79&lt;&gt;"Not applicable"),"Screen says not triggered - confirm or mark Not applicable. ","")&amp;IF(AND(G79&lt;&gt;"",J79&lt;&gt;"Done",J79&lt;&gt;"Not applicable",G79&lt;=TODAY()),"Duty already in force. ","")&amp;IF(AND(O79&lt;&gt;"",G79&lt;&gt;"",J79&lt;&gt;"Done",J79&lt;&gt;"Not applicable",O79&gt;G79),"Target date is after the duty applies. ","")&amp;IF(AND(N79="High",L79="",J79&lt;&gt;"Done",J79&lt;&gt;"Not applicable"),"High priority with no owner. ","")&amp;IF(AND(J79="Done",K79=""),"Done but no evidence location. ","")&amp;IF(AND(J79="Not applicable",M79=""),"Say why it is not applicable. ",""))</f>
        <v/>
      </c>
      <c r="R79" s="32" t="str">
        <f aca="false">IF(AND(A79&lt;&gt;"",N79="High",J79&lt;&gt;"Done",J79&lt;&gt;"Not applicable"),COUNTIFS($A$6:A79,"&lt;&gt;",$N$6:N79,"High",$J$6:J79,"&lt;&gt;Done",$J$6:J79,"&lt;&gt;Not applicable"),"")</f>
        <v/>
      </c>
    </row>
    <row r="80" customFormat="false" ht="51.75" hidden="false" customHeight="true" outlineLevel="0" collapsed="false">
      <c r="A80" s="28" t="s">
        <v>359</v>
      </c>
      <c r="B80" s="28" t="s">
        <v>51</v>
      </c>
      <c r="C80" s="28" t="s">
        <v>360</v>
      </c>
      <c r="D80" s="28" t="s">
        <v>361</v>
      </c>
      <c r="E80" s="28" t="s">
        <v>51</v>
      </c>
      <c r="F80" s="29" t="n">
        <v>3</v>
      </c>
      <c r="G80" s="30" t="n">
        <f aca="false">IF(F80="","",INDEX(Timeline!$C$8:$C$10,F80))</f>
        <v>46520</v>
      </c>
      <c r="H80" s="31" t="s">
        <v>89</v>
      </c>
      <c r="I80" s="32" t="str">
        <f aca="false">IF(H80="","",IF(H80="ALL","Yes",IF(IFERROR(INDEX('Applicability Screen'!$E$8:$E$20,MATCH(H80,'Applicability Screen'!$G$8:$G$20,0)),"")="","Answer screen",INDEX('Applicability Screen'!$E$8:$E$20,MATCH(H80,'Applicability Screen'!$G$8:$G$20,0)))))</f>
        <v>Answer screen</v>
      </c>
      <c r="J80" s="33"/>
      <c r="K80" s="33"/>
      <c r="L80" s="33"/>
      <c r="M80" s="33"/>
      <c r="N80" s="33"/>
      <c r="O80" s="34"/>
      <c r="P80" s="32" t="str">
        <f aca="true">IF(OR(O80="",J80="Done",J80="Not applicable"),"",IF(O80&lt;TODAY(),"OVERDUE",""))</f>
        <v/>
      </c>
      <c r="Q80" s="32" t="str">
        <f aca="true">IF(AND(A80="",D80=""),"",IF(AND(I80="No",J80&lt;&gt;"Not applicable"),"Screen says not triggered - confirm or mark Not applicable. ","")&amp;IF(AND(G80&lt;&gt;"",J80&lt;&gt;"Done",J80&lt;&gt;"Not applicable",G80&lt;=TODAY()),"Duty already in force. ","")&amp;IF(AND(O80&lt;&gt;"",G80&lt;&gt;"",J80&lt;&gt;"Done",J80&lt;&gt;"Not applicable",O80&gt;G80),"Target date is after the duty applies. ","")&amp;IF(AND(N80="High",L80="",J80&lt;&gt;"Done",J80&lt;&gt;"Not applicable"),"High priority with no owner. ","")&amp;IF(AND(J80="Done",K80=""),"Done but no evidence location. ","")&amp;IF(AND(J80="Not applicable",M80=""),"Say why it is not applicable. ",""))</f>
        <v/>
      </c>
      <c r="R80" s="32" t="str">
        <f aca="false">IF(AND(A80&lt;&gt;"",N80="High",J80&lt;&gt;"Done",J80&lt;&gt;"Not applicable"),COUNTIFS($A$6:A80,"&lt;&gt;",$N$6:N80,"High",$J$6:J80,"&lt;&gt;Done",$J$6:J80,"&lt;&gt;Not applicable"),"")</f>
        <v/>
      </c>
    </row>
    <row r="81" customFormat="false" ht="39.75" hidden="false" customHeight="true" outlineLevel="0" collapsed="false">
      <c r="A81" s="28" t="s">
        <v>362</v>
      </c>
      <c r="B81" s="28" t="s">
        <v>51</v>
      </c>
      <c r="C81" s="28" t="s">
        <v>363</v>
      </c>
      <c r="D81" s="28" t="s">
        <v>364</v>
      </c>
      <c r="E81" s="28" t="s">
        <v>51</v>
      </c>
      <c r="F81" s="29" t="n">
        <v>3</v>
      </c>
      <c r="G81" s="30" t="n">
        <f aca="false">IF(F81="","",INDEX(Timeline!$C$8:$C$10,F81))</f>
        <v>46520</v>
      </c>
      <c r="H81" s="31" t="s">
        <v>89</v>
      </c>
      <c r="I81" s="32" t="str">
        <f aca="false">IF(H81="","",IF(H81="ALL","Yes",IF(IFERROR(INDEX('Applicability Screen'!$E$8:$E$20,MATCH(H81,'Applicability Screen'!$G$8:$G$20,0)),"")="","Answer screen",INDEX('Applicability Screen'!$E$8:$E$20,MATCH(H81,'Applicability Screen'!$G$8:$G$20,0)))))</f>
        <v>Answer screen</v>
      </c>
      <c r="J81" s="33"/>
      <c r="K81" s="33"/>
      <c r="L81" s="33"/>
      <c r="M81" s="33"/>
      <c r="N81" s="33"/>
      <c r="O81" s="34"/>
      <c r="P81" s="32" t="str">
        <f aca="true">IF(OR(O81="",J81="Done",J81="Not applicable"),"",IF(O81&lt;TODAY(),"OVERDUE",""))</f>
        <v/>
      </c>
      <c r="Q81" s="32" t="str">
        <f aca="true">IF(AND(A81="",D81=""),"",IF(AND(I81="No",J81&lt;&gt;"Not applicable"),"Screen says not triggered - confirm or mark Not applicable. ","")&amp;IF(AND(G81&lt;&gt;"",J81&lt;&gt;"Done",J81&lt;&gt;"Not applicable",G81&lt;=TODAY()),"Duty already in force. ","")&amp;IF(AND(O81&lt;&gt;"",G81&lt;&gt;"",J81&lt;&gt;"Done",J81&lt;&gt;"Not applicable",O81&gt;G81),"Target date is after the duty applies. ","")&amp;IF(AND(N81="High",L81="",J81&lt;&gt;"Done",J81&lt;&gt;"Not applicable"),"High priority with no owner. ","")&amp;IF(AND(J81="Done",K81=""),"Done but no evidence location. ","")&amp;IF(AND(J81="Not applicable",M81=""),"Say why it is not applicable. ",""))</f>
        <v/>
      </c>
      <c r="R81" s="32" t="str">
        <f aca="false">IF(AND(A81&lt;&gt;"",N81="High",J81&lt;&gt;"Done",J81&lt;&gt;"Not applicable"),COUNTIFS($A$6:A81,"&lt;&gt;",$N$6:N81,"High",$J$6:J81,"&lt;&gt;Done",$J$6:J81,"&lt;&gt;Not applicable"),"")</f>
        <v/>
      </c>
    </row>
    <row r="82" customFormat="false" ht="39.75" hidden="false" customHeight="true" outlineLevel="0" collapsed="false">
      <c r="A82" s="28" t="s">
        <v>365</v>
      </c>
      <c r="B82" s="28" t="s">
        <v>52</v>
      </c>
      <c r="C82" s="28" t="s">
        <v>366</v>
      </c>
      <c r="D82" s="28" t="s">
        <v>367</v>
      </c>
      <c r="E82" s="28" t="s">
        <v>298</v>
      </c>
      <c r="F82" s="29" t="n">
        <v>3</v>
      </c>
      <c r="G82" s="30" t="n">
        <f aca="false">IF(F82="","",INDEX(Timeline!$C$8:$C$10,F82))</f>
        <v>46520</v>
      </c>
      <c r="H82" s="31" t="s">
        <v>83</v>
      </c>
      <c r="I82" s="32" t="str">
        <f aca="false">IF(H82="","",IF(H82="ALL","Yes",IF(IFERROR(INDEX('Applicability Screen'!$E$8:$E$20,MATCH(H82,'Applicability Screen'!$G$8:$G$20,0)),"")="","Answer screen",INDEX('Applicability Screen'!$E$8:$E$20,MATCH(H82,'Applicability Screen'!$G$8:$G$20,0)))))</f>
        <v>Answer screen</v>
      </c>
      <c r="J82" s="33"/>
      <c r="K82" s="33"/>
      <c r="L82" s="33"/>
      <c r="M82" s="33"/>
      <c r="N82" s="33"/>
      <c r="O82" s="34"/>
      <c r="P82" s="32" t="str">
        <f aca="true">IF(OR(O82="",J82="Done",J82="Not applicable"),"",IF(O82&lt;TODAY(),"OVERDUE",""))</f>
        <v/>
      </c>
      <c r="Q82" s="32" t="str">
        <f aca="true">IF(AND(A82="",D82=""),"",IF(AND(I82="No",J82&lt;&gt;"Not applicable"),"Screen says not triggered - confirm or mark Not applicable. ","")&amp;IF(AND(G82&lt;&gt;"",J82&lt;&gt;"Done",J82&lt;&gt;"Not applicable",G82&lt;=TODAY()),"Duty already in force. ","")&amp;IF(AND(O82&lt;&gt;"",G82&lt;&gt;"",J82&lt;&gt;"Done",J82&lt;&gt;"Not applicable",O82&gt;G82),"Target date is after the duty applies. ","")&amp;IF(AND(N82="High",L82="",J82&lt;&gt;"Done",J82&lt;&gt;"Not applicable"),"High priority with no owner. ","")&amp;IF(AND(J82="Done",K82=""),"Done but no evidence location. ","")&amp;IF(AND(J82="Not applicable",M82=""),"Say why it is not applicable. ",""))</f>
        <v/>
      </c>
      <c r="R82" s="32" t="str">
        <f aca="false">IF(AND(A82&lt;&gt;"",N82="High",J82&lt;&gt;"Done",J82&lt;&gt;"Not applicable"),COUNTIFS($A$6:A82,"&lt;&gt;",$N$6:N82,"High",$J$6:J82,"&lt;&gt;Done",$J$6:J82,"&lt;&gt;Not applicable"),"")</f>
        <v/>
      </c>
    </row>
    <row r="83" customFormat="false" ht="39.75" hidden="false" customHeight="true" outlineLevel="0" collapsed="false">
      <c r="A83" s="28" t="s">
        <v>368</v>
      </c>
      <c r="B83" s="28" t="s">
        <v>52</v>
      </c>
      <c r="C83" s="28" t="s">
        <v>369</v>
      </c>
      <c r="D83" s="28" t="s">
        <v>370</v>
      </c>
      <c r="E83" s="28" t="s">
        <v>140</v>
      </c>
      <c r="F83" s="29" t="n">
        <v>3</v>
      </c>
      <c r="G83" s="30" t="n">
        <f aca="false">IF(F83="","",INDEX(Timeline!$C$8:$C$10,F83))</f>
        <v>46520</v>
      </c>
      <c r="H83" s="31" t="s">
        <v>83</v>
      </c>
      <c r="I83" s="32" t="str">
        <f aca="false">IF(H83="","",IF(H83="ALL","Yes",IF(IFERROR(INDEX('Applicability Screen'!$E$8:$E$20,MATCH(H83,'Applicability Screen'!$G$8:$G$20,0)),"")="","Answer screen",INDEX('Applicability Screen'!$E$8:$E$20,MATCH(H83,'Applicability Screen'!$G$8:$G$20,0)))))</f>
        <v>Answer screen</v>
      </c>
      <c r="J83" s="33"/>
      <c r="K83" s="33"/>
      <c r="L83" s="33"/>
      <c r="M83" s="33"/>
      <c r="N83" s="33"/>
      <c r="O83" s="34"/>
      <c r="P83" s="32" t="str">
        <f aca="true">IF(OR(O83="",J83="Done",J83="Not applicable"),"",IF(O83&lt;TODAY(),"OVERDUE",""))</f>
        <v/>
      </c>
      <c r="Q83" s="32" t="str">
        <f aca="true">IF(AND(A83="",D83=""),"",IF(AND(I83="No",J83&lt;&gt;"Not applicable"),"Screen says not triggered - confirm or mark Not applicable. ","")&amp;IF(AND(G83&lt;&gt;"",J83&lt;&gt;"Done",J83&lt;&gt;"Not applicable",G83&lt;=TODAY()),"Duty already in force. ","")&amp;IF(AND(O83&lt;&gt;"",G83&lt;&gt;"",J83&lt;&gt;"Done",J83&lt;&gt;"Not applicable",O83&gt;G83),"Target date is after the duty applies. ","")&amp;IF(AND(N83="High",L83="",J83&lt;&gt;"Done",J83&lt;&gt;"Not applicable"),"High priority with no owner. ","")&amp;IF(AND(J83="Done",K83=""),"Done but no evidence location. ","")&amp;IF(AND(J83="Not applicable",M83=""),"Say why it is not applicable. ",""))</f>
        <v/>
      </c>
      <c r="R83" s="32" t="str">
        <f aca="false">IF(AND(A83&lt;&gt;"",N83="High",J83&lt;&gt;"Done",J83&lt;&gt;"Not applicable"),COUNTIFS($A$6:A83,"&lt;&gt;",$N$6:N83,"High",$J$6:J83,"&lt;&gt;Done",$J$6:J83,"&lt;&gt;Not applicable"),"")</f>
        <v/>
      </c>
    </row>
    <row r="84" customFormat="false" ht="63.75" hidden="false" customHeight="true" outlineLevel="0" collapsed="false">
      <c r="A84" s="28" t="s">
        <v>371</v>
      </c>
      <c r="B84" s="28" t="s">
        <v>52</v>
      </c>
      <c r="C84" s="28" t="s">
        <v>372</v>
      </c>
      <c r="D84" s="28" t="s">
        <v>373</v>
      </c>
      <c r="E84" s="28" t="s">
        <v>140</v>
      </c>
      <c r="F84" s="29" t="n">
        <v>3</v>
      </c>
      <c r="G84" s="30" t="n">
        <f aca="false">IF(F84="","",INDEX(Timeline!$C$8:$C$10,F84))</f>
        <v>46520</v>
      </c>
      <c r="H84" s="31" t="s">
        <v>83</v>
      </c>
      <c r="I84" s="32" t="str">
        <f aca="false">IF(H84="","",IF(H84="ALL","Yes",IF(IFERROR(INDEX('Applicability Screen'!$E$8:$E$20,MATCH(H84,'Applicability Screen'!$G$8:$G$20,0)),"")="","Answer screen",INDEX('Applicability Screen'!$E$8:$E$20,MATCH(H84,'Applicability Screen'!$G$8:$G$20,0)))))</f>
        <v>Answer screen</v>
      </c>
      <c r="J84" s="33"/>
      <c r="K84" s="33"/>
      <c r="L84" s="33"/>
      <c r="M84" s="33"/>
      <c r="N84" s="33"/>
      <c r="O84" s="34"/>
      <c r="P84" s="32" t="str">
        <f aca="true">IF(OR(O84="",J84="Done",J84="Not applicable"),"",IF(O84&lt;TODAY(),"OVERDUE",""))</f>
        <v/>
      </c>
      <c r="Q84" s="32" t="str">
        <f aca="true">IF(AND(A84="",D84=""),"",IF(AND(I84="No",J84&lt;&gt;"Not applicable"),"Screen says not triggered - confirm or mark Not applicable. ","")&amp;IF(AND(G84&lt;&gt;"",J84&lt;&gt;"Done",J84&lt;&gt;"Not applicable",G84&lt;=TODAY()),"Duty already in force. ","")&amp;IF(AND(O84&lt;&gt;"",G84&lt;&gt;"",J84&lt;&gt;"Done",J84&lt;&gt;"Not applicable",O84&gt;G84),"Target date is after the duty applies. ","")&amp;IF(AND(N84="High",L84="",J84&lt;&gt;"Done",J84&lt;&gt;"Not applicable"),"High priority with no owner. ","")&amp;IF(AND(J84="Done",K84=""),"Done but no evidence location. ","")&amp;IF(AND(J84="Not applicable",M84=""),"Say why it is not applicable. ",""))</f>
        <v/>
      </c>
      <c r="R84" s="32" t="str">
        <f aca="false">IF(AND(A84&lt;&gt;"",N84="High",J84&lt;&gt;"Done",J84&lt;&gt;"Not applicable"),COUNTIFS($A$6:A84,"&lt;&gt;",$N$6:N84,"High",$J$6:J84,"&lt;&gt;Done",$J$6:J84,"&lt;&gt;Not applicable"),"")</f>
        <v/>
      </c>
    </row>
    <row r="85" customFormat="false" ht="39.75" hidden="false" customHeight="true" outlineLevel="0" collapsed="false">
      <c r="A85" s="28" t="s">
        <v>374</v>
      </c>
      <c r="B85" s="28" t="s">
        <v>52</v>
      </c>
      <c r="C85" s="28" t="s">
        <v>375</v>
      </c>
      <c r="D85" s="28" t="s">
        <v>376</v>
      </c>
      <c r="E85" s="28" t="s">
        <v>140</v>
      </c>
      <c r="F85" s="29" t="n">
        <v>3</v>
      </c>
      <c r="G85" s="30" t="n">
        <f aca="false">IF(F85="","",INDEX(Timeline!$C$8:$C$10,F85))</f>
        <v>46520</v>
      </c>
      <c r="H85" s="31" t="s">
        <v>83</v>
      </c>
      <c r="I85" s="32" t="str">
        <f aca="false">IF(H85="","",IF(H85="ALL","Yes",IF(IFERROR(INDEX('Applicability Screen'!$E$8:$E$20,MATCH(H85,'Applicability Screen'!$G$8:$G$20,0)),"")="","Answer screen",INDEX('Applicability Screen'!$E$8:$E$20,MATCH(H85,'Applicability Screen'!$G$8:$G$20,0)))))</f>
        <v>Answer screen</v>
      </c>
      <c r="J85" s="33"/>
      <c r="K85" s="33"/>
      <c r="L85" s="33"/>
      <c r="M85" s="33"/>
      <c r="N85" s="33"/>
      <c r="O85" s="34"/>
      <c r="P85" s="32" t="str">
        <f aca="true">IF(OR(O85="",J85="Done",J85="Not applicable"),"",IF(O85&lt;TODAY(),"OVERDUE",""))</f>
        <v/>
      </c>
      <c r="Q85" s="32" t="str">
        <f aca="true">IF(AND(A85="",D85=""),"",IF(AND(I85="No",J85&lt;&gt;"Not applicable"),"Screen says not triggered - confirm or mark Not applicable. ","")&amp;IF(AND(G85&lt;&gt;"",J85&lt;&gt;"Done",J85&lt;&gt;"Not applicable",G85&lt;=TODAY()),"Duty already in force. ","")&amp;IF(AND(O85&lt;&gt;"",G85&lt;&gt;"",J85&lt;&gt;"Done",J85&lt;&gt;"Not applicable",O85&gt;G85),"Target date is after the duty applies. ","")&amp;IF(AND(N85="High",L85="",J85&lt;&gt;"Done",J85&lt;&gt;"Not applicable"),"High priority with no owner. ","")&amp;IF(AND(J85="Done",K85=""),"Done but no evidence location. ","")&amp;IF(AND(J85="Not applicable",M85=""),"Say why it is not applicable. ",""))</f>
        <v/>
      </c>
      <c r="R85" s="32" t="str">
        <f aca="false">IF(AND(A85&lt;&gt;"",N85="High",J85&lt;&gt;"Done",J85&lt;&gt;"Not applicable"),COUNTIFS($A$6:A85,"&lt;&gt;",$N$6:N85,"High",$J$6:J85,"&lt;&gt;Done",$J$6:J85,"&lt;&gt;Not applicable"),"")</f>
        <v/>
      </c>
    </row>
    <row r="86" customFormat="false" ht="27.75" hidden="false" customHeight="true" outlineLevel="0" collapsed="false">
      <c r="A86" s="28" t="s">
        <v>377</v>
      </c>
      <c r="B86" s="28" t="s">
        <v>52</v>
      </c>
      <c r="C86" s="28" t="s">
        <v>378</v>
      </c>
      <c r="D86" s="28" t="s">
        <v>379</v>
      </c>
      <c r="E86" s="28" t="s">
        <v>140</v>
      </c>
      <c r="F86" s="29" t="n">
        <v>3</v>
      </c>
      <c r="G86" s="30" t="n">
        <f aca="false">IF(F86="","",INDEX(Timeline!$C$8:$C$10,F86))</f>
        <v>46520</v>
      </c>
      <c r="H86" s="31" t="s">
        <v>83</v>
      </c>
      <c r="I86" s="32" t="str">
        <f aca="false">IF(H86="","",IF(H86="ALL","Yes",IF(IFERROR(INDEX('Applicability Screen'!$E$8:$E$20,MATCH(H86,'Applicability Screen'!$G$8:$G$20,0)),"")="","Answer screen",INDEX('Applicability Screen'!$E$8:$E$20,MATCH(H86,'Applicability Screen'!$G$8:$G$20,0)))))</f>
        <v>Answer screen</v>
      </c>
      <c r="J86" s="33"/>
      <c r="K86" s="33"/>
      <c r="L86" s="33"/>
      <c r="M86" s="33"/>
      <c r="N86" s="33"/>
      <c r="O86" s="34"/>
      <c r="P86" s="32" t="str">
        <f aca="true">IF(OR(O86="",J86="Done",J86="Not applicable"),"",IF(O86&lt;TODAY(),"OVERDUE",""))</f>
        <v/>
      </c>
      <c r="Q86" s="32" t="str">
        <f aca="true">IF(AND(A86="",D86=""),"",IF(AND(I86="No",J86&lt;&gt;"Not applicable"),"Screen says not triggered - confirm or mark Not applicable. ","")&amp;IF(AND(G86&lt;&gt;"",J86&lt;&gt;"Done",J86&lt;&gt;"Not applicable",G86&lt;=TODAY()),"Duty already in force. ","")&amp;IF(AND(O86&lt;&gt;"",G86&lt;&gt;"",J86&lt;&gt;"Done",J86&lt;&gt;"Not applicable",O86&gt;G86),"Target date is after the duty applies. ","")&amp;IF(AND(N86="High",L86="",J86&lt;&gt;"Done",J86&lt;&gt;"Not applicable"),"High priority with no owner. ","")&amp;IF(AND(J86="Done",K86=""),"Done but no evidence location. ","")&amp;IF(AND(J86="Not applicable",M86=""),"Say why it is not applicable. ",""))</f>
        <v/>
      </c>
      <c r="R86" s="32" t="str">
        <f aca="false">IF(AND(A86&lt;&gt;"",N86="High",J86&lt;&gt;"Done",J86&lt;&gt;"Not applicable"),COUNTIFS($A$6:A86,"&lt;&gt;",$N$6:N86,"High",$J$6:J86,"&lt;&gt;Done",$J$6:J86,"&lt;&gt;Not applicable"),"")</f>
        <v/>
      </c>
    </row>
    <row r="87" customFormat="false" ht="51.75" hidden="false" customHeight="true" outlineLevel="0" collapsed="false">
      <c r="A87" s="28" t="s">
        <v>380</v>
      </c>
      <c r="B87" s="28" t="s">
        <v>52</v>
      </c>
      <c r="C87" s="28" t="s">
        <v>381</v>
      </c>
      <c r="D87" s="28" t="s">
        <v>382</v>
      </c>
      <c r="E87" s="28" t="s">
        <v>140</v>
      </c>
      <c r="F87" s="29" t="n">
        <v>3</v>
      </c>
      <c r="G87" s="30" t="n">
        <f aca="false">IF(F87="","",INDEX(Timeline!$C$8:$C$10,F87))</f>
        <v>46520</v>
      </c>
      <c r="H87" s="31" t="s">
        <v>83</v>
      </c>
      <c r="I87" s="32" t="str">
        <f aca="false">IF(H87="","",IF(H87="ALL","Yes",IF(IFERROR(INDEX('Applicability Screen'!$E$8:$E$20,MATCH(H87,'Applicability Screen'!$G$8:$G$20,0)),"")="","Answer screen",INDEX('Applicability Screen'!$E$8:$E$20,MATCH(H87,'Applicability Screen'!$G$8:$G$20,0)))))</f>
        <v>Answer screen</v>
      </c>
      <c r="J87" s="33"/>
      <c r="K87" s="33"/>
      <c r="L87" s="33"/>
      <c r="M87" s="33"/>
      <c r="N87" s="33"/>
      <c r="O87" s="34"/>
      <c r="P87" s="32" t="str">
        <f aca="true">IF(OR(O87="",J87="Done",J87="Not applicable"),"",IF(O87&lt;TODAY(),"OVERDUE",""))</f>
        <v/>
      </c>
      <c r="Q87" s="32" t="str">
        <f aca="true">IF(AND(A87="",D87=""),"",IF(AND(I87="No",J87&lt;&gt;"Not applicable"),"Screen says not triggered - confirm or mark Not applicable. ","")&amp;IF(AND(G87&lt;&gt;"",J87&lt;&gt;"Done",J87&lt;&gt;"Not applicable",G87&lt;=TODAY()),"Duty already in force. ","")&amp;IF(AND(O87&lt;&gt;"",G87&lt;&gt;"",J87&lt;&gt;"Done",J87&lt;&gt;"Not applicable",O87&gt;G87),"Target date is after the duty applies. ","")&amp;IF(AND(N87="High",L87="",J87&lt;&gt;"Done",J87&lt;&gt;"Not applicable"),"High priority with no owner. ","")&amp;IF(AND(J87="Done",K87=""),"Done but no evidence location. ","")&amp;IF(AND(J87="Not applicable",M87=""),"Say why it is not applicable. ",""))</f>
        <v/>
      </c>
      <c r="R87" s="32" t="str">
        <f aca="false">IF(AND(A87&lt;&gt;"",N87="High",J87&lt;&gt;"Done",J87&lt;&gt;"Not applicable"),COUNTIFS($A$6:A87,"&lt;&gt;",$N$6:N87,"High",$J$6:J87,"&lt;&gt;Done",$J$6:J87,"&lt;&gt;Not applicable"),"")</f>
        <v/>
      </c>
    </row>
    <row r="88" customFormat="false" ht="39.75" hidden="false" customHeight="true" outlineLevel="0" collapsed="false">
      <c r="A88" s="28" t="s">
        <v>383</v>
      </c>
      <c r="B88" s="28" t="s">
        <v>52</v>
      </c>
      <c r="C88" s="28" t="s">
        <v>384</v>
      </c>
      <c r="D88" s="28" t="s">
        <v>385</v>
      </c>
      <c r="E88" s="28" t="s">
        <v>140</v>
      </c>
      <c r="F88" s="29" t="n">
        <v>3</v>
      </c>
      <c r="G88" s="30" t="n">
        <f aca="false">IF(F88="","",INDEX(Timeline!$C$8:$C$10,F88))</f>
        <v>46520</v>
      </c>
      <c r="H88" s="31" t="s">
        <v>83</v>
      </c>
      <c r="I88" s="32" t="str">
        <f aca="false">IF(H88="","",IF(H88="ALL","Yes",IF(IFERROR(INDEX('Applicability Screen'!$E$8:$E$20,MATCH(H88,'Applicability Screen'!$G$8:$G$20,0)),"")="","Answer screen",INDEX('Applicability Screen'!$E$8:$E$20,MATCH(H88,'Applicability Screen'!$G$8:$G$20,0)))))</f>
        <v>Answer screen</v>
      </c>
      <c r="J88" s="33"/>
      <c r="K88" s="33"/>
      <c r="L88" s="33"/>
      <c r="M88" s="33"/>
      <c r="N88" s="33"/>
      <c r="O88" s="34"/>
      <c r="P88" s="32" t="str">
        <f aca="true">IF(OR(O88="",J88="Done",J88="Not applicable"),"",IF(O88&lt;TODAY(),"OVERDUE",""))</f>
        <v/>
      </c>
      <c r="Q88" s="32" t="str">
        <f aca="true">IF(AND(A88="",D88=""),"",IF(AND(I88="No",J88&lt;&gt;"Not applicable"),"Screen says not triggered - confirm or mark Not applicable. ","")&amp;IF(AND(G88&lt;&gt;"",J88&lt;&gt;"Done",J88&lt;&gt;"Not applicable",G88&lt;=TODAY()),"Duty already in force. ","")&amp;IF(AND(O88&lt;&gt;"",G88&lt;&gt;"",J88&lt;&gt;"Done",J88&lt;&gt;"Not applicable",O88&gt;G88),"Target date is after the duty applies. ","")&amp;IF(AND(N88="High",L88="",J88&lt;&gt;"Done",J88&lt;&gt;"Not applicable"),"High priority with no owner. ","")&amp;IF(AND(J88="Done",K88=""),"Done but no evidence location. ","")&amp;IF(AND(J88="Not applicable",M88=""),"Say why it is not applicable. ",""))</f>
        <v/>
      </c>
      <c r="R88" s="32" t="str">
        <f aca="false">IF(AND(A88&lt;&gt;"",N88="High",J88&lt;&gt;"Done",J88&lt;&gt;"Not applicable"),COUNTIFS($A$6:A88,"&lt;&gt;",$N$6:N88,"High",$J$6:J88,"&lt;&gt;Done",$J$6:J88,"&lt;&gt;Not applicable"),"")</f>
        <v/>
      </c>
    </row>
    <row r="89" customFormat="false" ht="51.75" hidden="false" customHeight="true" outlineLevel="0" collapsed="false">
      <c r="A89" s="37" t="s">
        <v>386</v>
      </c>
      <c r="B89" s="28" t="s">
        <v>52</v>
      </c>
      <c r="C89" s="37" t="s">
        <v>387</v>
      </c>
      <c r="D89" s="38" t="s">
        <v>388</v>
      </c>
      <c r="E89" s="28" t="s">
        <v>298</v>
      </c>
      <c r="F89" s="29" t="n">
        <v>3</v>
      </c>
      <c r="G89" s="30" t="n">
        <f aca="false">IF(F89="","",INDEX(Timeline!$C$8:$C$10,F89))</f>
        <v>46520</v>
      </c>
      <c r="H89" s="31" t="s">
        <v>83</v>
      </c>
      <c r="I89" s="32" t="str">
        <f aca="false">IF(H89="","",IF(H89="ALL","Yes",IF(IFERROR(INDEX('Applicability Screen'!$E$8:$E$20,MATCH(H89,'Applicability Screen'!$G$8:$G$20,0)),"")="","Answer screen",INDEX('Applicability Screen'!$E$8:$E$20,MATCH(H89,'Applicability Screen'!$G$8:$G$20,0)))))</f>
        <v>Answer screen</v>
      </c>
      <c r="J89" s="33"/>
      <c r="K89" s="33"/>
      <c r="L89" s="33"/>
      <c r="M89" s="33"/>
      <c r="N89" s="33"/>
      <c r="O89" s="34"/>
      <c r="P89" s="32" t="str">
        <f aca="true">IF(OR(O89="",J89="Done",J89="Not applicable"),"",IF(O89&lt;TODAY(),"OVERDUE",""))</f>
        <v/>
      </c>
      <c r="Q89" s="32" t="str">
        <f aca="true">IF(AND(A89="",D89=""),"",IF(AND(I89="No",J89&lt;&gt;"Not applicable"),"Screen says not triggered - confirm or mark Not applicable. ","")&amp;IF(AND(G89&lt;&gt;"",J89&lt;&gt;"Done",J89&lt;&gt;"Not applicable",G89&lt;=TODAY()),"Duty already in force. ","")&amp;IF(AND(O89&lt;&gt;"",G89&lt;&gt;"",J89&lt;&gt;"Done",J89&lt;&gt;"Not applicable",O89&gt;G89),"Target date is after the duty applies. ","")&amp;IF(AND(N89="High",L89="",J89&lt;&gt;"Done",J89&lt;&gt;"Not applicable"),"High priority with no owner. ","")&amp;IF(AND(J89="Done",K89=""),"Done but no evidence location. ","")&amp;IF(AND(J89="Not applicable",M89=""),"Say why it is not applicable. ",""))</f>
        <v/>
      </c>
      <c r="R89" s="32" t="str">
        <f aca="false">IF(AND(A89&lt;&gt;"",N89="High",J89&lt;&gt;"Done",J89&lt;&gt;"Not applicable"),COUNTIFS($A$6:A89,"&lt;&gt;",$N$6:N89,"High",$J$6:J89,"&lt;&gt;Done",$J$6:J89,"&lt;&gt;Not applicable"),"")</f>
        <v/>
      </c>
    </row>
    <row r="90" customFormat="false" ht="39.75" hidden="false" customHeight="true" outlineLevel="0" collapsed="false">
      <c r="A90" s="28" t="s">
        <v>389</v>
      </c>
      <c r="B90" s="28" t="s">
        <v>53</v>
      </c>
      <c r="C90" s="28" t="s">
        <v>390</v>
      </c>
      <c r="D90" s="28" t="s">
        <v>391</v>
      </c>
      <c r="E90" s="28" t="s">
        <v>392</v>
      </c>
      <c r="F90" s="29" t="n">
        <v>2</v>
      </c>
      <c r="G90" s="30" t="n">
        <f aca="false">IF(F90="","",INDEX(Timeline!$C$8:$C$10,F90))</f>
        <v>46339</v>
      </c>
      <c r="H90" s="31" t="s">
        <v>104</v>
      </c>
      <c r="I90" s="32" t="str">
        <f aca="false">IF(H90="","",IF(H90="ALL","Yes",IF(IFERROR(INDEX('Applicability Screen'!$E$8:$E$20,MATCH(H90,'Applicability Screen'!$G$8:$G$20,0)),"")="","Answer screen",INDEX('Applicability Screen'!$E$8:$E$20,MATCH(H90,'Applicability Screen'!$G$8:$G$20,0)))))</f>
        <v>Answer screen</v>
      </c>
      <c r="J90" s="33"/>
      <c r="K90" s="33"/>
      <c r="L90" s="33"/>
      <c r="M90" s="33"/>
      <c r="N90" s="33"/>
      <c r="O90" s="34"/>
      <c r="P90" s="32" t="str">
        <f aca="true">IF(OR(O90="",J90="Done",J90="Not applicable"),"",IF(O90&lt;TODAY(),"OVERDUE",""))</f>
        <v/>
      </c>
      <c r="Q90" s="32" t="str">
        <f aca="true">IF(AND(A90="",D90=""),"",IF(AND(I90="No",J90&lt;&gt;"Not applicable"),"Screen says not triggered - confirm or mark Not applicable. ","")&amp;IF(AND(G90&lt;&gt;"",J90&lt;&gt;"Done",J90&lt;&gt;"Not applicable",G90&lt;=TODAY()),"Duty already in force. ","")&amp;IF(AND(O90&lt;&gt;"",G90&lt;&gt;"",J90&lt;&gt;"Done",J90&lt;&gt;"Not applicable",O90&gt;G90),"Target date is after the duty applies. ","")&amp;IF(AND(N90="High",L90="",J90&lt;&gt;"Done",J90&lt;&gt;"Not applicable"),"High priority with no owner. ","")&amp;IF(AND(J90="Done",K90=""),"Done but no evidence location. ","")&amp;IF(AND(J90="Not applicable",M90=""),"Say why it is not applicable. ",""))</f>
        <v/>
      </c>
      <c r="R90" s="32" t="str">
        <f aca="false">IF(AND(A90&lt;&gt;"",N90="High",J90&lt;&gt;"Done",J90&lt;&gt;"Not applicable"),COUNTIFS($A$6:A90,"&lt;&gt;",$N$6:N90,"High",$J$6:J90,"&lt;&gt;Done",$J$6:J90,"&lt;&gt;Not applicable"),"")</f>
        <v/>
      </c>
    </row>
    <row r="91" customFormat="false" ht="63.75" hidden="false" customHeight="true" outlineLevel="0" collapsed="false">
      <c r="A91" s="28" t="s">
        <v>393</v>
      </c>
      <c r="B91" s="28" t="s">
        <v>53</v>
      </c>
      <c r="C91" s="28" t="s">
        <v>394</v>
      </c>
      <c r="D91" s="28" t="s">
        <v>395</v>
      </c>
      <c r="E91" s="28" t="s">
        <v>392</v>
      </c>
      <c r="F91" s="29" t="n">
        <v>2</v>
      </c>
      <c r="G91" s="30" t="n">
        <f aca="false">IF(F91="","",INDEX(Timeline!$C$8:$C$10,F91))</f>
        <v>46339</v>
      </c>
      <c r="H91" s="31" t="s">
        <v>104</v>
      </c>
      <c r="I91" s="32" t="str">
        <f aca="false">IF(H91="","",IF(H91="ALL","Yes",IF(IFERROR(INDEX('Applicability Screen'!$E$8:$E$20,MATCH(H91,'Applicability Screen'!$G$8:$G$20,0)),"")="","Answer screen",INDEX('Applicability Screen'!$E$8:$E$20,MATCH(H91,'Applicability Screen'!$G$8:$G$20,0)))))</f>
        <v>Answer screen</v>
      </c>
      <c r="J91" s="33"/>
      <c r="K91" s="33"/>
      <c r="L91" s="33"/>
      <c r="M91" s="33"/>
      <c r="N91" s="33"/>
      <c r="O91" s="34"/>
      <c r="P91" s="32" t="str">
        <f aca="true">IF(OR(O91="",J91="Done",J91="Not applicable"),"",IF(O91&lt;TODAY(),"OVERDUE",""))</f>
        <v/>
      </c>
      <c r="Q91" s="32" t="str">
        <f aca="true">IF(AND(A91="",D91=""),"",IF(AND(I91="No",J91&lt;&gt;"Not applicable"),"Screen says not triggered - confirm or mark Not applicable. ","")&amp;IF(AND(G91&lt;&gt;"",J91&lt;&gt;"Done",J91&lt;&gt;"Not applicable",G91&lt;=TODAY()),"Duty already in force. ","")&amp;IF(AND(O91&lt;&gt;"",G91&lt;&gt;"",J91&lt;&gt;"Done",J91&lt;&gt;"Not applicable",O91&gt;G91),"Target date is after the duty applies. ","")&amp;IF(AND(N91="High",L91="",J91&lt;&gt;"Done",J91&lt;&gt;"Not applicable"),"High priority with no owner. ","")&amp;IF(AND(J91="Done",K91=""),"Done but no evidence location. ","")&amp;IF(AND(J91="Not applicable",M91=""),"Say why it is not applicable. ",""))</f>
        <v/>
      </c>
      <c r="R91" s="32" t="str">
        <f aca="false">IF(AND(A91&lt;&gt;"",N91="High",J91&lt;&gt;"Done",J91&lt;&gt;"Not applicable"),COUNTIFS($A$6:A91,"&lt;&gt;",$N$6:N91,"High",$J$6:J91,"&lt;&gt;Done",$J$6:J91,"&lt;&gt;Not applicable"),"")</f>
        <v/>
      </c>
    </row>
    <row r="92" customFormat="false" ht="63.75" hidden="false" customHeight="true" outlineLevel="0" collapsed="false">
      <c r="A92" s="28" t="s">
        <v>396</v>
      </c>
      <c r="B92" s="28" t="s">
        <v>53</v>
      </c>
      <c r="C92" s="28" t="s">
        <v>397</v>
      </c>
      <c r="D92" s="28" t="s">
        <v>398</v>
      </c>
      <c r="E92" s="28" t="s">
        <v>392</v>
      </c>
      <c r="F92" s="29" t="n">
        <v>2</v>
      </c>
      <c r="G92" s="30" t="n">
        <f aca="false">IF(F92="","",INDEX(Timeline!$C$8:$C$10,F92))</f>
        <v>46339</v>
      </c>
      <c r="H92" s="31" t="s">
        <v>104</v>
      </c>
      <c r="I92" s="32" t="str">
        <f aca="false">IF(H92="","",IF(H92="ALL","Yes",IF(IFERROR(INDEX('Applicability Screen'!$E$8:$E$20,MATCH(H92,'Applicability Screen'!$G$8:$G$20,0)),"")="","Answer screen",INDEX('Applicability Screen'!$E$8:$E$20,MATCH(H92,'Applicability Screen'!$G$8:$G$20,0)))))</f>
        <v>Answer screen</v>
      </c>
      <c r="J92" s="33"/>
      <c r="K92" s="33"/>
      <c r="L92" s="33"/>
      <c r="M92" s="33"/>
      <c r="N92" s="33"/>
      <c r="O92" s="34"/>
      <c r="P92" s="32" t="str">
        <f aca="true">IF(OR(O92="",J92="Done",J92="Not applicable"),"",IF(O92&lt;TODAY(),"OVERDUE",""))</f>
        <v/>
      </c>
      <c r="Q92" s="32" t="str">
        <f aca="true">IF(AND(A92="",D92=""),"",IF(AND(I92="No",J92&lt;&gt;"Not applicable"),"Screen says not triggered - confirm or mark Not applicable. ","")&amp;IF(AND(G92&lt;&gt;"",J92&lt;&gt;"Done",J92&lt;&gt;"Not applicable",G92&lt;=TODAY()),"Duty already in force. ","")&amp;IF(AND(O92&lt;&gt;"",G92&lt;&gt;"",J92&lt;&gt;"Done",J92&lt;&gt;"Not applicable",O92&gt;G92),"Target date is after the duty applies. ","")&amp;IF(AND(N92="High",L92="",J92&lt;&gt;"Done",J92&lt;&gt;"Not applicable"),"High priority with no owner. ","")&amp;IF(AND(J92="Done",K92=""),"Done but no evidence location. ","")&amp;IF(AND(J92="Not applicable",M92=""),"Say why it is not applicable. ",""))</f>
        <v/>
      </c>
      <c r="R92" s="32" t="str">
        <f aca="false">IF(AND(A92&lt;&gt;"",N92="High",J92&lt;&gt;"Done",J92&lt;&gt;"Not applicable"),COUNTIFS($A$6:A92,"&lt;&gt;",$N$6:N92,"High",$J$6:J92,"&lt;&gt;Done",$J$6:J92,"&lt;&gt;Not applicable"),"")</f>
        <v/>
      </c>
    </row>
    <row r="93" customFormat="false" ht="51.75" hidden="false" customHeight="true" outlineLevel="0" collapsed="false">
      <c r="A93" s="28" t="s">
        <v>399</v>
      </c>
      <c r="B93" s="28" t="s">
        <v>53</v>
      </c>
      <c r="C93" s="28" t="s">
        <v>400</v>
      </c>
      <c r="D93" s="28" t="s">
        <v>401</v>
      </c>
      <c r="E93" s="28" t="s">
        <v>392</v>
      </c>
      <c r="F93" s="29" t="n">
        <v>2</v>
      </c>
      <c r="G93" s="30" t="n">
        <f aca="false">IF(F93="","",INDEX(Timeline!$C$8:$C$10,F93))</f>
        <v>46339</v>
      </c>
      <c r="H93" s="31" t="s">
        <v>104</v>
      </c>
      <c r="I93" s="32" t="str">
        <f aca="false">IF(H93="","",IF(H93="ALL","Yes",IF(IFERROR(INDEX('Applicability Screen'!$E$8:$E$20,MATCH(H93,'Applicability Screen'!$G$8:$G$20,0)),"")="","Answer screen",INDEX('Applicability Screen'!$E$8:$E$20,MATCH(H93,'Applicability Screen'!$G$8:$G$20,0)))))</f>
        <v>Answer screen</v>
      </c>
      <c r="J93" s="33"/>
      <c r="K93" s="33"/>
      <c r="L93" s="33"/>
      <c r="M93" s="33"/>
      <c r="N93" s="33"/>
      <c r="O93" s="34"/>
      <c r="P93" s="32" t="str">
        <f aca="true">IF(OR(O93="",J93="Done",J93="Not applicable"),"",IF(O93&lt;TODAY(),"OVERDUE",""))</f>
        <v/>
      </c>
      <c r="Q93" s="32" t="str">
        <f aca="true">IF(AND(A93="",D93=""),"",IF(AND(I93="No",J93&lt;&gt;"Not applicable"),"Screen says not triggered - confirm or mark Not applicable. ","")&amp;IF(AND(G93&lt;&gt;"",J93&lt;&gt;"Done",J93&lt;&gt;"Not applicable",G93&lt;=TODAY()),"Duty already in force. ","")&amp;IF(AND(O93&lt;&gt;"",G93&lt;&gt;"",J93&lt;&gt;"Done",J93&lt;&gt;"Not applicable",O93&gt;G93),"Target date is after the duty applies. ","")&amp;IF(AND(N93="High",L93="",J93&lt;&gt;"Done",J93&lt;&gt;"Not applicable"),"High priority with no owner. ","")&amp;IF(AND(J93="Done",K93=""),"Done but no evidence location. ","")&amp;IF(AND(J93="Not applicable",M93=""),"Say why it is not applicable. ",""))</f>
        <v/>
      </c>
      <c r="R93" s="32" t="str">
        <f aca="false">IF(AND(A93&lt;&gt;"",N93="High",J93&lt;&gt;"Done",J93&lt;&gt;"Not applicable"),COUNTIFS($A$6:A93,"&lt;&gt;",$N$6:N93,"High",$J$6:J93,"&lt;&gt;Done",$J$6:J93,"&lt;&gt;Not applicable"),"")</f>
        <v/>
      </c>
    </row>
    <row r="94" customFormat="false" ht="51.75" hidden="false" customHeight="true" outlineLevel="0" collapsed="false">
      <c r="A94" s="28" t="s">
        <v>402</v>
      </c>
      <c r="B94" s="28" t="s">
        <v>53</v>
      </c>
      <c r="C94" s="28" t="s">
        <v>403</v>
      </c>
      <c r="D94" s="28" t="s">
        <v>404</v>
      </c>
      <c r="E94" s="28" t="s">
        <v>392</v>
      </c>
      <c r="F94" s="29" t="n">
        <v>2</v>
      </c>
      <c r="G94" s="30" t="n">
        <f aca="false">IF(F94="","",INDEX(Timeline!$C$8:$C$10,F94))</f>
        <v>46339</v>
      </c>
      <c r="H94" s="31" t="s">
        <v>104</v>
      </c>
      <c r="I94" s="32" t="str">
        <f aca="false">IF(H94="","",IF(H94="ALL","Yes",IF(IFERROR(INDEX('Applicability Screen'!$E$8:$E$20,MATCH(H94,'Applicability Screen'!$G$8:$G$20,0)),"")="","Answer screen",INDEX('Applicability Screen'!$E$8:$E$20,MATCH(H94,'Applicability Screen'!$G$8:$G$20,0)))))</f>
        <v>Answer screen</v>
      </c>
      <c r="J94" s="33"/>
      <c r="K94" s="33"/>
      <c r="L94" s="33"/>
      <c r="M94" s="33"/>
      <c r="N94" s="33"/>
      <c r="O94" s="34"/>
      <c r="P94" s="32" t="str">
        <f aca="true">IF(OR(O94="",J94="Done",J94="Not applicable"),"",IF(O94&lt;TODAY(),"OVERDUE",""))</f>
        <v/>
      </c>
      <c r="Q94" s="32" t="str">
        <f aca="true">IF(AND(A94="",D94=""),"",IF(AND(I94="No",J94&lt;&gt;"Not applicable"),"Screen says not triggered - confirm or mark Not applicable. ","")&amp;IF(AND(G94&lt;&gt;"",J94&lt;&gt;"Done",J94&lt;&gt;"Not applicable",G94&lt;=TODAY()),"Duty already in force. ","")&amp;IF(AND(O94&lt;&gt;"",G94&lt;&gt;"",J94&lt;&gt;"Done",J94&lt;&gt;"Not applicable",O94&gt;G94),"Target date is after the duty applies. ","")&amp;IF(AND(N94="High",L94="",J94&lt;&gt;"Done",J94&lt;&gt;"Not applicable"),"High priority with no owner. ","")&amp;IF(AND(J94="Done",K94=""),"Done but no evidence location. ","")&amp;IF(AND(J94="Not applicable",M94=""),"Say why it is not applicable. ",""))</f>
        <v/>
      </c>
      <c r="R94" s="32" t="str">
        <f aca="false">IF(AND(A94&lt;&gt;"",N94="High",J94&lt;&gt;"Done",J94&lt;&gt;"Not applicable"),COUNTIFS($A$6:A94,"&lt;&gt;",$N$6:N94,"High",$J$6:J94,"&lt;&gt;Done",$J$6:J94,"&lt;&gt;Not applicable"),"")</f>
        <v/>
      </c>
    </row>
    <row r="95" customFormat="false" ht="27.75" hidden="false" customHeight="true" outlineLevel="0" collapsed="false">
      <c r="A95" s="28" t="s">
        <v>405</v>
      </c>
      <c r="B95" s="28" t="s">
        <v>53</v>
      </c>
      <c r="C95" s="28" t="s">
        <v>406</v>
      </c>
      <c r="D95" s="28" t="s">
        <v>407</v>
      </c>
      <c r="E95" s="28" t="s">
        <v>392</v>
      </c>
      <c r="F95" s="29" t="n">
        <v>2</v>
      </c>
      <c r="G95" s="30" t="n">
        <f aca="false">IF(F95="","",INDEX(Timeline!$C$8:$C$10,F95))</f>
        <v>46339</v>
      </c>
      <c r="H95" s="31" t="s">
        <v>104</v>
      </c>
      <c r="I95" s="32" t="str">
        <f aca="false">IF(H95="","",IF(H95="ALL","Yes",IF(IFERROR(INDEX('Applicability Screen'!$E$8:$E$20,MATCH(H95,'Applicability Screen'!$G$8:$G$20,0)),"")="","Answer screen",INDEX('Applicability Screen'!$E$8:$E$20,MATCH(H95,'Applicability Screen'!$G$8:$G$20,0)))))</f>
        <v>Answer screen</v>
      </c>
      <c r="J95" s="33"/>
      <c r="K95" s="33"/>
      <c r="L95" s="33"/>
      <c r="M95" s="33"/>
      <c r="N95" s="33"/>
      <c r="O95" s="34"/>
      <c r="P95" s="32" t="str">
        <f aca="true">IF(OR(O95="",J95="Done",J95="Not applicable"),"",IF(O95&lt;TODAY(),"OVERDUE",""))</f>
        <v/>
      </c>
      <c r="Q95" s="32" t="str">
        <f aca="true">IF(AND(A95="",D95=""),"",IF(AND(I95="No",J95&lt;&gt;"Not applicable"),"Screen says not triggered - confirm or mark Not applicable. ","")&amp;IF(AND(G95&lt;&gt;"",J95&lt;&gt;"Done",J95&lt;&gt;"Not applicable",G95&lt;=TODAY()),"Duty already in force. ","")&amp;IF(AND(O95&lt;&gt;"",G95&lt;&gt;"",J95&lt;&gt;"Done",J95&lt;&gt;"Not applicable",O95&gt;G95),"Target date is after the duty applies. ","")&amp;IF(AND(N95="High",L95="",J95&lt;&gt;"Done",J95&lt;&gt;"Not applicable"),"High priority with no owner. ","")&amp;IF(AND(J95="Done",K95=""),"Done but no evidence location. ","")&amp;IF(AND(J95="Not applicable",M95=""),"Say why it is not applicable. ",""))</f>
        <v/>
      </c>
      <c r="R95" s="32" t="str">
        <f aca="false">IF(AND(A95&lt;&gt;"",N95="High",J95&lt;&gt;"Done",J95&lt;&gt;"Not applicable"),COUNTIFS($A$6:A95,"&lt;&gt;",$N$6:N95,"High",$J$6:J95,"&lt;&gt;Done",$J$6:J95,"&lt;&gt;Not applicable"),"")</f>
        <v/>
      </c>
    </row>
    <row r="96" customFormat="false" ht="63.75" hidden="false" customHeight="true" outlineLevel="0" collapsed="false">
      <c r="A96" s="28" t="s">
        <v>408</v>
      </c>
      <c r="B96" s="28" t="s">
        <v>53</v>
      </c>
      <c r="C96" s="28" t="s">
        <v>409</v>
      </c>
      <c r="D96" s="28" t="s">
        <v>410</v>
      </c>
      <c r="E96" s="28" t="s">
        <v>392</v>
      </c>
      <c r="F96" s="29" t="n">
        <v>2</v>
      </c>
      <c r="G96" s="30" t="n">
        <f aca="false">IF(F96="","",INDEX(Timeline!$C$8:$C$10,F96))</f>
        <v>46339</v>
      </c>
      <c r="H96" s="31" t="s">
        <v>104</v>
      </c>
      <c r="I96" s="32" t="str">
        <f aca="false">IF(H96="","",IF(H96="ALL","Yes",IF(IFERROR(INDEX('Applicability Screen'!$E$8:$E$20,MATCH(H96,'Applicability Screen'!$G$8:$G$20,0)),"")="","Answer screen",INDEX('Applicability Screen'!$E$8:$E$20,MATCH(H96,'Applicability Screen'!$G$8:$G$20,0)))))</f>
        <v>Answer screen</v>
      </c>
      <c r="J96" s="33"/>
      <c r="K96" s="33"/>
      <c r="L96" s="33"/>
      <c r="M96" s="33"/>
      <c r="N96" s="33"/>
      <c r="O96" s="34"/>
      <c r="P96" s="32" t="str">
        <f aca="true">IF(OR(O96="",J96="Done",J96="Not applicable"),"",IF(O96&lt;TODAY(),"OVERDUE",""))</f>
        <v/>
      </c>
      <c r="Q96" s="32" t="str">
        <f aca="true">IF(AND(A96="",D96=""),"",IF(AND(I96="No",J96&lt;&gt;"Not applicable"),"Screen says not triggered - confirm or mark Not applicable. ","")&amp;IF(AND(G96&lt;&gt;"",J96&lt;&gt;"Done",J96&lt;&gt;"Not applicable",G96&lt;=TODAY()),"Duty already in force. ","")&amp;IF(AND(O96&lt;&gt;"",G96&lt;&gt;"",J96&lt;&gt;"Done",J96&lt;&gt;"Not applicable",O96&gt;G96),"Target date is after the duty applies. ","")&amp;IF(AND(N96="High",L96="",J96&lt;&gt;"Done",J96&lt;&gt;"Not applicable"),"High priority with no owner. ","")&amp;IF(AND(J96="Done",K96=""),"Done but no evidence location. ","")&amp;IF(AND(J96="Not applicable",M96=""),"Say why it is not applicable. ",""))</f>
        <v/>
      </c>
      <c r="R96" s="32" t="str">
        <f aca="false">IF(AND(A96&lt;&gt;"",N96="High",J96&lt;&gt;"Done",J96&lt;&gt;"Not applicable"),COUNTIFS($A$6:A96,"&lt;&gt;",$N$6:N96,"High",$J$6:J96,"&lt;&gt;Done",$J$6:J96,"&lt;&gt;Not applicable"),"")</f>
        <v/>
      </c>
    </row>
    <row r="97" customFormat="false" ht="39.75" hidden="false" customHeight="true" outlineLevel="0" collapsed="false">
      <c r="A97" s="28" t="s">
        <v>411</v>
      </c>
      <c r="B97" s="28" t="s">
        <v>53</v>
      </c>
      <c r="C97" s="28" t="s">
        <v>412</v>
      </c>
      <c r="D97" s="28" t="s">
        <v>413</v>
      </c>
      <c r="E97" s="28" t="s">
        <v>392</v>
      </c>
      <c r="F97" s="29" t="n">
        <v>2</v>
      </c>
      <c r="G97" s="30" t="n">
        <f aca="false">IF(F97="","",INDEX(Timeline!$C$8:$C$10,F97))</f>
        <v>46339</v>
      </c>
      <c r="H97" s="31" t="s">
        <v>104</v>
      </c>
      <c r="I97" s="32" t="str">
        <f aca="false">IF(H97="","",IF(H97="ALL","Yes",IF(IFERROR(INDEX('Applicability Screen'!$E$8:$E$20,MATCH(H97,'Applicability Screen'!$G$8:$G$20,0)),"")="","Answer screen",INDEX('Applicability Screen'!$E$8:$E$20,MATCH(H97,'Applicability Screen'!$G$8:$G$20,0)))))</f>
        <v>Answer screen</v>
      </c>
      <c r="J97" s="33"/>
      <c r="K97" s="33"/>
      <c r="L97" s="33"/>
      <c r="M97" s="33"/>
      <c r="N97" s="33"/>
      <c r="O97" s="34"/>
      <c r="P97" s="32" t="str">
        <f aca="true">IF(OR(O97="",J97="Done",J97="Not applicable"),"",IF(O97&lt;TODAY(),"OVERDUE",""))</f>
        <v/>
      </c>
      <c r="Q97" s="32" t="str">
        <f aca="true">IF(AND(A97="",D97=""),"",IF(AND(I97="No",J97&lt;&gt;"Not applicable"),"Screen says not triggered - confirm or mark Not applicable. ","")&amp;IF(AND(G97&lt;&gt;"",J97&lt;&gt;"Done",J97&lt;&gt;"Not applicable",G97&lt;=TODAY()),"Duty already in force. ","")&amp;IF(AND(O97&lt;&gt;"",G97&lt;&gt;"",J97&lt;&gt;"Done",J97&lt;&gt;"Not applicable",O97&gt;G97),"Target date is after the duty applies. ","")&amp;IF(AND(N97="High",L97="",J97&lt;&gt;"Done",J97&lt;&gt;"Not applicable"),"High priority with no owner. ","")&amp;IF(AND(J97="Done",K97=""),"Done but no evidence location. ","")&amp;IF(AND(J97="Not applicable",M97=""),"Say why it is not applicable. ",""))</f>
        <v/>
      </c>
      <c r="R97" s="32" t="str">
        <f aca="false">IF(AND(A97&lt;&gt;"",N97="High",J97&lt;&gt;"Done",J97&lt;&gt;"Not applicable"),COUNTIFS($A$6:A97,"&lt;&gt;",$N$6:N97,"High",$J$6:J97,"&lt;&gt;Done",$J$6:J97,"&lt;&gt;Not applicable"),"")</f>
        <v/>
      </c>
    </row>
    <row r="98" customFormat="false" ht="27.75" hidden="false" customHeight="true" outlineLevel="0" collapsed="false">
      <c r="A98" s="28" t="s">
        <v>414</v>
      </c>
      <c r="B98" s="28" t="s">
        <v>53</v>
      </c>
      <c r="C98" s="28" t="s">
        <v>415</v>
      </c>
      <c r="D98" s="28" t="s">
        <v>416</v>
      </c>
      <c r="E98" s="28" t="s">
        <v>392</v>
      </c>
      <c r="F98" s="29" t="n">
        <v>2</v>
      </c>
      <c r="G98" s="30" t="n">
        <f aca="false">IF(F98="","",INDEX(Timeline!$C$8:$C$10,F98))</f>
        <v>46339</v>
      </c>
      <c r="H98" s="31" t="s">
        <v>104</v>
      </c>
      <c r="I98" s="32" t="str">
        <f aca="false">IF(H98="","",IF(H98="ALL","Yes",IF(IFERROR(INDEX('Applicability Screen'!$E$8:$E$20,MATCH(H98,'Applicability Screen'!$G$8:$G$20,0)),"")="","Answer screen",INDEX('Applicability Screen'!$E$8:$E$20,MATCH(H98,'Applicability Screen'!$G$8:$G$20,0)))))</f>
        <v>Answer screen</v>
      </c>
      <c r="J98" s="33"/>
      <c r="K98" s="33"/>
      <c r="L98" s="33"/>
      <c r="M98" s="33"/>
      <c r="N98" s="33"/>
      <c r="O98" s="34"/>
      <c r="P98" s="32" t="str">
        <f aca="true">IF(OR(O98="",J98="Done",J98="Not applicable"),"",IF(O98&lt;TODAY(),"OVERDUE",""))</f>
        <v/>
      </c>
      <c r="Q98" s="32" t="str">
        <f aca="true">IF(AND(A98="",D98=""),"",IF(AND(I98="No",J98&lt;&gt;"Not applicable"),"Screen says not triggered - confirm or mark Not applicable. ","")&amp;IF(AND(G98&lt;&gt;"",J98&lt;&gt;"Done",J98&lt;&gt;"Not applicable",G98&lt;=TODAY()),"Duty already in force. ","")&amp;IF(AND(O98&lt;&gt;"",G98&lt;&gt;"",J98&lt;&gt;"Done",J98&lt;&gt;"Not applicable",O98&gt;G98),"Target date is after the duty applies. ","")&amp;IF(AND(N98="High",L98="",J98&lt;&gt;"Done",J98&lt;&gt;"Not applicable"),"High priority with no owner. ","")&amp;IF(AND(J98="Done",K98=""),"Done but no evidence location. ","")&amp;IF(AND(J98="Not applicable",M98=""),"Say why it is not applicable. ",""))</f>
        <v/>
      </c>
      <c r="R98" s="32" t="str">
        <f aca="false">IF(AND(A98&lt;&gt;"",N98="High",J98&lt;&gt;"Done",J98&lt;&gt;"Not applicable"),COUNTIFS($A$6:A98,"&lt;&gt;",$N$6:N98,"High",$J$6:J98,"&lt;&gt;Done",$J$6:J98,"&lt;&gt;Not applicable"),"")</f>
        <v/>
      </c>
    </row>
    <row r="99" customFormat="false" ht="51.75" hidden="false" customHeight="true" outlineLevel="0" collapsed="false">
      <c r="A99" s="28" t="s">
        <v>417</v>
      </c>
      <c r="B99" s="28" t="s">
        <v>54</v>
      </c>
      <c r="C99" s="28" t="s">
        <v>418</v>
      </c>
      <c r="D99" s="28" t="s">
        <v>419</v>
      </c>
      <c r="E99" s="28" t="s">
        <v>140</v>
      </c>
      <c r="F99" s="29" t="n">
        <v>3</v>
      </c>
      <c r="G99" s="30" t="n">
        <f aca="false">IF(F99="","",INDEX(Timeline!$C$8:$C$10,F99))</f>
        <v>46520</v>
      </c>
      <c r="H99" s="31" t="s">
        <v>101</v>
      </c>
      <c r="I99" s="32" t="str">
        <f aca="false">IF(H99="","",IF(H99="ALL","Yes",IF(IFERROR(INDEX('Applicability Screen'!$E$8:$E$20,MATCH(H99,'Applicability Screen'!$G$8:$G$20,0)),"")="","Answer screen",INDEX('Applicability Screen'!$E$8:$E$20,MATCH(H99,'Applicability Screen'!$G$8:$G$20,0)))))</f>
        <v>Answer screen</v>
      </c>
      <c r="J99" s="33"/>
      <c r="K99" s="33"/>
      <c r="L99" s="33"/>
      <c r="M99" s="33"/>
      <c r="N99" s="33"/>
      <c r="O99" s="34"/>
      <c r="P99" s="32" t="str">
        <f aca="true">IF(OR(O99="",J99="Done",J99="Not applicable"),"",IF(O99&lt;TODAY(),"OVERDUE",""))</f>
        <v/>
      </c>
      <c r="Q99" s="32" t="str">
        <f aca="true">IF(AND(A99="",D99=""),"",IF(AND(I99="No",J99&lt;&gt;"Not applicable"),"Screen says not triggered - confirm or mark Not applicable. ","")&amp;IF(AND(G99&lt;&gt;"",J99&lt;&gt;"Done",J99&lt;&gt;"Not applicable",G99&lt;=TODAY()),"Duty already in force. ","")&amp;IF(AND(O99&lt;&gt;"",G99&lt;&gt;"",J99&lt;&gt;"Done",J99&lt;&gt;"Not applicable",O99&gt;G99),"Target date is after the duty applies. ","")&amp;IF(AND(N99="High",L99="",J99&lt;&gt;"Done",J99&lt;&gt;"Not applicable"),"High priority with no owner. ","")&amp;IF(AND(J99="Done",K99=""),"Done but no evidence location. ","")&amp;IF(AND(J99="Not applicable",M99=""),"Say why it is not applicable. ",""))</f>
        <v/>
      </c>
      <c r="R99" s="32" t="str">
        <f aca="false">IF(AND(A99&lt;&gt;"",N99="High",J99&lt;&gt;"Done",J99&lt;&gt;"Not applicable"),COUNTIFS($A$6:A99,"&lt;&gt;",$N$6:N99,"High",$J$6:J99,"&lt;&gt;Done",$J$6:J99,"&lt;&gt;Not applicable"),"")</f>
        <v/>
      </c>
    </row>
    <row r="100" customFormat="false" ht="39.75" hidden="false" customHeight="true" outlineLevel="0" collapsed="false">
      <c r="A100" s="28" t="s">
        <v>420</v>
      </c>
      <c r="B100" s="28" t="s">
        <v>54</v>
      </c>
      <c r="C100" s="28" t="s">
        <v>421</v>
      </c>
      <c r="D100" s="28" t="s">
        <v>422</v>
      </c>
      <c r="E100" s="28" t="s">
        <v>140</v>
      </c>
      <c r="F100" s="29" t="n">
        <v>3</v>
      </c>
      <c r="G100" s="30" t="n">
        <f aca="false">IF(F100="","",INDEX(Timeline!$C$8:$C$10,F100))</f>
        <v>46520</v>
      </c>
      <c r="H100" s="31" t="s">
        <v>101</v>
      </c>
      <c r="I100" s="32" t="str">
        <f aca="false">IF(H100="","",IF(H100="ALL","Yes",IF(IFERROR(INDEX('Applicability Screen'!$E$8:$E$20,MATCH(H100,'Applicability Screen'!$G$8:$G$20,0)),"")="","Answer screen",INDEX('Applicability Screen'!$E$8:$E$20,MATCH(H100,'Applicability Screen'!$G$8:$G$20,0)))))</f>
        <v>Answer screen</v>
      </c>
      <c r="J100" s="33"/>
      <c r="K100" s="33"/>
      <c r="L100" s="33"/>
      <c r="M100" s="33"/>
      <c r="N100" s="33"/>
      <c r="O100" s="34"/>
      <c r="P100" s="32" t="str">
        <f aca="true">IF(OR(O100="",J100="Done",J100="Not applicable"),"",IF(O100&lt;TODAY(),"OVERDUE",""))</f>
        <v/>
      </c>
      <c r="Q100" s="32" t="str">
        <f aca="true">IF(AND(A100="",D100=""),"",IF(AND(I100="No",J100&lt;&gt;"Not applicable"),"Screen says not triggered - confirm or mark Not applicable. ","")&amp;IF(AND(G100&lt;&gt;"",J100&lt;&gt;"Done",J100&lt;&gt;"Not applicable",G100&lt;=TODAY()),"Duty already in force. ","")&amp;IF(AND(O100&lt;&gt;"",G100&lt;&gt;"",J100&lt;&gt;"Done",J100&lt;&gt;"Not applicable",O100&gt;G100),"Target date is after the duty applies. ","")&amp;IF(AND(N100="High",L100="",J100&lt;&gt;"Done",J100&lt;&gt;"Not applicable"),"High priority with no owner. ","")&amp;IF(AND(J100="Done",K100=""),"Done but no evidence location. ","")&amp;IF(AND(J100="Not applicable",M100=""),"Say why it is not applicable. ",""))</f>
        <v/>
      </c>
      <c r="R100" s="32" t="str">
        <f aca="false">IF(AND(A100&lt;&gt;"",N100="High",J100&lt;&gt;"Done",J100&lt;&gt;"Not applicable"),COUNTIFS($A$6:A100,"&lt;&gt;",$N$6:N100,"High",$J$6:J100,"&lt;&gt;Done",$J$6:J100,"&lt;&gt;Not applicable"),"")</f>
        <v/>
      </c>
    </row>
    <row r="101" customFormat="false" ht="39.75" hidden="false" customHeight="true" outlineLevel="0" collapsed="false">
      <c r="A101" s="28" t="s">
        <v>423</v>
      </c>
      <c r="B101" s="28" t="s">
        <v>54</v>
      </c>
      <c r="C101" s="28" t="s">
        <v>424</v>
      </c>
      <c r="D101" s="28" t="s">
        <v>425</v>
      </c>
      <c r="E101" s="28" t="s">
        <v>140</v>
      </c>
      <c r="F101" s="29" t="n">
        <v>3</v>
      </c>
      <c r="G101" s="30" t="n">
        <f aca="false">IF(F101="","",INDEX(Timeline!$C$8:$C$10,F101))</f>
        <v>46520</v>
      </c>
      <c r="H101" s="31" t="s">
        <v>101</v>
      </c>
      <c r="I101" s="32" t="str">
        <f aca="false">IF(H101="","",IF(H101="ALL","Yes",IF(IFERROR(INDEX('Applicability Screen'!$E$8:$E$20,MATCH(H101,'Applicability Screen'!$G$8:$G$20,0)),"")="","Answer screen",INDEX('Applicability Screen'!$E$8:$E$20,MATCH(H101,'Applicability Screen'!$G$8:$G$20,0)))))</f>
        <v>Answer screen</v>
      </c>
      <c r="J101" s="33"/>
      <c r="K101" s="33"/>
      <c r="L101" s="33"/>
      <c r="M101" s="33"/>
      <c r="N101" s="33"/>
      <c r="O101" s="34"/>
      <c r="P101" s="32" t="str">
        <f aca="true">IF(OR(O101="",J101="Done",J101="Not applicable"),"",IF(O101&lt;TODAY(),"OVERDUE",""))</f>
        <v/>
      </c>
      <c r="Q101" s="32" t="str">
        <f aca="true">IF(AND(A101="",D101=""),"",IF(AND(I101="No",J101&lt;&gt;"Not applicable"),"Screen says not triggered - confirm or mark Not applicable. ","")&amp;IF(AND(G101&lt;&gt;"",J101&lt;&gt;"Done",J101&lt;&gt;"Not applicable",G101&lt;=TODAY()),"Duty already in force. ","")&amp;IF(AND(O101&lt;&gt;"",G101&lt;&gt;"",J101&lt;&gt;"Done",J101&lt;&gt;"Not applicable",O101&gt;G101),"Target date is after the duty applies. ","")&amp;IF(AND(N101="High",L101="",J101&lt;&gt;"Done",J101&lt;&gt;"Not applicable"),"High priority with no owner. ","")&amp;IF(AND(J101="Done",K101=""),"Done but no evidence location. ","")&amp;IF(AND(J101="Not applicable",M101=""),"Say why it is not applicable. ",""))</f>
        <v/>
      </c>
      <c r="R101" s="32" t="str">
        <f aca="false">IF(AND(A101&lt;&gt;"",N101="High",J101&lt;&gt;"Done",J101&lt;&gt;"Not applicable"),COUNTIFS($A$6:A101,"&lt;&gt;",$N$6:N101,"High",$J$6:J101,"&lt;&gt;Done",$J$6:J101,"&lt;&gt;Not applicable"),"")</f>
        <v/>
      </c>
    </row>
    <row r="102" customFormat="false" ht="39.75" hidden="false" customHeight="true" outlineLevel="0" collapsed="false">
      <c r="A102" s="28" t="s">
        <v>426</v>
      </c>
      <c r="B102" s="28" t="s">
        <v>55</v>
      </c>
      <c r="C102" s="28" t="s">
        <v>427</v>
      </c>
      <c r="D102" s="28" t="s">
        <v>428</v>
      </c>
      <c r="E102" s="28" t="s">
        <v>429</v>
      </c>
      <c r="F102" s="29" t="n">
        <v>3</v>
      </c>
      <c r="G102" s="30" t="n">
        <f aca="false">IF(F102="","",INDEX(Timeline!$C$8:$C$10,F102))</f>
        <v>46520</v>
      </c>
      <c r="H102" s="31" t="s">
        <v>83</v>
      </c>
      <c r="I102" s="32" t="str">
        <f aca="false">IF(H102="","",IF(H102="ALL","Yes",IF(IFERROR(INDEX('Applicability Screen'!$E$8:$E$20,MATCH(H102,'Applicability Screen'!$G$8:$G$20,0)),"")="","Answer screen",INDEX('Applicability Screen'!$E$8:$E$20,MATCH(H102,'Applicability Screen'!$G$8:$G$20,0)))))</f>
        <v>Answer screen</v>
      </c>
      <c r="J102" s="33"/>
      <c r="K102" s="33"/>
      <c r="L102" s="33"/>
      <c r="M102" s="33"/>
      <c r="N102" s="33"/>
      <c r="O102" s="34"/>
      <c r="P102" s="32" t="str">
        <f aca="true">IF(OR(O102="",J102="Done",J102="Not applicable"),"",IF(O102&lt;TODAY(),"OVERDUE",""))</f>
        <v/>
      </c>
      <c r="Q102" s="32" t="str">
        <f aca="true">IF(AND(A102="",D102=""),"",IF(AND(I102="No",J102&lt;&gt;"Not applicable"),"Screen says not triggered - confirm or mark Not applicable. ","")&amp;IF(AND(G102&lt;&gt;"",J102&lt;&gt;"Done",J102&lt;&gt;"Not applicable",G102&lt;=TODAY()),"Duty already in force. ","")&amp;IF(AND(O102&lt;&gt;"",G102&lt;&gt;"",J102&lt;&gt;"Done",J102&lt;&gt;"Not applicable",O102&gt;G102),"Target date is after the duty applies. ","")&amp;IF(AND(N102="High",L102="",J102&lt;&gt;"Done",J102&lt;&gt;"Not applicable"),"High priority with no owner. ","")&amp;IF(AND(J102="Done",K102=""),"Done but no evidence location. ","")&amp;IF(AND(J102="Not applicable",M102=""),"Say why it is not applicable. ",""))</f>
        <v/>
      </c>
      <c r="R102" s="32" t="str">
        <f aca="false">IF(AND(A102&lt;&gt;"",N102="High",J102&lt;&gt;"Done",J102&lt;&gt;"Not applicable"),COUNTIFS($A$6:A102,"&lt;&gt;",$N$6:N102,"High",$J$6:J102,"&lt;&gt;Done",$J$6:J102,"&lt;&gt;Not applicable"),"")</f>
        <v/>
      </c>
    </row>
    <row r="103" customFormat="false" ht="39.75" hidden="false" customHeight="true" outlineLevel="0" collapsed="false">
      <c r="A103" s="28" t="s">
        <v>430</v>
      </c>
      <c r="B103" s="28" t="s">
        <v>55</v>
      </c>
      <c r="C103" s="28" t="s">
        <v>431</v>
      </c>
      <c r="D103" s="28" t="s">
        <v>432</v>
      </c>
      <c r="E103" s="28" t="s">
        <v>429</v>
      </c>
      <c r="F103" s="29" t="n">
        <v>3</v>
      </c>
      <c r="G103" s="30" t="n">
        <f aca="false">IF(F103="","",INDEX(Timeline!$C$8:$C$10,F103))</f>
        <v>46520</v>
      </c>
      <c r="H103" s="31" t="s">
        <v>83</v>
      </c>
      <c r="I103" s="32" t="str">
        <f aca="false">IF(H103="","",IF(H103="ALL","Yes",IF(IFERROR(INDEX('Applicability Screen'!$E$8:$E$20,MATCH(H103,'Applicability Screen'!$G$8:$G$20,0)),"")="","Answer screen",INDEX('Applicability Screen'!$E$8:$E$20,MATCH(H103,'Applicability Screen'!$G$8:$G$20,0)))))</f>
        <v>Answer screen</v>
      </c>
      <c r="J103" s="33"/>
      <c r="K103" s="33"/>
      <c r="L103" s="33"/>
      <c r="M103" s="33"/>
      <c r="N103" s="33"/>
      <c r="O103" s="34"/>
      <c r="P103" s="32" t="str">
        <f aca="true">IF(OR(O103="",J103="Done",J103="Not applicable"),"",IF(O103&lt;TODAY(),"OVERDUE",""))</f>
        <v/>
      </c>
      <c r="Q103" s="32" t="str">
        <f aca="true">IF(AND(A103="",D103=""),"",IF(AND(I103="No",J103&lt;&gt;"Not applicable"),"Screen says not triggered - confirm or mark Not applicable. ","")&amp;IF(AND(G103&lt;&gt;"",J103&lt;&gt;"Done",J103&lt;&gt;"Not applicable",G103&lt;=TODAY()),"Duty already in force. ","")&amp;IF(AND(O103&lt;&gt;"",G103&lt;&gt;"",J103&lt;&gt;"Done",J103&lt;&gt;"Not applicable",O103&gt;G103),"Target date is after the duty applies. ","")&amp;IF(AND(N103="High",L103="",J103&lt;&gt;"Done",J103&lt;&gt;"Not applicable"),"High priority with no owner. ","")&amp;IF(AND(J103="Done",K103=""),"Done but no evidence location. ","")&amp;IF(AND(J103="Not applicable",M103=""),"Say why it is not applicable. ",""))</f>
        <v/>
      </c>
      <c r="R103" s="32" t="str">
        <f aca="false">IF(AND(A103&lt;&gt;"",N103="High",J103&lt;&gt;"Done",J103&lt;&gt;"Not applicable"),COUNTIFS($A$6:A103,"&lt;&gt;",$N$6:N103,"High",$J$6:J103,"&lt;&gt;Done",$J$6:J103,"&lt;&gt;Not applicable"),"")</f>
        <v/>
      </c>
    </row>
    <row r="104" customFormat="false" ht="63.75" hidden="false" customHeight="true" outlineLevel="0" collapsed="false">
      <c r="A104" s="28" t="s">
        <v>433</v>
      </c>
      <c r="B104" s="28" t="s">
        <v>55</v>
      </c>
      <c r="C104" s="28" t="s">
        <v>434</v>
      </c>
      <c r="D104" s="28" t="s">
        <v>435</v>
      </c>
      <c r="E104" s="28" t="s">
        <v>140</v>
      </c>
      <c r="F104" s="29" t="n">
        <v>3</v>
      </c>
      <c r="G104" s="30" t="n">
        <f aca="false">IF(F104="","",INDEX(Timeline!$C$8:$C$10,F104))</f>
        <v>46520</v>
      </c>
      <c r="H104" s="31" t="s">
        <v>83</v>
      </c>
      <c r="I104" s="32" t="str">
        <f aca="false">IF(H104="","",IF(H104="ALL","Yes",IF(IFERROR(INDEX('Applicability Screen'!$E$8:$E$20,MATCH(H104,'Applicability Screen'!$G$8:$G$20,0)),"")="","Answer screen",INDEX('Applicability Screen'!$E$8:$E$20,MATCH(H104,'Applicability Screen'!$G$8:$G$20,0)))))</f>
        <v>Answer screen</v>
      </c>
      <c r="J104" s="33"/>
      <c r="K104" s="33"/>
      <c r="L104" s="33"/>
      <c r="M104" s="33"/>
      <c r="N104" s="33"/>
      <c r="O104" s="34"/>
      <c r="P104" s="32" t="str">
        <f aca="true">IF(OR(O104="",J104="Done",J104="Not applicable"),"",IF(O104&lt;TODAY(),"OVERDUE",""))</f>
        <v/>
      </c>
      <c r="Q104" s="32" t="str">
        <f aca="true">IF(AND(A104="",D104=""),"",IF(AND(I104="No",J104&lt;&gt;"Not applicable"),"Screen says not triggered - confirm or mark Not applicable. ","")&amp;IF(AND(G104&lt;&gt;"",J104&lt;&gt;"Done",J104&lt;&gt;"Not applicable",G104&lt;=TODAY()),"Duty already in force. ","")&amp;IF(AND(O104&lt;&gt;"",G104&lt;&gt;"",J104&lt;&gt;"Done",J104&lt;&gt;"Not applicable",O104&gt;G104),"Target date is after the duty applies. ","")&amp;IF(AND(N104="High",L104="",J104&lt;&gt;"Done",J104&lt;&gt;"Not applicable"),"High priority with no owner. ","")&amp;IF(AND(J104="Done",K104=""),"Done but no evidence location. ","")&amp;IF(AND(J104="Not applicable",M104=""),"Say why it is not applicable. ",""))</f>
        <v/>
      </c>
      <c r="R104" s="32" t="str">
        <f aca="false">IF(AND(A104&lt;&gt;"",N104="High",J104&lt;&gt;"Done",J104&lt;&gt;"Not applicable"),COUNTIFS($A$6:A104,"&lt;&gt;",$N$6:N104,"High",$J$6:J104,"&lt;&gt;Done",$J$6:J104,"&lt;&gt;Not applicable"),"")</f>
        <v/>
      </c>
    </row>
    <row r="105" customFormat="false" ht="25.5" hidden="false" customHeight="true" outlineLevel="0" collapsed="false">
      <c r="A105" s="33"/>
      <c r="B105" s="33"/>
      <c r="C105" s="33"/>
      <c r="D105" s="33"/>
      <c r="E105" s="33"/>
      <c r="F105" s="33"/>
      <c r="G105" s="30" t="str">
        <f aca="false">IF(F105="","",INDEX(Timeline!$C$8:$C$10,F105))</f>
        <v/>
      </c>
      <c r="H105" s="33"/>
      <c r="I105" s="32" t="str">
        <f aca="false">IF(H105="","",IF(H105="ALL","Yes",IF(IFERROR(INDEX('Applicability Screen'!$E$8:$E$20,MATCH(H105,'Applicability Screen'!$G$8:$G$20,0)),"")="","Answer screen",INDEX('Applicability Screen'!$E$8:$E$20,MATCH(H105,'Applicability Screen'!$G$8:$G$20,0)))))</f>
        <v/>
      </c>
      <c r="J105" s="33"/>
      <c r="K105" s="33"/>
      <c r="L105" s="33"/>
      <c r="M105" s="33"/>
      <c r="N105" s="33"/>
      <c r="O105" s="34"/>
      <c r="P105" s="32" t="str">
        <f aca="true">IF(OR(O105="",J105="Done",J105="Not applicable"),"",IF(O105&lt;TODAY(),"OVERDUE",""))</f>
        <v/>
      </c>
      <c r="Q105" s="32" t="str">
        <f aca="true">IF(AND(A105="",D105=""),"",IF(AND(I105="No",J105&lt;&gt;"Not applicable"),"Screen says not triggered - confirm or mark Not applicable. ","")&amp;IF(AND(G105&lt;&gt;"",J105&lt;&gt;"Done",J105&lt;&gt;"Not applicable",G105&lt;=TODAY()),"Duty already in force. ","")&amp;IF(AND(O105&lt;&gt;"",G105&lt;&gt;"",J105&lt;&gt;"Done",J105&lt;&gt;"Not applicable",O105&gt;G105),"Target date is after the duty applies. ","")&amp;IF(AND(N105="High",L105="",J105&lt;&gt;"Done",J105&lt;&gt;"Not applicable"),"High priority with no owner. ","")&amp;IF(AND(J105="Done",K105=""),"Done but no evidence location. ","")&amp;IF(AND(J105="Not applicable",M105=""),"Say why it is not applicable. ",""))</f>
        <v/>
      </c>
      <c r="R105" s="32" t="str">
        <f aca="false">IF(AND(A105&lt;&gt;"",N105="High",J105&lt;&gt;"Done",J105&lt;&gt;"Not applicable"),COUNTIFS($A$6:A105,"&lt;&gt;",$N$6:N105,"High",$J$6:J105,"&lt;&gt;Done",$J$6:J105,"&lt;&gt;Not applicable"),"")</f>
        <v/>
      </c>
    </row>
    <row r="106" customFormat="false" ht="25.5" hidden="false" customHeight="true" outlineLevel="0" collapsed="false">
      <c r="A106" s="33"/>
      <c r="B106" s="33"/>
      <c r="C106" s="33"/>
      <c r="D106" s="33"/>
      <c r="E106" s="33"/>
      <c r="F106" s="33"/>
      <c r="G106" s="30" t="str">
        <f aca="false">IF(F106="","",INDEX(Timeline!$C$8:$C$10,F106))</f>
        <v/>
      </c>
      <c r="H106" s="33"/>
      <c r="I106" s="32" t="str">
        <f aca="false">IF(H106="","",IF(H106="ALL","Yes",IF(IFERROR(INDEX('Applicability Screen'!$E$8:$E$20,MATCH(H106,'Applicability Screen'!$G$8:$G$20,0)),"")="","Answer screen",INDEX('Applicability Screen'!$E$8:$E$20,MATCH(H106,'Applicability Screen'!$G$8:$G$20,0)))))</f>
        <v/>
      </c>
      <c r="J106" s="33"/>
      <c r="K106" s="33"/>
      <c r="L106" s="33"/>
      <c r="M106" s="33"/>
      <c r="N106" s="33"/>
      <c r="O106" s="34"/>
      <c r="P106" s="32" t="str">
        <f aca="true">IF(OR(O106="",J106="Done",J106="Not applicable"),"",IF(O106&lt;TODAY(),"OVERDUE",""))</f>
        <v/>
      </c>
      <c r="Q106" s="32" t="str">
        <f aca="true">IF(AND(A106="",D106=""),"",IF(AND(I106="No",J106&lt;&gt;"Not applicable"),"Screen says not triggered - confirm or mark Not applicable. ","")&amp;IF(AND(G106&lt;&gt;"",J106&lt;&gt;"Done",J106&lt;&gt;"Not applicable",G106&lt;=TODAY()),"Duty already in force. ","")&amp;IF(AND(O106&lt;&gt;"",G106&lt;&gt;"",J106&lt;&gt;"Done",J106&lt;&gt;"Not applicable",O106&gt;G106),"Target date is after the duty applies. ","")&amp;IF(AND(N106="High",L106="",J106&lt;&gt;"Done",J106&lt;&gt;"Not applicable"),"High priority with no owner. ","")&amp;IF(AND(J106="Done",K106=""),"Done but no evidence location. ","")&amp;IF(AND(J106="Not applicable",M106=""),"Say why it is not applicable. ",""))</f>
        <v/>
      </c>
      <c r="R106" s="32" t="str">
        <f aca="false">IF(AND(A106&lt;&gt;"",N106="High",J106&lt;&gt;"Done",J106&lt;&gt;"Not applicable"),COUNTIFS($A$6:A106,"&lt;&gt;",$N$6:N106,"High",$J$6:J106,"&lt;&gt;Done",$J$6:J106,"&lt;&gt;Not applicable"),"")</f>
        <v/>
      </c>
    </row>
    <row r="107" customFormat="false" ht="25.5" hidden="false" customHeight="true" outlineLevel="0" collapsed="false">
      <c r="A107" s="33"/>
      <c r="B107" s="33"/>
      <c r="C107" s="33"/>
      <c r="D107" s="33"/>
      <c r="E107" s="33"/>
      <c r="F107" s="33"/>
      <c r="G107" s="30" t="str">
        <f aca="false">IF(F107="","",INDEX(Timeline!$C$8:$C$10,F107))</f>
        <v/>
      </c>
      <c r="H107" s="33"/>
      <c r="I107" s="32" t="str">
        <f aca="false">IF(H107="","",IF(H107="ALL","Yes",IF(IFERROR(INDEX('Applicability Screen'!$E$8:$E$20,MATCH(H107,'Applicability Screen'!$G$8:$G$20,0)),"")="","Answer screen",INDEX('Applicability Screen'!$E$8:$E$20,MATCH(H107,'Applicability Screen'!$G$8:$G$20,0)))))</f>
        <v/>
      </c>
      <c r="J107" s="33"/>
      <c r="K107" s="33"/>
      <c r="L107" s="33"/>
      <c r="M107" s="33"/>
      <c r="N107" s="33"/>
      <c r="O107" s="34"/>
      <c r="P107" s="32" t="str">
        <f aca="true">IF(OR(O107="",J107="Done",J107="Not applicable"),"",IF(O107&lt;TODAY(),"OVERDUE",""))</f>
        <v/>
      </c>
      <c r="Q107" s="32" t="str">
        <f aca="true">IF(AND(A107="",D107=""),"",IF(AND(I107="No",J107&lt;&gt;"Not applicable"),"Screen says not triggered - confirm or mark Not applicable. ","")&amp;IF(AND(G107&lt;&gt;"",J107&lt;&gt;"Done",J107&lt;&gt;"Not applicable",G107&lt;=TODAY()),"Duty already in force. ","")&amp;IF(AND(O107&lt;&gt;"",G107&lt;&gt;"",J107&lt;&gt;"Done",J107&lt;&gt;"Not applicable",O107&gt;G107),"Target date is after the duty applies. ","")&amp;IF(AND(N107="High",L107="",J107&lt;&gt;"Done",J107&lt;&gt;"Not applicable"),"High priority with no owner. ","")&amp;IF(AND(J107="Done",K107=""),"Done but no evidence location. ","")&amp;IF(AND(J107="Not applicable",M107=""),"Say why it is not applicable. ",""))</f>
        <v/>
      </c>
      <c r="R107" s="32" t="str">
        <f aca="false">IF(AND(A107&lt;&gt;"",N107="High",J107&lt;&gt;"Done",J107&lt;&gt;"Not applicable"),COUNTIFS($A$6:A107,"&lt;&gt;",$N$6:N107,"High",$J$6:J107,"&lt;&gt;Done",$J$6:J107,"&lt;&gt;Not applicable"),"")</f>
        <v/>
      </c>
    </row>
    <row r="108" customFormat="false" ht="25.5" hidden="false" customHeight="true" outlineLevel="0" collapsed="false">
      <c r="A108" s="33"/>
      <c r="B108" s="33"/>
      <c r="C108" s="33"/>
      <c r="D108" s="33"/>
      <c r="E108" s="33"/>
      <c r="F108" s="33"/>
      <c r="G108" s="30" t="str">
        <f aca="false">IF(F108="","",INDEX(Timeline!$C$8:$C$10,F108))</f>
        <v/>
      </c>
      <c r="H108" s="33"/>
      <c r="I108" s="32" t="str">
        <f aca="false">IF(H108="","",IF(H108="ALL","Yes",IF(IFERROR(INDEX('Applicability Screen'!$E$8:$E$20,MATCH(H108,'Applicability Screen'!$G$8:$G$20,0)),"")="","Answer screen",INDEX('Applicability Screen'!$E$8:$E$20,MATCH(H108,'Applicability Screen'!$G$8:$G$20,0)))))</f>
        <v/>
      </c>
      <c r="J108" s="33"/>
      <c r="K108" s="33"/>
      <c r="L108" s="33"/>
      <c r="M108" s="33"/>
      <c r="N108" s="33"/>
      <c r="O108" s="34"/>
      <c r="P108" s="32" t="str">
        <f aca="true">IF(OR(O108="",J108="Done",J108="Not applicable"),"",IF(O108&lt;TODAY(),"OVERDUE",""))</f>
        <v/>
      </c>
      <c r="Q108" s="32" t="str">
        <f aca="true">IF(AND(A108="",D108=""),"",IF(AND(I108="No",J108&lt;&gt;"Not applicable"),"Screen says not triggered - confirm or mark Not applicable. ","")&amp;IF(AND(G108&lt;&gt;"",J108&lt;&gt;"Done",J108&lt;&gt;"Not applicable",G108&lt;=TODAY()),"Duty already in force. ","")&amp;IF(AND(O108&lt;&gt;"",G108&lt;&gt;"",J108&lt;&gt;"Done",J108&lt;&gt;"Not applicable",O108&gt;G108),"Target date is after the duty applies. ","")&amp;IF(AND(N108="High",L108="",J108&lt;&gt;"Done",J108&lt;&gt;"Not applicable"),"High priority with no owner. ","")&amp;IF(AND(J108="Done",K108=""),"Done but no evidence location. ","")&amp;IF(AND(J108="Not applicable",M108=""),"Say why it is not applicable. ",""))</f>
        <v/>
      </c>
      <c r="R108" s="32" t="str">
        <f aca="false">IF(AND(A108&lt;&gt;"",N108="High",J108&lt;&gt;"Done",J108&lt;&gt;"Not applicable"),COUNTIFS($A$6:A108,"&lt;&gt;",$N$6:N108,"High",$J$6:J108,"&lt;&gt;Done",$J$6:J108,"&lt;&gt;Not applicable"),"")</f>
        <v/>
      </c>
    </row>
    <row r="109" customFormat="false" ht="25.5" hidden="false" customHeight="true" outlineLevel="0" collapsed="false">
      <c r="A109" s="33"/>
      <c r="B109" s="33"/>
      <c r="C109" s="33"/>
      <c r="D109" s="33"/>
      <c r="E109" s="33"/>
      <c r="F109" s="33"/>
      <c r="G109" s="30" t="str">
        <f aca="false">IF(F109="","",INDEX(Timeline!$C$8:$C$10,F109))</f>
        <v/>
      </c>
      <c r="H109" s="33"/>
      <c r="I109" s="32" t="str">
        <f aca="false">IF(H109="","",IF(H109="ALL","Yes",IF(IFERROR(INDEX('Applicability Screen'!$E$8:$E$20,MATCH(H109,'Applicability Screen'!$G$8:$G$20,0)),"")="","Answer screen",INDEX('Applicability Screen'!$E$8:$E$20,MATCH(H109,'Applicability Screen'!$G$8:$G$20,0)))))</f>
        <v/>
      </c>
      <c r="J109" s="33"/>
      <c r="K109" s="33"/>
      <c r="L109" s="33"/>
      <c r="M109" s="33"/>
      <c r="N109" s="33"/>
      <c r="O109" s="34"/>
      <c r="P109" s="32" t="str">
        <f aca="true">IF(OR(O109="",J109="Done",J109="Not applicable"),"",IF(O109&lt;TODAY(),"OVERDUE",""))</f>
        <v/>
      </c>
      <c r="Q109" s="32" t="str">
        <f aca="true">IF(AND(A109="",D109=""),"",IF(AND(I109="No",J109&lt;&gt;"Not applicable"),"Screen says not triggered - confirm or mark Not applicable. ","")&amp;IF(AND(G109&lt;&gt;"",J109&lt;&gt;"Done",J109&lt;&gt;"Not applicable",G109&lt;=TODAY()),"Duty already in force. ","")&amp;IF(AND(O109&lt;&gt;"",G109&lt;&gt;"",J109&lt;&gt;"Done",J109&lt;&gt;"Not applicable",O109&gt;G109),"Target date is after the duty applies. ","")&amp;IF(AND(N109="High",L109="",J109&lt;&gt;"Done",J109&lt;&gt;"Not applicable"),"High priority with no owner. ","")&amp;IF(AND(J109="Done",K109=""),"Done but no evidence location. ","")&amp;IF(AND(J109="Not applicable",M109=""),"Say why it is not applicable. ",""))</f>
        <v/>
      </c>
      <c r="R109" s="32" t="str">
        <f aca="false">IF(AND(A109&lt;&gt;"",N109="High",J109&lt;&gt;"Done",J109&lt;&gt;"Not applicable"),COUNTIFS($A$6:A109,"&lt;&gt;",$N$6:N109,"High",$J$6:J109,"&lt;&gt;Done",$J$6:J109,"&lt;&gt;Not applicable"),"")</f>
        <v/>
      </c>
    </row>
    <row r="110" customFormat="false" ht="25.5" hidden="false" customHeight="true" outlineLevel="0" collapsed="false">
      <c r="A110" s="33"/>
      <c r="B110" s="33"/>
      <c r="C110" s="33"/>
      <c r="D110" s="33"/>
      <c r="E110" s="33"/>
      <c r="F110" s="33"/>
      <c r="G110" s="30" t="str">
        <f aca="false">IF(F110="","",INDEX(Timeline!$C$8:$C$10,F110))</f>
        <v/>
      </c>
      <c r="H110" s="33"/>
      <c r="I110" s="32" t="str">
        <f aca="false">IF(H110="","",IF(H110="ALL","Yes",IF(IFERROR(INDEX('Applicability Screen'!$E$8:$E$20,MATCH(H110,'Applicability Screen'!$G$8:$G$20,0)),"")="","Answer screen",INDEX('Applicability Screen'!$E$8:$E$20,MATCH(H110,'Applicability Screen'!$G$8:$G$20,0)))))</f>
        <v/>
      </c>
      <c r="J110" s="33"/>
      <c r="K110" s="33"/>
      <c r="L110" s="33"/>
      <c r="M110" s="33"/>
      <c r="N110" s="33"/>
      <c r="O110" s="34"/>
      <c r="P110" s="32" t="str">
        <f aca="true">IF(OR(O110="",J110="Done",J110="Not applicable"),"",IF(O110&lt;TODAY(),"OVERDUE",""))</f>
        <v/>
      </c>
      <c r="Q110" s="32" t="str">
        <f aca="true">IF(AND(A110="",D110=""),"",IF(AND(I110="No",J110&lt;&gt;"Not applicable"),"Screen says not triggered - confirm or mark Not applicable. ","")&amp;IF(AND(G110&lt;&gt;"",J110&lt;&gt;"Done",J110&lt;&gt;"Not applicable",G110&lt;=TODAY()),"Duty already in force. ","")&amp;IF(AND(O110&lt;&gt;"",G110&lt;&gt;"",J110&lt;&gt;"Done",J110&lt;&gt;"Not applicable",O110&gt;G110),"Target date is after the duty applies. ","")&amp;IF(AND(N110="High",L110="",J110&lt;&gt;"Done",J110&lt;&gt;"Not applicable"),"High priority with no owner. ","")&amp;IF(AND(J110="Done",K110=""),"Done but no evidence location. ","")&amp;IF(AND(J110="Not applicable",M110=""),"Say why it is not applicable. ",""))</f>
        <v/>
      </c>
      <c r="R110" s="32" t="str">
        <f aca="false">IF(AND(A110&lt;&gt;"",N110="High",J110&lt;&gt;"Done",J110&lt;&gt;"Not applicable"),COUNTIFS($A$6:A110,"&lt;&gt;",$N$6:N110,"High",$J$6:J110,"&lt;&gt;Done",$J$6:J110,"&lt;&gt;Not applicable"),"")</f>
        <v/>
      </c>
    </row>
    <row r="111" customFormat="false" ht="25.5" hidden="false" customHeight="true" outlineLevel="0" collapsed="false">
      <c r="A111" s="33"/>
      <c r="B111" s="33"/>
      <c r="C111" s="33"/>
      <c r="D111" s="33"/>
      <c r="E111" s="33"/>
      <c r="F111" s="33"/>
      <c r="G111" s="30" t="str">
        <f aca="false">IF(F111="","",INDEX(Timeline!$C$8:$C$10,F111))</f>
        <v/>
      </c>
      <c r="H111" s="33"/>
      <c r="I111" s="32" t="str">
        <f aca="false">IF(H111="","",IF(H111="ALL","Yes",IF(IFERROR(INDEX('Applicability Screen'!$E$8:$E$20,MATCH(H111,'Applicability Screen'!$G$8:$G$20,0)),"")="","Answer screen",INDEX('Applicability Screen'!$E$8:$E$20,MATCH(H111,'Applicability Screen'!$G$8:$G$20,0)))))</f>
        <v/>
      </c>
      <c r="J111" s="33"/>
      <c r="K111" s="33"/>
      <c r="L111" s="33"/>
      <c r="M111" s="33"/>
      <c r="N111" s="33"/>
      <c r="O111" s="34"/>
      <c r="P111" s="32" t="str">
        <f aca="true">IF(OR(O111="",J111="Done",J111="Not applicable"),"",IF(O111&lt;TODAY(),"OVERDUE",""))</f>
        <v/>
      </c>
      <c r="Q111" s="32" t="str">
        <f aca="true">IF(AND(A111="",D111=""),"",IF(AND(I111="No",J111&lt;&gt;"Not applicable"),"Screen says not triggered - confirm or mark Not applicable. ","")&amp;IF(AND(G111&lt;&gt;"",J111&lt;&gt;"Done",J111&lt;&gt;"Not applicable",G111&lt;=TODAY()),"Duty already in force. ","")&amp;IF(AND(O111&lt;&gt;"",G111&lt;&gt;"",J111&lt;&gt;"Done",J111&lt;&gt;"Not applicable",O111&gt;G111),"Target date is after the duty applies. ","")&amp;IF(AND(N111="High",L111="",J111&lt;&gt;"Done",J111&lt;&gt;"Not applicable"),"High priority with no owner. ","")&amp;IF(AND(J111="Done",K111=""),"Done but no evidence location. ","")&amp;IF(AND(J111="Not applicable",M111=""),"Say why it is not applicable. ",""))</f>
        <v/>
      </c>
      <c r="R111" s="32" t="str">
        <f aca="false">IF(AND(A111&lt;&gt;"",N111="High",J111&lt;&gt;"Done",J111&lt;&gt;"Not applicable"),COUNTIFS($A$6:A111,"&lt;&gt;",$N$6:N111,"High",$J$6:J111,"&lt;&gt;Done",$J$6:J111,"&lt;&gt;Not applicable"),"")</f>
        <v/>
      </c>
    </row>
    <row r="112" customFormat="false" ht="25.5" hidden="false" customHeight="true" outlineLevel="0" collapsed="false">
      <c r="A112" s="33"/>
      <c r="B112" s="33"/>
      <c r="C112" s="33"/>
      <c r="D112" s="33"/>
      <c r="E112" s="33"/>
      <c r="F112" s="33"/>
      <c r="G112" s="30" t="str">
        <f aca="false">IF(F112="","",INDEX(Timeline!$C$8:$C$10,F112))</f>
        <v/>
      </c>
      <c r="H112" s="33"/>
      <c r="I112" s="32" t="str">
        <f aca="false">IF(H112="","",IF(H112="ALL","Yes",IF(IFERROR(INDEX('Applicability Screen'!$E$8:$E$20,MATCH(H112,'Applicability Screen'!$G$8:$G$20,0)),"")="","Answer screen",INDEX('Applicability Screen'!$E$8:$E$20,MATCH(H112,'Applicability Screen'!$G$8:$G$20,0)))))</f>
        <v/>
      </c>
      <c r="J112" s="33"/>
      <c r="K112" s="33"/>
      <c r="L112" s="33"/>
      <c r="M112" s="33"/>
      <c r="N112" s="33"/>
      <c r="O112" s="34"/>
      <c r="P112" s="32" t="str">
        <f aca="true">IF(OR(O112="",J112="Done",J112="Not applicable"),"",IF(O112&lt;TODAY(),"OVERDUE",""))</f>
        <v/>
      </c>
      <c r="Q112" s="32" t="str">
        <f aca="true">IF(AND(A112="",D112=""),"",IF(AND(I112="No",J112&lt;&gt;"Not applicable"),"Screen says not triggered - confirm or mark Not applicable. ","")&amp;IF(AND(G112&lt;&gt;"",J112&lt;&gt;"Done",J112&lt;&gt;"Not applicable",G112&lt;=TODAY()),"Duty already in force. ","")&amp;IF(AND(O112&lt;&gt;"",G112&lt;&gt;"",J112&lt;&gt;"Done",J112&lt;&gt;"Not applicable",O112&gt;G112),"Target date is after the duty applies. ","")&amp;IF(AND(N112="High",L112="",J112&lt;&gt;"Done",J112&lt;&gt;"Not applicable"),"High priority with no owner. ","")&amp;IF(AND(J112="Done",K112=""),"Done but no evidence location. ","")&amp;IF(AND(J112="Not applicable",M112=""),"Say why it is not applicable. ",""))</f>
        <v/>
      </c>
      <c r="R112" s="32" t="str">
        <f aca="false">IF(AND(A112&lt;&gt;"",N112="High",J112&lt;&gt;"Done",J112&lt;&gt;"Not applicable"),COUNTIFS($A$6:A112,"&lt;&gt;",$N$6:N112,"High",$J$6:J112,"&lt;&gt;Done",$J$6:J112,"&lt;&gt;Not applicable"),"")</f>
        <v/>
      </c>
    </row>
    <row r="113" customFormat="false" ht="25.5" hidden="false" customHeight="true" outlineLevel="0" collapsed="false">
      <c r="A113" s="33"/>
      <c r="B113" s="33"/>
      <c r="C113" s="33"/>
      <c r="D113" s="33"/>
      <c r="E113" s="33"/>
      <c r="F113" s="33"/>
      <c r="G113" s="30" t="str">
        <f aca="false">IF(F113="","",INDEX(Timeline!$C$8:$C$10,F113))</f>
        <v/>
      </c>
      <c r="H113" s="33"/>
      <c r="I113" s="32" t="str">
        <f aca="false">IF(H113="","",IF(H113="ALL","Yes",IF(IFERROR(INDEX('Applicability Screen'!$E$8:$E$20,MATCH(H113,'Applicability Screen'!$G$8:$G$20,0)),"")="","Answer screen",INDEX('Applicability Screen'!$E$8:$E$20,MATCH(H113,'Applicability Screen'!$G$8:$G$20,0)))))</f>
        <v/>
      </c>
      <c r="J113" s="33"/>
      <c r="K113" s="33"/>
      <c r="L113" s="33"/>
      <c r="M113" s="33"/>
      <c r="N113" s="33"/>
      <c r="O113" s="34"/>
      <c r="P113" s="32" t="str">
        <f aca="true">IF(OR(O113="",J113="Done",J113="Not applicable"),"",IF(O113&lt;TODAY(),"OVERDUE",""))</f>
        <v/>
      </c>
      <c r="Q113" s="32" t="str">
        <f aca="true">IF(AND(A113="",D113=""),"",IF(AND(I113="No",J113&lt;&gt;"Not applicable"),"Screen says not triggered - confirm or mark Not applicable. ","")&amp;IF(AND(G113&lt;&gt;"",J113&lt;&gt;"Done",J113&lt;&gt;"Not applicable",G113&lt;=TODAY()),"Duty already in force. ","")&amp;IF(AND(O113&lt;&gt;"",G113&lt;&gt;"",J113&lt;&gt;"Done",J113&lt;&gt;"Not applicable",O113&gt;G113),"Target date is after the duty applies. ","")&amp;IF(AND(N113="High",L113="",J113&lt;&gt;"Done",J113&lt;&gt;"Not applicable"),"High priority with no owner. ","")&amp;IF(AND(J113="Done",K113=""),"Done but no evidence location. ","")&amp;IF(AND(J113="Not applicable",M113=""),"Say why it is not applicable. ",""))</f>
        <v/>
      </c>
      <c r="R113" s="32" t="str">
        <f aca="false">IF(AND(A113&lt;&gt;"",N113="High",J113&lt;&gt;"Done",J113&lt;&gt;"Not applicable"),COUNTIFS($A$6:A113,"&lt;&gt;",$N$6:N113,"High",$J$6:J113,"&lt;&gt;Done",$J$6:J113,"&lt;&gt;Not applicable"),"")</f>
        <v/>
      </c>
    </row>
    <row r="114" customFormat="false" ht="25.5" hidden="false" customHeight="true" outlineLevel="0" collapsed="false">
      <c r="A114" s="33"/>
      <c r="B114" s="33"/>
      <c r="C114" s="33"/>
      <c r="D114" s="33"/>
      <c r="E114" s="33"/>
      <c r="F114" s="33"/>
      <c r="G114" s="30" t="str">
        <f aca="false">IF(F114="","",INDEX(Timeline!$C$8:$C$10,F114))</f>
        <v/>
      </c>
      <c r="H114" s="33"/>
      <c r="I114" s="32" t="str">
        <f aca="false">IF(H114="","",IF(H114="ALL","Yes",IF(IFERROR(INDEX('Applicability Screen'!$E$8:$E$20,MATCH(H114,'Applicability Screen'!$G$8:$G$20,0)),"")="","Answer screen",INDEX('Applicability Screen'!$E$8:$E$20,MATCH(H114,'Applicability Screen'!$G$8:$G$20,0)))))</f>
        <v/>
      </c>
      <c r="J114" s="33"/>
      <c r="K114" s="33"/>
      <c r="L114" s="33"/>
      <c r="M114" s="33"/>
      <c r="N114" s="33"/>
      <c r="O114" s="34"/>
      <c r="P114" s="32" t="str">
        <f aca="true">IF(OR(O114="",J114="Done",J114="Not applicable"),"",IF(O114&lt;TODAY(),"OVERDUE",""))</f>
        <v/>
      </c>
      <c r="Q114" s="32" t="str">
        <f aca="true">IF(AND(A114="",D114=""),"",IF(AND(I114="No",J114&lt;&gt;"Not applicable"),"Screen says not triggered - confirm or mark Not applicable. ","")&amp;IF(AND(G114&lt;&gt;"",J114&lt;&gt;"Done",J114&lt;&gt;"Not applicable",G114&lt;=TODAY()),"Duty already in force. ","")&amp;IF(AND(O114&lt;&gt;"",G114&lt;&gt;"",J114&lt;&gt;"Done",J114&lt;&gt;"Not applicable",O114&gt;G114),"Target date is after the duty applies. ","")&amp;IF(AND(N114="High",L114="",J114&lt;&gt;"Done",J114&lt;&gt;"Not applicable"),"High priority with no owner. ","")&amp;IF(AND(J114="Done",K114=""),"Done but no evidence location. ","")&amp;IF(AND(J114="Not applicable",M114=""),"Say why it is not applicable. ",""))</f>
        <v/>
      </c>
      <c r="R114" s="32" t="str">
        <f aca="false">IF(AND(A114&lt;&gt;"",N114="High",J114&lt;&gt;"Done",J114&lt;&gt;"Not applicable"),COUNTIFS($A$6:A114,"&lt;&gt;",$N$6:N114,"High",$J$6:J114,"&lt;&gt;Done",$J$6:J114,"&lt;&gt;Not applicable"),"")</f>
        <v/>
      </c>
    </row>
    <row r="115" customFormat="false" ht="25.5" hidden="false" customHeight="true" outlineLevel="0" collapsed="false">
      <c r="A115" s="33"/>
      <c r="B115" s="33"/>
      <c r="C115" s="33"/>
      <c r="D115" s="33"/>
      <c r="E115" s="33"/>
      <c r="F115" s="33"/>
      <c r="G115" s="30" t="str">
        <f aca="false">IF(F115="","",INDEX(Timeline!$C$8:$C$10,F115))</f>
        <v/>
      </c>
      <c r="H115" s="33"/>
      <c r="I115" s="32" t="str">
        <f aca="false">IF(H115="","",IF(H115="ALL","Yes",IF(IFERROR(INDEX('Applicability Screen'!$E$8:$E$20,MATCH(H115,'Applicability Screen'!$G$8:$G$20,0)),"")="","Answer screen",INDEX('Applicability Screen'!$E$8:$E$20,MATCH(H115,'Applicability Screen'!$G$8:$G$20,0)))))</f>
        <v/>
      </c>
      <c r="J115" s="33"/>
      <c r="K115" s="33"/>
      <c r="L115" s="33"/>
      <c r="M115" s="33"/>
      <c r="N115" s="33"/>
      <c r="O115" s="34"/>
      <c r="P115" s="32" t="str">
        <f aca="true">IF(OR(O115="",J115="Done",J115="Not applicable"),"",IF(O115&lt;TODAY(),"OVERDUE",""))</f>
        <v/>
      </c>
      <c r="Q115" s="32" t="str">
        <f aca="true">IF(AND(A115="",D115=""),"",IF(AND(I115="No",J115&lt;&gt;"Not applicable"),"Screen says not triggered - confirm or mark Not applicable. ","")&amp;IF(AND(G115&lt;&gt;"",J115&lt;&gt;"Done",J115&lt;&gt;"Not applicable",G115&lt;=TODAY()),"Duty already in force. ","")&amp;IF(AND(O115&lt;&gt;"",G115&lt;&gt;"",J115&lt;&gt;"Done",J115&lt;&gt;"Not applicable",O115&gt;G115),"Target date is after the duty applies. ","")&amp;IF(AND(N115="High",L115="",J115&lt;&gt;"Done",J115&lt;&gt;"Not applicable"),"High priority with no owner. ","")&amp;IF(AND(J115="Done",K115=""),"Done but no evidence location. ","")&amp;IF(AND(J115="Not applicable",M115=""),"Say why it is not applicable. ",""))</f>
        <v/>
      </c>
      <c r="R115" s="32" t="str">
        <f aca="false">IF(AND(A115&lt;&gt;"",N115="High",J115&lt;&gt;"Done",J115&lt;&gt;"Not applicable"),COUNTIFS($A$6:A115,"&lt;&gt;",$N$6:N115,"High",$J$6:J115,"&lt;&gt;Done",$J$6:J115,"&lt;&gt;Not applicable"),"")</f>
        <v/>
      </c>
    </row>
    <row r="116" customFormat="false" ht="25.5" hidden="false" customHeight="true" outlineLevel="0" collapsed="false">
      <c r="A116" s="33"/>
      <c r="B116" s="33"/>
      <c r="C116" s="33"/>
      <c r="D116" s="33"/>
      <c r="E116" s="33"/>
      <c r="F116" s="33"/>
      <c r="G116" s="30" t="str">
        <f aca="false">IF(F116="","",INDEX(Timeline!$C$8:$C$10,F116))</f>
        <v/>
      </c>
      <c r="H116" s="33"/>
      <c r="I116" s="32" t="str">
        <f aca="false">IF(H116="","",IF(H116="ALL","Yes",IF(IFERROR(INDEX('Applicability Screen'!$E$8:$E$20,MATCH(H116,'Applicability Screen'!$G$8:$G$20,0)),"")="","Answer screen",INDEX('Applicability Screen'!$E$8:$E$20,MATCH(H116,'Applicability Screen'!$G$8:$G$20,0)))))</f>
        <v/>
      </c>
      <c r="J116" s="33"/>
      <c r="K116" s="33"/>
      <c r="L116" s="33"/>
      <c r="M116" s="33"/>
      <c r="N116" s="33"/>
      <c r="O116" s="34"/>
      <c r="P116" s="32" t="str">
        <f aca="true">IF(OR(O116="",J116="Done",J116="Not applicable"),"",IF(O116&lt;TODAY(),"OVERDUE",""))</f>
        <v/>
      </c>
      <c r="Q116" s="32" t="str">
        <f aca="true">IF(AND(A116="",D116=""),"",IF(AND(I116="No",J116&lt;&gt;"Not applicable"),"Screen says not triggered - confirm or mark Not applicable. ","")&amp;IF(AND(G116&lt;&gt;"",J116&lt;&gt;"Done",J116&lt;&gt;"Not applicable",G116&lt;=TODAY()),"Duty already in force. ","")&amp;IF(AND(O116&lt;&gt;"",G116&lt;&gt;"",J116&lt;&gt;"Done",J116&lt;&gt;"Not applicable",O116&gt;G116),"Target date is after the duty applies. ","")&amp;IF(AND(N116="High",L116="",J116&lt;&gt;"Done",J116&lt;&gt;"Not applicable"),"High priority with no owner. ","")&amp;IF(AND(J116="Done",K116=""),"Done but no evidence location. ","")&amp;IF(AND(J116="Not applicable",M116=""),"Say why it is not applicable. ",""))</f>
        <v/>
      </c>
      <c r="R116" s="32" t="str">
        <f aca="false">IF(AND(A116&lt;&gt;"",N116="High",J116&lt;&gt;"Done",J116&lt;&gt;"Not applicable"),COUNTIFS($A$6:A116,"&lt;&gt;",$N$6:N116,"High",$J$6:J116,"&lt;&gt;Done",$J$6:J116,"&lt;&gt;Not applicable"),"")</f>
        <v/>
      </c>
    </row>
    <row r="117" customFormat="false" ht="25.5" hidden="false" customHeight="true" outlineLevel="0" collapsed="false">
      <c r="A117" s="33"/>
      <c r="B117" s="33"/>
      <c r="C117" s="33"/>
      <c r="D117" s="33"/>
      <c r="E117" s="33"/>
      <c r="F117" s="33"/>
      <c r="G117" s="30" t="str">
        <f aca="false">IF(F117="","",INDEX(Timeline!$C$8:$C$10,F117))</f>
        <v/>
      </c>
      <c r="H117" s="33"/>
      <c r="I117" s="32" t="str">
        <f aca="false">IF(H117="","",IF(H117="ALL","Yes",IF(IFERROR(INDEX('Applicability Screen'!$E$8:$E$20,MATCH(H117,'Applicability Screen'!$G$8:$G$20,0)),"")="","Answer screen",INDEX('Applicability Screen'!$E$8:$E$20,MATCH(H117,'Applicability Screen'!$G$8:$G$20,0)))))</f>
        <v/>
      </c>
      <c r="J117" s="33"/>
      <c r="K117" s="33"/>
      <c r="L117" s="33"/>
      <c r="M117" s="33"/>
      <c r="N117" s="33"/>
      <c r="O117" s="34"/>
      <c r="P117" s="32" t="str">
        <f aca="true">IF(OR(O117="",J117="Done",J117="Not applicable"),"",IF(O117&lt;TODAY(),"OVERDUE",""))</f>
        <v/>
      </c>
      <c r="Q117" s="32" t="str">
        <f aca="true">IF(AND(A117="",D117=""),"",IF(AND(I117="No",J117&lt;&gt;"Not applicable"),"Screen says not triggered - confirm or mark Not applicable. ","")&amp;IF(AND(G117&lt;&gt;"",J117&lt;&gt;"Done",J117&lt;&gt;"Not applicable",G117&lt;=TODAY()),"Duty already in force. ","")&amp;IF(AND(O117&lt;&gt;"",G117&lt;&gt;"",J117&lt;&gt;"Done",J117&lt;&gt;"Not applicable",O117&gt;G117),"Target date is after the duty applies. ","")&amp;IF(AND(N117="High",L117="",J117&lt;&gt;"Done",J117&lt;&gt;"Not applicable"),"High priority with no owner. ","")&amp;IF(AND(J117="Done",K117=""),"Done but no evidence location. ","")&amp;IF(AND(J117="Not applicable",M117=""),"Say why it is not applicable. ",""))</f>
        <v/>
      </c>
      <c r="R117" s="32" t="str">
        <f aca="false">IF(AND(A117&lt;&gt;"",N117="High",J117&lt;&gt;"Done",J117&lt;&gt;"Not applicable"),COUNTIFS($A$6:A117,"&lt;&gt;",$N$6:N117,"High",$J$6:J117,"&lt;&gt;Done",$J$6:J117,"&lt;&gt;Not applicable"),"")</f>
        <v/>
      </c>
    </row>
    <row r="118" customFormat="false" ht="25.5" hidden="false" customHeight="true" outlineLevel="0" collapsed="false">
      <c r="A118" s="33"/>
      <c r="B118" s="33"/>
      <c r="C118" s="33"/>
      <c r="D118" s="33"/>
      <c r="E118" s="33"/>
      <c r="F118" s="33"/>
      <c r="G118" s="30" t="str">
        <f aca="false">IF(F118="","",INDEX(Timeline!$C$8:$C$10,F118))</f>
        <v/>
      </c>
      <c r="H118" s="33"/>
      <c r="I118" s="32" t="str">
        <f aca="false">IF(H118="","",IF(H118="ALL","Yes",IF(IFERROR(INDEX('Applicability Screen'!$E$8:$E$20,MATCH(H118,'Applicability Screen'!$G$8:$G$20,0)),"")="","Answer screen",INDEX('Applicability Screen'!$E$8:$E$20,MATCH(H118,'Applicability Screen'!$G$8:$G$20,0)))))</f>
        <v/>
      </c>
      <c r="J118" s="33"/>
      <c r="K118" s="33"/>
      <c r="L118" s="33"/>
      <c r="M118" s="33"/>
      <c r="N118" s="33"/>
      <c r="O118" s="34"/>
      <c r="P118" s="32" t="str">
        <f aca="true">IF(OR(O118="",J118="Done",J118="Not applicable"),"",IF(O118&lt;TODAY(),"OVERDUE",""))</f>
        <v/>
      </c>
      <c r="Q118" s="32" t="str">
        <f aca="true">IF(AND(A118="",D118=""),"",IF(AND(I118="No",J118&lt;&gt;"Not applicable"),"Screen says not triggered - confirm or mark Not applicable. ","")&amp;IF(AND(G118&lt;&gt;"",J118&lt;&gt;"Done",J118&lt;&gt;"Not applicable",G118&lt;=TODAY()),"Duty already in force. ","")&amp;IF(AND(O118&lt;&gt;"",G118&lt;&gt;"",J118&lt;&gt;"Done",J118&lt;&gt;"Not applicable",O118&gt;G118),"Target date is after the duty applies. ","")&amp;IF(AND(N118="High",L118="",J118&lt;&gt;"Done",J118&lt;&gt;"Not applicable"),"High priority with no owner. ","")&amp;IF(AND(J118="Done",K118=""),"Done but no evidence location. ","")&amp;IF(AND(J118="Not applicable",M118=""),"Say why it is not applicable. ",""))</f>
        <v/>
      </c>
      <c r="R118" s="32" t="str">
        <f aca="false">IF(AND(A118&lt;&gt;"",N118="High",J118&lt;&gt;"Done",J118&lt;&gt;"Not applicable"),COUNTIFS($A$6:A118,"&lt;&gt;",$N$6:N118,"High",$J$6:J118,"&lt;&gt;Done",$J$6:J118,"&lt;&gt;Not applicable"),"")</f>
        <v/>
      </c>
    </row>
    <row r="119" customFormat="false" ht="25.5" hidden="false" customHeight="true" outlineLevel="0" collapsed="false">
      <c r="A119" s="33"/>
      <c r="B119" s="33"/>
      <c r="C119" s="33"/>
      <c r="D119" s="33"/>
      <c r="E119" s="33"/>
      <c r="F119" s="33"/>
      <c r="G119" s="30" t="str">
        <f aca="false">IF(F119="","",INDEX(Timeline!$C$8:$C$10,F119))</f>
        <v/>
      </c>
      <c r="H119" s="33"/>
      <c r="I119" s="32" t="str">
        <f aca="false">IF(H119="","",IF(H119="ALL","Yes",IF(IFERROR(INDEX('Applicability Screen'!$E$8:$E$20,MATCH(H119,'Applicability Screen'!$G$8:$G$20,0)),"")="","Answer screen",INDEX('Applicability Screen'!$E$8:$E$20,MATCH(H119,'Applicability Screen'!$G$8:$G$20,0)))))</f>
        <v/>
      </c>
      <c r="J119" s="33"/>
      <c r="K119" s="33"/>
      <c r="L119" s="33"/>
      <c r="M119" s="33"/>
      <c r="N119" s="33"/>
      <c r="O119" s="34"/>
      <c r="P119" s="32" t="str">
        <f aca="true">IF(OR(O119="",J119="Done",J119="Not applicable"),"",IF(O119&lt;TODAY(),"OVERDUE",""))</f>
        <v/>
      </c>
      <c r="Q119" s="32" t="str">
        <f aca="true">IF(AND(A119="",D119=""),"",IF(AND(I119="No",J119&lt;&gt;"Not applicable"),"Screen says not triggered - confirm or mark Not applicable. ","")&amp;IF(AND(G119&lt;&gt;"",J119&lt;&gt;"Done",J119&lt;&gt;"Not applicable",G119&lt;=TODAY()),"Duty already in force. ","")&amp;IF(AND(O119&lt;&gt;"",G119&lt;&gt;"",J119&lt;&gt;"Done",J119&lt;&gt;"Not applicable",O119&gt;G119),"Target date is after the duty applies. ","")&amp;IF(AND(N119="High",L119="",J119&lt;&gt;"Done",J119&lt;&gt;"Not applicable"),"High priority with no owner. ","")&amp;IF(AND(J119="Done",K119=""),"Done but no evidence location. ","")&amp;IF(AND(J119="Not applicable",M119=""),"Say why it is not applicable. ",""))</f>
        <v/>
      </c>
      <c r="R119" s="32" t="str">
        <f aca="false">IF(AND(A119&lt;&gt;"",N119="High",J119&lt;&gt;"Done",J119&lt;&gt;"Not applicable"),COUNTIFS($A$6:A119,"&lt;&gt;",$N$6:N119,"High",$J$6:J119,"&lt;&gt;Done",$J$6:J119,"&lt;&gt;Not applicable"),"")</f>
        <v/>
      </c>
    </row>
  </sheetData>
  <autoFilter ref="A5:R119"/>
  <conditionalFormatting sqref="P6:P119">
    <cfRule type="cellIs" priority="2" operator="equal" aboveAverage="0" equalAverage="0" bottom="0" percent="0" rank="0" text="" dxfId="0">
      <formula>"OVERDUE"</formula>
    </cfRule>
  </conditionalFormatting>
  <conditionalFormatting sqref="Q6:Q119">
    <cfRule type="expression" priority="3" aboveAverage="0" equalAverage="0" bottom="0" percent="0" rank="0" text="" dxfId="14">
      <formula>LEN(Q6)&gt;0</formula>
    </cfRule>
  </conditionalFormatting>
  <conditionalFormatting sqref="J6:J119">
    <cfRule type="cellIs" priority="4" operator="equal" aboveAverage="0" equalAverage="0" bottom="0" percent="0" rank="0" text="" dxfId="2">
      <formula>"Done"</formula>
    </cfRule>
    <cfRule type="cellIs" priority="5" operator="equal" aboveAverage="0" equalAverage="0" bottom="0" percent="0" rank="0" text="" dxfId="1">
      <formula>"In progress"</formula>
    </cfRule>
  </conditionalFormatting>
  <conditionalFormatting sqref="N6:N119">
    <cfRule type="cellIs" priority="6" operator="equal" aboveAverage="0" equalAverage="0" bottom="0" percent="0" rank="0" text="" dxfId="0">
      <formula>"High"</formula>
    </cfRule>
  </conditionalFormatting>
  <dataValidations count="4">
    <dataValidation allowBlank="true" error="Pick a value from the list" errorStyle="stop" errorTitle="Not in list" operator="between" showDropDown="false" showErrorMessage="false" showInputMessage="false" sqref="J6:J119" type="list">
      <formula1>Lists!$A$6:$A$9</formula1>
      <formula2>0</formula2>
    </dataValidation>
    <dataValidation allowBlank="true" error="Pick a value from the list" errorStyle="stop" errorTitle="Not in list" operator="between" showDropDown="false" showErrorMessage="false" showInputMessage="false" sqref="N6:N119" type="list">
      <formula1>Lists!$B$6:$B$8</formula1>
      <formula2>0</formula2>
    </dataValidation>
    <dataValidation allowBlank="true" error="Pick a value from the list" errorStyle="stop" errorTitle="Not in list" operator="between" showDropDown="false" showErrorMessage="false" showInputMessage="false" sqref="B105:B119" type="list">
      <formula1>Lists!$D$6:$D$21</formula1>
      <formula2>0</formula2>
    </dataValidation>
    <dataValidation allowBlank="true" error="Enter a date (for example 31/01/2027)" errorStyle="stop" errorTitle="Not a date" operator="greaterThan" showDropDown="false" showErrorMessage="false" showInputMessage="false" sqref="O6:O119" type="date">
      <formula1>36526</formula1>
      <formula2>0</formula2>
    </dataValidation>
  </dataValidation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0"/>
    <col collapsed="false" customWidth="true" hidden="false" outlineLevel="0" max="5" min="4" style="0" width="46"/>
    <col collapsed="false" customWidth="true" hidden="false" outlineLevel="0" max="6" min="6" style="0" width="13"/>
    <col collapsed="false" customWidth="true" hidden="false" outlineLevel="0" max="7" min="7" style="0" width="34"/>
  </cols>
  <sheetData>
    <row r="1" customFormat="false" ht="48" hidden="false" customHeight="true" outlineLevel="0" collapsed="false">
      <c r="B1" s="1" t="s">
        <v>436</v>
      </c>
    </row>
    <row r="2" customFormat="false" ht="18" hidden="false" customHeight="true" outlineLevel="0" collapsed="false">
      <c r="B2" s="2" t="s">
        <v>1</v>
      </c>
    </row>
    <row r="3" customFormat="false" ht="3.75" hidden="false" customHeight="true" outlineLevel="0" collapsed="false">
      <c r="A3" s="3"/>
      <c r="B3" s="3"/>
      <c r="C3" s="3"/>
      <c r="D3" s="3"/>
      <c r="E3" s="3"/>
      <c r="F3" s="3"/>
      <c r="G3" s="3"/>
    </row>
    <row r="5" customFormat="false" ht="39.75" hidden="false" customHeight="true" outlineLevel="0" collapsed="false">
      <c r="B5" s="39" t="s">
        <v>437</v>
      </c>
      <c r="C5" s="40" t="n">
        <v>45974</v>
      </c>
      <c r="D5" s="20" t="s">
        <v>438</v>
      </c>
      <c r="E5" s="20"/>
      <c r="F5" s="20"/>
      <c r="G5" s="20"/>
    </row>
    <row r="7" customFormat="false" ht="23.85" hidden="false" customHeight="false" outlineLevel="0" collapsed="false">
      <c r="B7" s="6" t="s">
        <v>116</v>
      </c>
      <c r="C7" s="6" t="s">
        <v>439</v>
      </c>
      <c r="D7" s="6" t="s">
        <v>440</v>
      </c>
      <c r="E7" s="6" t="s">
        <v>441</v>
      </c>
      <c r="F7" s="6" t="s">
        <v>442</v>
      </c>
      <c r="G7" s="6" t="s">
        <v>443</v>
      </c>
    </row>
    <row r="8" customFormat="false" ht="33.75" hidden="false" customHeight="true" outlineLevel="0" collapsed="false">
      <c r="B8" s="41" t="s">
        <v>444</v>
      </c>
      <c r="C8" s="42" t="n">
        <f aca="false">C5</f>
        <v>45974</v>
      </c>
      <c r="D8" s="41" t="s">
        <v>445</v>
      </c>
      <c r="E8" s="41" t="s">
        <v>446</v>
      </c>
      <c r="F8" s="43" t="n">
        <f aca="true">C8-TODAY()</f>
        <v>-348</v>
      </c>
      <c r="G8" s="41" t="s">
        <v>447</v>
      </c>
    </row>
    <row r="9" customFormat="false" ht="48" hidden="false" customHeight="true" outlineLevel="0" collapsed="false">
      <c r="B9" s="41" t="s">
        <v>448</v>
      </c>
      <c r="C9" s="42" t="n">
        <f aca="false">EDATE(C5,12)</f>
        <v>46339</v>
      </c>
      <c r="D9" s="41" t="s">
        <v>449</v>
      </c>
      <c r="E9" s="41" t="s">
        <v>450</v>
      </c>
      <c r="F9" s="43" t="n">
        <f aca="true">C9-TODAY()</f>
        <v>17</v>
      </c>
      <c r="G9" s="41" t="s">
        <v>447</v>
      </c>
    </row>
    <row r="10" customFormat="false" ht="61.5" hidden="false" customHeight="true" outlineLevel="0" collapsed="false">
      <c r="B10" s="41" t="s">
        <v>451</v>
      </c>
      <c r="C10" s="42" t="n">
        <f aca="false">EDATE(C5,18)</f>
        <v>46520</v>
      </c>
      <c r="D10" s="41" t="s">
        <v>452</v>
      </c>
      <c r="E10" s="41" t="s">
        <v>453</v>
      </c>
      <c r="F10" s="43" t="n">
        <f aca="true">C10-TODAY()</f>
        <v>198</v>
      </c>
      <c r="G10" s="41" t="s">
        <v>447</v>
      </c>
    </row>
    <row r="12" customFormat="false" ht="15" hidden="false" customHeight="false" outlineLevel="0" collapsed="false">
      <c r="B12" s="44" t="s">
        <v>454</v>
      </c>
    </row>
    <row r="13" customFormat="false" ht="15" hidden="false" customHeight="true" outlineLevel="0" collapsed="false">
      <c r="B13" s="6" t="s">
        <v>455</v>
      </c>
      <c r="C13" s="6" t="s">
        <v>456</v>
      </c>
      <c r="D13" s="6" t="s">
        <v>457</v>
      </c>
      <c r="E13" s="6" t="s">
        <v>458</v>
      </c>
      <c r="F13" s="6"/>
      <c r="G13" s="6" t="s">
        <v>459</v>
      </c>
    </row>
    <row r="14" customFormat="false" ht="45" hidden="false" customHeight="true" outlineLevel="0" collapsed="false">
      <c r="B14" s="45" t="n">
        <v>45149</v>
      </c>
      <c r="C14" s="41" t="s">
        <v>460</v>
      </c>
      <c r="D14" s="41" t="s">
        <v>461</v>
      </c>
      <c r="E14" s="41" t="s">
        <v>462</v>
      </c>
      <c r="F14" s="41"/>
      <c r="G14" s="41" t="s">
        <v>463</v>
      </c>
    </row>
    <row r="15" customFormat="false" ht="45" hidden="false" customHeight="true" outlineLevel="0" collapsed="false">
      <c r="B15" s="45" t="n">
        <v>45660</v>
      </c>
      <c r="C15" s="41" t="s">
        <v>464</v>
      </c>
      <c r="D15" s="41" t="s">
        <v>465</v>
      </c>
      <c r="E15" s="41" t="s">
        <v>466</v>
      </c>
      <c r="F15" s="41"/>
      <c r="G15" s="41" t="s">
        <v>467</v>
      </c>
    </row>
    <row r="16" customFormat="false" ht="31.5" hidden="false" customHeight="true" outlineLevel="0" collapsed="false">
      <c r="B16" s="45" t="n">
        <v>45974</v>
      </c>
      <c r="C16" s="41" t="s">
        <v>468</v>
      </c>
      <c r="D16" s="41" t="s">
        <v>469</v>
      </c>
      <c r="E16" s="41" t="s">
        <v>470</v>
      </c>
      <c r="F16" s="41"/>
      <c r="G16" s="41" t="s">
        <v>463</v>
      </c>
    </row>
    <row r="17" customFormat="false" ht="31.5" hidden="false" customHeight="true" outlineLevel="0" collapsed="false">
      <c r="B17" s="45" t="n">
        <v>45974</v>
      </c>
      <c r="C17" s="41" t="s">
        <v>471</v>
      </c>
      <c r="D17" s="41" t="s">
        <v>472</v>
      </c>
      <c r="E17" s="41" t="s">
        <v>473</v>
      </c>
      <c r="F17" s="41"/>
      <c r="G17" s="41" t="s">
        <v>463</v>
      </c>
    </row>
    <row r="18" customFormat="false" ht="31.5" hidden="false" customHeight="true" outlineLevel="0" collapsed="false">
      <c r="B18" s="45" t="n">
        <v>45975</v>
      </c>
      <c r="C18" s="41" t="s">
        <v>474</v>
      </c>
      <c r="D18" s="41" t="s">
        <v>475</v>
      </c>
      <c r="E18" s="41" t="s">
        <v>476</v>
      </c>
      <c r="F18" s="41"/>
      <c r="G18" s="41" t="s">
        <v>477</v>
      </c>
    </row>
    <row r="19" customFormat="false" ht="18.75" hidden="false" customHeight="true" outlineLevel="0" collapsed="false">
      <c r="B19" s="30" t="n">
        <f aca="false">C9</f>
        <v>46339</v>
      </c>
      <c r="C19" s="41" t="s">
        <v>478</v>
      </c>
      <c r="D19" s="41" t="s">
        <v>479</v>
      </c>
      <c r="E19" s="41" t="s">
        <v>480</v>
      </c>
      <c r="F19" s="41"/>
      <c r="G19" s="41" t="s">
        <v>481</v>
      </c>
    </row>
    <row r="20" customFormat="false" ht="31.5" hidden="false" customHeight="true" outlineLevel="0" collapsed="false">
      <c r="B20" s="30" t="n">
        <f aca="false">C10</f>
        <v>46520</v>
      </c>
      <c r="C20" s="41" t="s">
        <v>482</v>
      </c>
      <c r="D20" s="41" t="s">
        <v>483</v>
      </c>
      <c r="E20" s="41" t="s">
        <v>484</v>
      </c>
      <c r="F20" s="41"/>
      <c r="G20" s="41" t="s">
        <v>481</v>
      </c>
    </row>
    <row r="21" customFormat="false" ht="70.5" hidden="false" customHeight="true" outlineLevel="0" collapsed="false">
      <c r="B21" s="45" t="s">
        <v>485</v>
      </c>
      <c r="C21" s="46" t="s">
        <v>486</v>
      </c>
      <c r="D21" s="41" t="s">
        <v>487</v>
      </c>
      <c r="E21" s="41" t="s">
        <v>488</v>
      </c>
      <c r="F21" s="41"/>
      <c r="G21" s="46" t="s">
        <v>489</v>
      </c>
    </row>
    <row r="22" customFormat="false" ht="45" hidden="false" customHeight="true" outlineLevel="0" collapsed="false">
      <c r="B22" s="45" t="s">
        <v>490</v>
      </c>
      <c r="C22" s="46" t="s">
        <v>491</v>
      </c>
      <c r="D22" s="41" t="s">
        <v>492</v>
      </c>
      <c r="E22" s="41" t="s">
        <v>493</v>
      </c>
      <c r="F22" s="41"/>
      <c r="G22" s="46" t="s">
        <v>494</v>
      </c>
    </row>
    <row r="24" customFormat="false" ht="27.75" hidden="false" customHeight="true" outlineLevel="0" collapsed="false">
      <c r="B24" s="47" t="s">
        <v>495</v>
      </c>
      <c r="C24" s="47"/>
      <c r="D24" s="47"/>
      <c r="E24" s="47"/>
      <c r="F24" s="47"/>
      <c r="G24" s="47"/>
    </row>
  </sheetData>
  <mergeCells count="12">
    <mergeCell ref="D5:G5"/>
    <mergeCell ref="E13:F13"/>
    <mergeCell ref="E14:F14"/>
    <mergeCell ref="E15:F15"/>
    <mergeCell ref="E16:F16"/>
    <mergeCell ref="E17:F17"/>
    <mergeCell ref="E18:F18"/>
    <mergeCell ref="E19:F19"/>
    <mergeCell ref="E20:F20"/>
    <mergeCell ref="E21:F21"/>
    <mergeCell ref="E22:F22"/>
    <mergeCell ref="B24:G24"/>
  </mergeCell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6"/>
    <col collapsed="false" customWidth="true" hidden="false" outlineLevel="0" max="3" min="3" style="0" width="58"/>
    <col collapsed="false" customWidth="true" hidden="false" outlineLevel="0" max="4" min="4" style="0" width="16"/>
    <col collapsed="false" customWidth="true" hidden="false" outlineLevel="0" max="5" min="5" style="0" width="30"/>
    <col collapsed="false" customWidth="true" hidden="false" outlineLevel="0" max="6" min="6" style="0" width="18"/>
    <col collapsed="false" customWidth="true" hidden="false" outlineLevel="0" max="7" min="7" style="0" width="30"/>
  </cols>
  <sheetData>
    <row r="1" customFormat="false" ht="48" hidden="false" customHeight="true" outlineLevel="0" collapsed="false">
      <c r="B1" s="1" t="s">
        <v>496</v>
      </c>
    </row>
    <row r="2" customFormat="false" ht="18" hidden="false" customHeight="true" outlineLevel="0" collapsed="false">
      <c r="B2" s="2" t="s">
        <v>1</v>
      </c>
    </row>
    <row r="3" customFormat="false" ht="3.75" hidden="false" customHeight="true" outlineLevel="0" collapsed="false">
      <c r="A3" s="3"/>
      <c r="B3" s="3"/>
      <c r="C3" s="3"/>
      <c r="D3" s="3"/>
      <c r="E3" s="3"/>
      <c r="F3" s="3"/>
      <c r="G3" s="3"/>
    </row>
    <row r="5" customFormat="false" ht="23.85" hidden="false" customHeight="false" outlineLevel="0" collapsed="false">
      <c r="B5" s="6" t="s">
        <v>497</v>
      </c>
      <c r="C5" s="6" t="s">
        <v>498</v>
      </c>
      <c r="D5" s="6" t="s">
        <v>499</v>
      </c>
      <c r="E5" s="6" t="s">
        <v>500</v>
      </c>
      <c r="F5" s="6" t="s">
        <v>501</v>
      </c>
      <c r="G5" s="6" t="s">
        <v>502</v>
      </c>
    </row>
    <row r="6" customFormat="false" ht="31.5" hidden="false" customHeight="true" outlineLevel="0" collapsed="false">
      <c r="B6" s="41" t="n">
        <v>1</v>
      </c>
      <c r="C6" s="41" t="s">
        <v>503</v>
      </c>
      <c r="D6" s="41" t="s">
        <v>504</v>
      </c>
      <c r="E6" s="41" t="s">
        <v>505</v>
      </c>
      <c r="F6" s="48" t="n">
        <v>2500000000</v>
      </c>
      <c r="G6" s="41" t="s">
        <v>45</v>
      </c>
    </row>
    <row r="7" customFormat="false" ht="31.5" hidden="false" customHeight="true" outlineLevel="0" collapsed="false">
      <c r="B7" s="41" t="n">
        <v>2</v>
      </c>
      <c r="C7" s="41" t="s">
        <v>506</v>
      </c>
      <c r="D7" s="41" t="s">
        <v>507</v>
      </c>
      <c r="E7" s="41" t="s">
        <v>508</v>
      </c>
      <c r="F7" s="48" t="n">
        <v>2000000000</v>
      </c>
      <c r="G7" s="41" t="s">
        <v>46</v>
      </c>
    </row>
    <row r="8" customFormat="false" ht="18.75" hidden="false" customHeight="true" outlineLevel="0" collapsed="false">
      <c r="B8" s="41" t="n">
        <v>3</v>
      </c>
      <c r="C8" s="41" t="s">
        <v>509</v>
      </c>
      <c r="D8" s="41" t="s">
        <v>510</v>
      </c>
      <c r="E8" s="41" t="s">
        <v>508</v>
      </c>
      <c r="F8" s="48" t="n">
        <v>2000000000</v>
      </c>
      <c r="G8" s="41" t="s">
        <v>50</v>
      </c>
    </row>
    <row r="9" customFormat="false" ht="31.5" hidden="false" customHeight="true" outlineLevel="0" collapsed="false">
      <c r="B9" s="41" t="n">
        <v>4</v>
      </c>
      <c r="C9" s="41" t="s">
        <v>511</v>
      </c>
      <c r="D9" s="41" t="s">
        <v>512</v>
      </c>
      <c r="E9" s="41" t="s">
        <v>513</v>
      </c>
      <c r="F9" s="48" t="n">
        <v>1500000000</v>
      </c>
      <c r="G9" s="41" t="s">
        <v>51</v>
      </c>
    </row>
    <row r="10" customFormat="false" ht="18.75" hidden="false" customHeight="true" outlineLevel="0" collapsed="false">
      <c r="B10" s="41" t="n">
        <v>5</v>
      </c>
      <c r="C10" s="41" t="s">
        <v>514</v>
      </c>
      <c r="D10" s="41" t="s">
        <v>515</v>
      </c>
      <c r="E10" s="41" t="s">
        <v>516</v>
      </c>
      <c r="F10" s="48" t="n">
        <v>10000</v>
      </c>
      <c r="G10" s="41" t="s">
        <v>517</v>
      </c>
    </row>
    <row r="11" customFormat="false" ht="45" hidden="false" customHeight="true" outlineLevel="0" collapsed="false">
      <c r="B11" s="41" t="n">
        <v>6</v>
      </c>
      <c r="C11" s="41" t="s">
        <v>518</v>
      </c>
      <c r="D11" s="41" t="s">
        <v>519</v>
      </c>
      <c r="E11" s="41" t="s">
        <v>520</v>
      </c>
      <c r="F11" s="48" t="s">
        <v>521</v>
      </c>
      <c r="G11" s="41" t="s">
        <v>522</v>
      </c>
    </row>
    <row r="12" customFormat="false" ht="31.5" hidden="false" customHeight="true" outlineLevel="0" collapsed="false">
      <c r="B12" s="41" t="n">
        <v>7</v>
      </c>
      <c r="C12" s="41" t="s">
        <v>523</v>
      </c>
      <c r="D12" s="41" t="s">
        <v>524</v>
      </c>
      <c r="E12" s="41" t="s">
        <v>525</v>
      </c>
      <c r="F12" s="48" t="n">
        <v>500000000</v>
      </c>
      <c r="G12" s="41" t="s">
        <v>526</v>
      </c>
    </row>
    <row r="14" customFormat="false" ht="21.75" hidden="false" customHeight="true" outlineLevel="0" collapsed="false">
      <c r="C14" s="49" t="s">
        <v>527</v>
      </c>
      <c r="D14" s="49"/>
      <c r="E14" s="49"/>
      <c r="F14" s="49"/>
      <c r="G14" s="49"/>
    </row>
    <row r="15" customFormat="false" ht="31.5" hidden="false" customHeight="true" outlineLevel="0" collapsed="false">
      <c r="C15" s="50" t="s">
        <v>528</v>
      </c>
      <c r="D15" s="50"/>
      <c r="E15" s="50"/>
      <c r="F15" s="50"/>
      <c r="G15" s="50"/>
    </row>
    <row r="16" customFormat="false" ht="45.75" hidden="false" customHeight="true" outlineLevel="0" collapsed="false">
      <c r="C16" s="50" t="s">
        <v>529</v>
      </c>
      <c r="D16" s="50"/>
      <c r="E16" s="50"/>
      <c r="F16" s="50"/>
      <c r="G16" s="50"/>
    </row>
    <row r="17" customFormat="false" ht="31.5" hidden="false" customHeight="true" outlineLevel="0" collapsed="false">
      <c r="C17" s="50" t="s">
        <v>530</v>
      </c>
      <c r="D17" s="50"/>
      <c r="E17" s="50"/>
      <c r="F17" s="50"/>
      <c r="G17" s="50"/>
    </row>
    <row r="18" customFormat="false" ht="31.5" hidden="false" customHeight="true" outlineLevel="0" collapsed="false">
      <c r="C18" s="50" t="s">
        <v>531</v>
      </c>
      <c r="D18" s="50"/>
      <c r="E18" s="50"/>
      <c r="F18" s="50"/>
      <c r="G18" s="50"/>
    </row>
    <row r="19" customFormat="false" ht="18" hidden="false" customHeight="true" outlineLevel="0" collapsed="false">
      <c r="C19" s="50" t="s">
        <v>532</v>
      </c>
      <c r="D19" s="50"/>
      <c r="E19" s="50"/>
      <c r="F19" s="50"/>
      <c r="G19" s="50"/>
    </row>
  </sheetData>
  <mergeCells count="6">
    <mergeCell ref="C14:G14"/>
    <mergeCell ref="C15:G15"/>
    <mergeCell ref="C16:G16"/>
    <mergeCell ref="C17:G17"/>
    <mergeCell ref="C18:G18"/>
    <mergeCell ref="C19:G19"/>
  </mergeCell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78"/>
    <col collapsed="false" customWidth="true" hidden="false" outlineLevel="0" max="3" min="3" style="0" width="72"/>
  </cols>
  <sheetData>
    <row r="1" customFormat="false" ht="48" hidden="false" customHeight="true" outlineLevel="0" collapsed="false">
      <c r="B1" s="1" t="s">
        <v>533</v>
      </c>
    </row>
    <row r="2" customFormat="false" ht="18" hidden="false" customHeight="true" outlineLevel="0" collapsed="false">
      <c r="B2" s="2" t="s">
        <v>1</v>
      </c>
    </row>
    <row r="3" customFormat="false" ht="3.75" hidden="false" customHeight="true" outlineLevel="0" collapsed="false">
      <c r="A3" s="3"/>
      <c r="B3" s="3"/>
      <c r="C3" s="3"/>
    </row>
    <row r="5" customFormat="false" ht="15" hidden="false" customHeight="false" outlineLevel="0" collapsed="false">
      <c r="A5" s="51"/>
      <c r="B5" s="6" t="s">
        <v>534</v>
      </c>
      <c r="C5" s="6" t="s">
        <v>535</v>
      </c>
    </row>
    <row r="6" customFormat="false" ht="49.5" hidden="false" customHeight="true" outlineLevel="0" collapsed="false">
      <c r="B6" s="5" t="s">
        <v>536</v>
      </c>
      <c r="C6" s="52" t="s">
        <v>537</v>
      </c>
    </row>
    <row r="7" customFormat="false" ht="49.5" hidden="false" customHeight="true" outlineLevel="0" collapsed="false">
      <c r="B7" s="5" t="s">
        <v>538</v>
      </c>
      <c r="C7" s="52" t="s">
        <v>539</v>
      </c>
    </row>
    <row r="8" customFormat="false" ht="36" hidden="false" customHeight="true" outlineLevel="0" collapsed="false">
      <c r="B8" s="5" t="s">
        <v>540</v>
      </c>
      <c r="C8" s="52" t="s">
        <v>541</v>
      </c>
    </row>
    <row r="9" customFormat="false" ht="36" hidden="false" customHeight="true" outlineLevel="0" collapsed="false">
      <c r="B9" s="5" t="s">
        <v>542</v>
      </c>
      <c r="C9" s="52" t="s">
        <v>543</v>
      </c>
    </row>
    <row r="10" customFormat="false" ht="49.5" hidden="false" customHeight="true" outlineLevel="0" collapsed="false">
      <c r="B10" s="5" t="s">
        <v>544</v>
      </c>
      <c r="C10" s="52" t="s">
        <v>545</v>
      </c>
    </row>
    <row r="11" customFormat="false" ht="49.5" hidden="false" customHeight="true" outlineLevel="0" collapsed="false">
      <c r="B11" s="53" t="s">
        <v>546</v>
      </c>
      <c r="C11" s="52" t="s">
        <v>547</v>
      </c>
    </row>
    <row r="13" customFormat="false" ht="60" hidden="false" customHeight="true" outlineLevel="0" collapsed="false">
      <c r="B13" s="54" t="s">
        <v>548</v>
      </c>
    </row>
    <row r="15" customFormat="false" ht="45.75" hidden="false" customHeight="true" outlineLevel="0" collapsed="false">
      <c r="B15" s="39" t="s">
        <v>549</v>
      </c>
    </row>
  </sheetData>
  <hyperlinks>
    <hyperlink ref="C6" r:id="rId1" display="https://www.meity.gov.in/static/uploads/2024/06/2bf1f0e9f04e6fb4f8fef35e82c42aa5.pdf"/>
    <hyperlink ref="C7" r:id="rId2" display="https://www.meity.gov.in/static/uploads/2025/11/53450e6e5dc0bfa85ebd78686cadad39.pdf"/>
    <hyperlink ref="C8" r:id="rId3" display="https://egazette.gov.in/WriteReadData/2025/267650.pdf"/>
    <hyperlink ref="C9" r:id="rId4" display="https://egazette.gov.in/WriteReadData/2025/267647.pdf"/>
    <hyperlink ref="C10" r:id="rId5" display="https://www.pib.gov.in/PressReleasePage.aspx?PRID=2190014"/>
    <hyperlink ref="C11" r:id="rId6" display="https://www.scconline.com/blog/post/2026/10/15/dpdp-removal-of-difficulties-order-2026/"/>
  </hyperlink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7"/>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4" min="1" style="0" width="34"/>
  </cols>
  <sheetData>
    <row r="1" customFormat="false" ht="48" hidden="false" customHeight="true" outlineLevel="0" collapsed="false">
      <c r="B1" s="1" t="s">
        <v>550</v>
      </c>
    </row>
    <row r="2" customFormat="false" ht="18" hidden="false" customHeight="true" outlineLevel="0" collapsed="false">
      <c r="B2" s="2" t="s">
        <v>1</v>
      </c>
    </row>
    <row r="3" customFormat="false" ht="3.75" hidden="false" customHeight="true" outlineLevel="0" collapsed="false">
      <c r="A3" s="3"/>
      <c r="B3" s="3"/>
      <c r="C3" s="3"/>
      <c r="D3" s="3"/>
    </row>
    <row r="5" customFormat="false" ht="15" hidden="false" customHeight="false" outlineLevel="0" collapsed="false">
      <c r="A5" s="6" t="s">
        <v>120</v>
      </c>
      <c r="B5" s="6" t="s">
        <v>123</v>
      </c>
      <c r="C5" s="6" t="s">
        <v>551</v>
      </c>
      <c r="D5" s="6" t="s">
        <v>30</v>
      </c>
    </row>
    <row r="6" customFormat="false" ht="15" hidden="false" customHeight="false" outlineLevel="0" collapsed="false">
      <c r="A6" s="55" t="s">
        <v>36</v>
      </c>
      <c r="B6" s="55" t="s">
        <v>160</v>
      </c>
      <c r="C6" s="55" t="s">
        <v>552</v>
      </c>
      <c r="D6" s="55" t="s">
        <v>40</v>
      </c>
    </row>
    <row r="7" customFormat="false" ht="15" hidden="false" customHeight="false" outlineLevel="0" collapsed="false">
      <c r="A7" s="55" t="s">
        <v>35</v>
      </c>
      <c r="B7" s="55" t="s">
        <v>291</v>
      </c>
      <c r="C7" s="55" t="s">
        <v>553</v>
      </c>
      <c r="D7" s="55" t="s">
        <v>41</v>
      </c>
    </row>
    <row r="8" customFormat="false" ht="15" hidden="false" customHeight="false" outlineLevel="0" collapsed="false">
      <c r="A8" s="55" t="s">
        <v>34</v>
      </c>
      <c r="B8" s="55" t="s">
        <v>554</v>
      </c>
      <c r="C8" s="55" t="s">
        <v>555</v>
      </c>
      <c r="D8" s="55" t="s">
        <v>42</v>
      </c>
    </row>
    <row r="9" customFormat="false" ht="15" hidden="false" customHeight="false" outlineLevel="0" collapsed="false">
      <c r="A9" s="55" t="s">
        <v>32</v>
      </c>
      <c r="D9" s="55" t="s">
        <v>43</v>
      </c>
    </row>
    <row r="10" customFormat="false" ht="15" hidden="false" customHeight="false" outlineLevel="0" collapsed="false">
      <c r="D10" s="55" t="s">
        <v>44</v>
      </c>
    </row>
    <row r="11" customFormat="false" ht="15" hidden="false" customHeight="false" outlineLevel="0" collapsed="false">
      <c r="D11" s="55" t="s">
        <v>45</v>
      </c>
    </row>
    <row r="12" customFormat="false" ht="15" hidden="false" customHeight="false" outlineLevel="0" collapsed="false">
      <c r="D12" s="55" t="s">
        <v>46</v>
      </c>
    </row>
    <row r="13" customFormat="false" ht="15" hidden="false" customHeight="false" outlineLevel="0" collapsed="false">
      <c r="D13" s="55" t="s">
        <v>47</v>
      </c>
    </row>
    <row r="14" customFormat="false" ht="15" hidden="false" customHeight="false" outlineLevel="0" collapsed="false">
      <c r="D14" s="55" t="s">
        <v>48</v>
      </c>
    </row>
    <row r="15" customFormat="false" ht="15" hidden="false" customHeight="false" outlineLevel="0" collapsed="false">
      <c r="D15" s="55" t="s">
        <v>49</v>
      </c>
    </row>
    <row r="16" customFormat="false" ht="15" hidden="false" customHeight="false" outlineLevel="0" collapsed="false">
      <c r="D16" s="55" t="s">
        <v>50</v>
      </c>
    </row>
    <row r="17" customFormat="false" ht="15" hidden="false" customHeight="false" outlineLevel="0" collapsed="false">
      <c r="D17" s="55" t="s">
        <v>51</v>
      </c>
    </row>
    <row r="18" customFormat="false" ht="15" hidden="false" customHeight="false" outlineLevel="0" collapsed="false">
      <c r="D18" s="55" t="s">
        <v>52</v>
      </c>
    </row>
    <row r="19" customFormat="false" ht="15" hidden="false" customHeight="false" outlineLevel="0" collapsed="false">
      <c r="D19" s="55" t="s">
        <v>53</v>
      </c>
    </row>
    <row r="20" customFormat="false" ht="15" hidden="false" customHeight="false" outlineLevel="0" collapsed="false">
      <c r="D20" s="55" t="s">
        <v>54</v>
      </c>
    </row>
    <row r="21" customFormat="false" ht="15" hidden="false" customHeight="false" outlineLevel="0" collapsed="false">
      <c r="D21" s="55" t="s">
        <v>55</v>
      </c>
    </row>
  </sheetData>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By John Bommeraveni Joseph  |  linkedin.com/in/john-bj  |  Free every weekday: GRC Made Simple Daily</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2026-10-27T13:48:45Z</dcterms:created>
  <dc:creator>John Bommeraveni Joseph - GRC Made Simple</dc:creator>
  <dc:description/>
  <dc:language>en-CA</dc:language>
  <cp:lastModifiedBy/>
  <dcterms:modified xsi:type="dcterms:W3CDTF">2026-10-27T13:48:45Z</dcterms:modified>
  <cp:revision>0</cp:revision>
  <dc:subject/>
  <dc:title>DPDP Act 2023 &amp; DPDP Rules 2025 - Readiness Checklist</dc:title>
</cp:coreProperties>
</file>

<file path=docProps/custom.xml><?xml version="1.0" encoding="utf-8"?>
<Properties xmlns="http://schemas.openxmlformats.org/officeDocument/2006/custom-properties" xmlns:vt="http://schemas.openxmlformats.org/officeDocument/2006/docPropsVTypes"/>
</file>