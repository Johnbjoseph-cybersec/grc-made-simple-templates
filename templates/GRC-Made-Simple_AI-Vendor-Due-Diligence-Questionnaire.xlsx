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Vendor Profile" sheetId="3" state="visible" r:id="rId5"/>
    <sheet name="Questionnaire" sheetId="4" state="visible" r:id="rId6"/>
    <sheet name="Scoring Summary" sheetId="5" state="visible" r:id="rId7"/>
    <sheet name="Follow-up Tracker" sheetId="6" state="visible" r:id="rId8"/>
    <sheet name="Sources" sheetId="7" state="visible" r:id="rId9"/>
    <sheet name="Lists" sheetId="8" state="visible" r:id="rId10"/>
  </sheets>
  <definedNames>
    <definedName function="false" hidden="false" localSheetId="5" name="_xlnm.Print_Titles" vbProcedure="false">'Follow-up Tracker'!$5:$5</definedName>
    <definedName function="false" hidden="true" localSheetId="5" name="_xlnm._FilterDatabase" vbProcedure="false">'Follow-up Tracker'!$A$5:$P$105</definedName>
    <definedName function="false" hidden="false" localSheetId="3" name="_xlnm.Print_Titles" vbProcedure="false">Questionnaire!$5:$5</definedName>
    <definedName function="false" hidden="true" localSheetId="3" name="_xlnm._FilterDatabase" vbProcedure="false">Questionnaire!$A$5:$O$93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<sst xmlns="http://schemas.openxmlformats.org/spreadsheetml/2006/main" count="878" uniqueCount="593">
  <si>
    <t xml:space="preserve">AI Vendor Due-Diligence Questionnaire</t>
  </si>
  <si>
    <t xml:space="preserve">By John Bommeraveni Joseph  |  linkedin.com/in/john-bj  |  Free every weekday: GRC Made Simple Daily</t>
  </si>
  <si>
    <t xml:space="preserve">What this is</t>
  </si>
  <si>
    <t xml:space="preserve">A due-diligence questionnaire and scoring workbook for buying or renewing any product with AI features - 74 questions in 14 sections covering training use of your data, retention, the model provider behind the product, certifications (scope and period, not the logo), silent model updates, testing, agent permissions, output handling, human oversight, logging, incident notification, regulatory position, IP and exit. Built for CISOs, GRC, procurement and privacy teams; supports third-party AI risk work under ISO/IEC 42001 (Annex A.10 Third-party and customer relationships), the NIST AI RMF and the EU AI Act.</t>
  </si>
  <si>
    <t xml:space="preserve">How to use it (one workbook per vendor)</t>
  </si>
  <si>
    <t xml:space="preserve">1. Save a copy for the vendor first. The workbook ships filled with a worked example for a fictional vendor so you can see every formula working. To start a real review, clear the yellow cells on Vendor Profile, the yellow columns F, G, H and O on Questionnaire, and rows 6-7 of Follow-up Tracker.</t>
  </si>
  <si>
    <t xml:space="preserve">2. Vendor Profile: record the product, AI features in scope, model provider(s), data shared and the criticality tier. The sheet suggests a minimum tier from the data and use you describe.</t>
  </si>
  <si>
    <t xml:space="preserve">3. Send the Questionnaire to the vendor (columns A to G). Ask for evidence, not marketing: the 'What good evidence looks like' column tells both sides what will be accepted.</t>
  </si>
  <si>
    <t xml:space="preserve">4. Score every answered question 0-3 on the evidence you received, not on the vendor's answer. Adjust the weight (1-3) and the Critical flag to your risk appetite before scoring, and record that decision.</t>
  </si>
  <si>
    <t xml:space="preserve">5. Scoring Summary gives section scores, the overall rating, red flags and a recommendation using the thresholds shown on that sheet. Change the thresholds there (yellow cells) to match your TPRM policy.</t>
  </si>
  <si>
    <t xml:space="preserve">6. Follow-up Tracker: log every gap, condition or evidence request with an owner and due date. 'Approve with conditions' only makes sense if the conditions are tracked here and in the contract.</t>
  </si>
  <si>
    <t xml:space="preserve">7. Dashboard: the one-page result for the approver or the third-party risk committee.</t>
  </si>
  <si>
    <t xml:space="preserve">Scoring scale (reviewer score)</t>
  </si>
  <si>
    <t xml:space="preserve">0 = Not in place, refused, or no answer.   1 = Weak: claimed with little or no evidence, or major gaps.   2 = Adequate: in place and evidenced, with minor gaps.   3 = Strong: in place, evidenced and committed in the contract.   N/A = not relevant to this product; excluded from the score - justify it in the notes.</t>
  </si>
  <si>
    <t xml:space="preserve">Red flag = a Critical question answered 'No' or scored 0 or 1. Any red flag stops 'Approve'.</t>
  </si>
  <si>
    <t xml:space="preserve">Legend</t>
  </si>
  <si>
    <t xml:space="preserve">Yellow cell = your input.   Grey cell = calculated - do not type in it.   The Check column on the Questionnaire tells you what is still missing for each question.</t>
  </si>
  <si>
    <t xml:space="preserve">Important</t>
  </si>
  <si>
    <t xml:space="preserve">This template supports, and does not replace, legal advice, your contract review or the text of the regulations and standards. EU AI Act references follow Regulation (EU) 2024/1689 as amended; check the current consolidated text and the dates that apply to you. ISO/IEC 42001 is referenced by clause title only; use your licensed copy for the requirement text. OWASP entries are referenced by ID and name. The worked example describes a fictional vendor. Scores and thresholds are a starting point, not a standard. Sources are on the Sources tab.</t>
  </si>
  <si>
    <t xml:space="preserve">Version 1.0 - 27 October 2026.   Free to use and share with this credit kept.</t>
  </si>
  <si>
    <t xml:space="preserve">AI Vendor Risk Dashboard</t>
  </si>
  <si>
    <t xml:space="preserve">Measure</t>
  </si>
  <si>
    <t xml:space="preserve">Value</t>
  </si>
  <si>
    <t xml:space="preserve">Section</t>
  </si>
  <si>
    <t xml:space="preserve">Score %</t>
  </si>
  <si>
    <t xml:space="preserve">Red flags</t>
  </si>
  <si>
    <t xml:space="preserve">Vendor</t>
  </si>
  <si>
    <t xml:space="preserve">Product / plan</t>
  </si>
  <si>
    <t xml:space="preserve">Criticality tier</t>
  </si>
  <si>
    <t xml:space="preserve">Tier check</t>
  </si>
  <si>
    <t xml:space="preserve">RECOMMENDATION</t>
  </si>
  <si>
    <t xml:space="preserve">Recommendation on the scores so far</t>
  </si>
  <si>
    <t xml:space="preserve">Overall score</t>
  </si>
  <si>
    <t xml:space="preserve">Overall rating</t>
  </si>
  <si>
    <t xml:space="preserve">Lowest section score</t>
  </si>
  <si>
    <t xml:space="preserve">Questions answered</t>
  </si>
  <si>
    <t xml:space="preserve">Answered 'No'</t>
  </si>
  <si>
    <t xml:space="preserve">Yes / Partial without an evidence reference</t>
  </si>
  <si>
    <t xml:space="preserve">Vendor said Yes but evidence scored 0-1</t>
  </si>
  <si>
    <t xml:space="preserve">Follow-ups open</t>
  </si>
  <si>
    <t xml:space="preserve">Follow-ups overdue</t>
  </si>
  <si>
    <t xml:space="preserve">Open follow-ups that block approval</t>
  </si>
  <si>
    <t xml:space="preserve">Reassessment due</t>
  </si>
  <si>
    <t xml:space="preserve">Red = needs action. The workbook ships with a worked example for a fictional vendor; the figures above are calculated from it until you clear the yellow cells.</t>
  </si>
  <si>
    <t xml:space="preserve">Vendor Profile</t>
  </si>
  <si>
    <t xml:space="preserve">Field</t>
  </si>
  <si>
    <t xml:space="preserve">Guidance</t>
  </si>
  <si>
    <t xml:space="preserve">Vendor (legal entity)</t>
  </si>
  <si>
    <t xml:space="preserve">Example Vendor Ltd (fictional)</t>
  </si>
  <si>
    <t xml:space="preserve">The contracting entity, not the brand.</t>
  </si>
  <si>
    <t xml:space="preserve">Product / service and plan assessed</t>
  </si>
  <si>
    <t xml:space="preserve">Example Support Copilot - Enterprise plan</t>
  </si>
  <si>
    <t xml:space="preserve">Terms often differ by plan; record the one you will buy.</t>
  </si>
  <si>
    <t xml:space="preserve">AI features in scope</t>
  </si>
  <si>
    <t xml:space="preserve">Drafts replies to customer tickets; searches our knowledge base; can update ticket fields</t>
  </si>
  <si>
    <t xml:space="preserve">List each AI feature you will switch on. Features left off should stay off by contract or setting.</t>
  </si>
  <si>
    <t xml:space="preserve">Our use case and business owner</t>
  </si>
  <si>
    <t xml:space="preserve">Customer support - Head of Customer Service</t>
  </si>
  <si>
    <t xml:space="preserve">What the business will use it for, and who owns that decision.</t>
  </si>
  <si>
    <t xml:space="preserve">Underlying model provider(s)</t>
  </si>
  <si>
    <t xml:space="preserve">Third-party hosted LLM API (named in sub-processor list v14)</t>
  </si>
  <si>
    <t xml:space="preserve">Every model provider behind the product, including fallbacks (see RES-01).</t>
  </si>
  <si>
    <t xml:space="preserve">Hosting and model arrangement</t>
  </si>
  <si>
    <t xml:space="preserve">Vendor-hosted, third-party model API</t>
  </si>
  <si>
    <t xml:space="preserve">Processing regions (storage and inference)</t>
  </si>
  <si>
    <t xml:space="preserve">EU storage; inference EU and US</t>
  </si>
  <si>
    <t xml:space="preserve">Where data is stored and where the model runs.</t>
  </si>
  <si>
    <t xml:space="preserve">Data categories shared</t>
  </si>
  <si>
    <t xml:space="preserve">Customer names, emails, order history, ticket text; internal KB articles</t>
  </si>
  <si>
    <t xml:space="preserve">Be specific: this drives the tier and the privacy questions.</t>
  </si>
  <si>
    <t xml:space="preserve">Personal data shared?</t>
  </si>
  <si>
    <t xml:space="preserve">Yes</t>
  </si>
  <si>
    <t xml:space="preserve">Special-category or sensitive personal data shared?</t>
  </si>
  <si>
    <t xml:space="preserve">No</t>
  </si>
  <si>
    <t xml:space="preserve">Health, biometric, financial account, children's data and similar.</t>
  </si>
  <si>
    <t xml:space="preserve">Confidential business data, IP or source code shared?</t>
  </si>
  <si>
    <t xml:space="preserve">Outputs used to make or support decisions about people?</t>
  </si>
  <si>
    <t xml:space="preserve">Eligibility, hiring, credit, access to services.</t>
  </si>
  <si>
    <t xml:space="preserve">Can the AI take actions in our systems (tools / agents)?</t>
  </si>
  <si>
    <t xml:space="preserve">Write, send, delete or execute - not just read.</t>
  </si>
  <si>
    <t xml:space="preserve">Our EU AI Act role for this use</t>
  </si>
  <si>
    <t xml:space="preserve">Deployer</t>
  </si>
  <si>
    <t xml:space="preserve">Check Art. 25 before branding, fine-tuning or repurposing it.</t>
  </si>
  <si>
    <t xml:space="preserve">Suggested minimum tier (calculated)</t>
  </si>
  <si>
    <t xml:space="preserve">Tier 1 if sensitive data or decisions about people; Tier 2 if personal data or actions in our systems; otherwise Tier 3.</t>
  </si>
  <si>
    <t xml:space="preserve">Criticality tier (your decision)</t>
  </si>
  <si>
    <t xml:space="preserve">Tier 2 - High</t>
  </si>
  <si>
    <t xml:space="preserve">Set by the business owner with risk; record the reason if below the suggestion.</t>
  </si>
  <si>
    <t xml:space="preserve">Tier check (calculated)</t>
  </si>
  <si>
    <t xml:space="preserve">Reviewer (GRC / security)</t>
  </si>
  <si>
    <t xml:space="preserve">A. Reviewer</t>
  </si>
  <si>
    <t xml:space="preserve">Approver</t>
  </si>
  <si>
    <t xml:space="preserve">Head of Third-Party Risk</t>
  </si>
  <si>
    <t xml:space="preserve">Someone independent of the business owner.</t>
  </si>
  <si>
    <t xml:space="preserve">Questionnaire sent</t>
  </si>
  <si>
    <t xml:space="preserve">Response received</t>
  </si>
  <si>
    <t xml:space="preserve">Vendor response time, days (calculated)</t>
  </si>
  <si>
    <t xml:space="preserve">Review completed</t>
  </si>
  <si>
    <t xml:space="preserve">Reassessment due (calculated)</t>
  </si>
  <si>
    <t xml:space="preserve">Review completed + the interval for the tier (table below), or sooner on any material change.</t>
  </si>
  <si>
    <t xml:space="preserve">Reassessment interval by tier (months) - edit to match your policy</t>
  </si>
  <si>
    <t xml:space="preserve">Tier 1 - Critical</t>
  </si>
  <si>
    <t xml:space="preserve">Tier 3 - Moderate</t>
  </si>
  <si>
    <t xml:space="preserve">Tier 4 - Low</t>
  </si>
  <si>
    <t xml:space="preserve">AI Vendor Questionnaire</t>
  </si>
  <si>
    <t xml:space="preserve">ID</t>
  </si>
  <si>
    <t xml:space="preserve">Question</t>
  </si>
  <si>
    <t xml:space="preserve">Why it matters</t>
  </si>
  <si>
    <t xml:space="preserve">What good evidence looks like</t>
  </si>
  <si>
    <t xml:space="preserve">Vendor answer</t>
  </si>
  <si>
    <t xml:space="preserve">Evidence reference</t>
  </si>
  <si>
    <t xml:space="preserve">Reviewer score 0-3</t>
  </si>
  <si>
    <t xml:space="preserve">Weight 1-3</t>
  </si>
  <si>
    <t xml:space="preserve">Critical?</t>
  </si>
  <si>
    <t xml:space="preserve">Weighted score</t>
  </si>
  <si>
    <t xml:space="preserve">Max possible</t>
  </si>
  <si>
    <t xml:space="preserve">Red flag</t>
  </si>
  <si>
    <t xml:space="preserve">Check</t>
  </si>
  <si>
    <t xml:space="preserve">Reviewer notes</t>
  </si>
  <si>
    <t xml:space="preserve">1. Training and model improvement</t>
  </si>
  <si>
    <t xml:space="preserve">TRN-01</t>
  </si>
  <si>
    <t xml:space="preserve">Does the signed contract (not only the privacy policy or a web page) state that our inputs, outputs and files are not used to train, fine-tune or improve any model - the vendor's or its model provider's?</t>
  </si>
  <si>
    <t xml:space="preserve">Web-page promises can change without notice; only a contract term binds the vendor.</t>
  </si>
  <si>
    <t xml:space="preserve">Clause reference in the MSA, DPA or AI addendum, with document version and date.</t>
  </si>
  <si>
    <t xml:space="preserve">AI Addendum v2.1 cl. 4.2</t>
  </si>
  <si>
    <t xml:space="preserve">TRN-02</t>
  </si>
  <si>
    <t xml:space="preserve">Is 'no training on customer data' the default for our plan, or does it depend on an opt-out setting that an admin must switch on?</t>
  </si>
  <si>
    <t xml:space="preserve">Opt-out defaults are easily missed, and new workspaces may start with the setting on.</t>
  </si>
  <si>
    <t xml:space="preserve">Plan documentation plus a screenshot of the admin setting showing its default state.</t>
  </si>
  <si>
    <t xml:space="preserve">Admin guide p.12; screenshot SS-01</t>
  </si>
  <si>
    <t xml:space="preserve">TRN-03</t>
  </si>
  <si>
    <t xml:space="preserve">If data is used for 'service improvement' or abuse monitoring, who reviews it (people or systems), where are reviewers located, and can we opt out of human review?</t>
  </si>
  <si>
    <t xml:space="preserve">Your prompts can be read by people even when no model is trained on them.</t>
  </si>
  <si>
    <t xml:space="preserve">Written description of the review process, reviewer locations, access controls and opt-out route.</t>
  </si>
  <si>
    <t xml:space="preserve">Partial</t>
  </si>
  <si>
    <t xml:space="preserve">Trust portal FAQ 3.4</t>
  </si>
  <si>
    <t xml:space="preserve">TRN-04</t>
  </si>
  <si>
    <t xml:space="preserve">Does the no-training commitment flow down in writing to every model provider and sub-processor that receives our data?</t>
  </si>
  <si>
    <t xml:space="preserve">The vendor's promise is worth little if the model provider behind it can use the data.</t>
  </si>
  <si>
    <t xml:space="preserve">Model provider's enterprise or API data terms, or the vendor's flow-down clause.</t>
  </si>
  <si>
    <t xml:space="preserve">Sub-processor terms summary SP-2</t>
  </si>
  <si>
    <t xml:space="preserve">TRN-05</t>
  </si>
  <si>
    <t xml:space="preserve">How are derived data - telemetry, embeddings, feedback ratings, aggregated or de-identified data - defined in the contract, and may the vendor keep or use them?</t>
  </si>
  <si>
    <t xml:space="preserve">Derived data is often excluded from the contract definition of 'customer data'.</t>
  </si>
  <si>
    <t xml:space="preserve">Contract definitions of Customer Data and Usage Data, and the permitted uses of each.</t>
  </si>
  <si>
    <t xml:space="preserve">MSA cl. 1 definitions</t>
  </si>
  <si>
    <t xml:space="preserve">2. Retention of prompts, outputs and logs</t>
  </si>
  <si>
    <t xml:space="preserve">RET-01</t>
  </si>
  <si>
    <t xml:space="preserve">List the retention period separately for prompts, outputs, uploaded files, conversation history, embeddings or vector stores, caches and backups.</t>
  </si>
  <si>
    <t xml:space="preserve">Each data type usually lives in a different store with its own deletion clock.</t>
  </si>
  <si>
    <t xml:space="preserve">A retention schedule by data type, referenced in the DPA or security documentation.</t>
  </si>
  <si>
    <t xml:space="preserve">Retention schedule RS-2026</t>
  </si>
  <si>
    <t xml:space="preserve">RET-02</t>
  </si>
  <si>
    <t xml:space="preserve">Does the model provider keep prompts or outputs (for example for abuse monitoring), for how long, and is a zero-data-retention or equivalent arrangement contracted for our tenant?</t>
  </si>
  <si>
    <t xml:space="preserve">Provider-side retention creates a second copy of your data that you do not control.</t>
  </si>
  <si>
    <t xml:space="preserve">Model provider retention terms and written confirmation of the arrangement that applies to us.</t>
  </si>
  <si>
    <t xml:space="preserve">Vendor letter ZDR-03 (pending countersign)</t>
  </si>
  <si>
    <t xml:space="preserve">RET-03</t>
  </si>
  <si>
    <t xml:space="preserve">Can our admins set retention and delete individual conversations or all data on demand, and within what period are backups purged?</t>
  </si>
  <si>
    <t xml:space="preserve">You need to act on deletion requests and your own retention rules without raising a ticket.</t>
  </si>
  <si>
    <t xml:space="preserve">Admin console documentation and a stated deletion period that includes backups.</t>
  </si>
  <si>
    <t xml:space="preserve">Admin guide p.20</t>
  </si>
  <si>
    <t xml:space="preserve">RET-04</t>
  </si>
  <si>
    <t xml:space="preserve">Do prompts or outputs appear in the vendor's application logs, debugging tools or third-party observability services, and how are they redacted and retained there?</t>
  </si>
  <si>
    <t xml:space="preserve">Operational logs are where prompt content often stays longest and least controlled.</t>
  </si>
  <si>
    <t xml:space="preserve">Logging data-flow description, redaction approach, and the observability vendor on the sub-processor list.</t>
  </si>
  <si>
    <t xml:space="preserve">Security whitepaper s.6</t>
  </si>
  <si>
    <t xml:space="preserve">RET-05</t>
  </si>
  <si>
    <t xml:space="preserve">Are cached copies (prompt caching, semantic caches, search indexes) covered by the same retention and deletion commitments?</t>
  </si>
  <si>
    <t xml:space="preserve">Caches and indexes are easily left out of deletion processes.</t>
  </si>
  <si>
    <t xml:space="preserve">Statement that caches are in scope of the retention schedule, with their time-to-live.</t>
  </si>
  <si>
    <t xml:space="preserve">Retention schedule RS-2026 row 9</t>
  </si>
  <si>
    <t xml:space="preserve">3. Data residency and sub-processors (including the model provider)</t>
  </si>
  <si>
    <t xml:space="preserve">RES-01</t>
  </si>
  <si>
    <t xml:space="preserve">Name every model provider behind the product, per feature, including any fallback or routing providers used when the primary is unavailable.</t>
  </si>
  <si>
    <t xml:space="preserve">The model provider is your fourth party and receives your data; a hidden fallback is a hidden transfer.</t>
  </si>
  <si>
    <t xml:space="preserve">Sub-processor list naming each model provider, its purpose, data processed and region.</t>
  </si>
  <si>
    <t xml:space="preserve">Sub-processor list v14</t>
  </si>
  <si>
    <t xml:space="preserve">RES-02</t>
  </si>
  <si>
    <t xml:space="preserve">In which countries or regions is our data stored and processed - including model inference, support access and backups - and can we contractually pin it to a region?</t>
  </si>
  <si>
    <t xml:space="preserve">Inference and support often run outside the region where data is stored.</t>
  </si>
  <si>
    <t xml:space="preserve">Region documentation per data type and processing step, plus a residency clause in the contract.</t>
  </si>
  <si>
    <t xml:space="preserve">Data residency page; no clause yet</t>
  </si>
  <si>
    <t xml:space="preserve">RES-03</t>
  </si>
  <si>
    <t xml:space="preserve">What transfer mechanism covers each cross-border transfer of personal data (for example standard contractual clauses with a transfer assessment, or an adequacy route)?</t>
  </si>
  <si>
    <t xml:space="preserve">Personal data sent abroad needs a lawful transfer mechanism under GDPR and similar laws.</t>
  </si>
  <si>
    <t xml:space="preserve">DPA transfer annex, the executed clauses, and a summary of the transfer risk assessment.</t>
  </si>
  <si>
    <t xml:space="preserve">DPA Annex III</t>
  </si>
  <si>
    <t xml:space="preserve">RES-04</t>
  </si>
  <si>
    <t xml:space="preserve">Will we receive advance written notice of a new sub-processor, including a new or changed model provider, with a right to object or terminate?</t>
  </si>
  <si>
    <t xml:space="preserve">A model provider switch changes where your data goes and how outputs behave.</t>
  </si>
  <si>
    <t xml:space="preserve">DPA clause stating the notice period, notification channel and objection right.</t>
  </si>
  <si>
    <t xml:space="preserve">DPA cl. 9.2 (30 days)</t>
  </si>
  <si>
    <t xml:space="preserve">RES-05</t>
  </si>
  <si>
    <t xml:space="preserve">How does the vendor assess and monitor its own sub-processors, and are they bound by terms at least as protective as ours?</t>
  </si>
  <si>
    <t xml:space="preserve">Your risk extends to every party the vendor relies on.</t>
  </si>
  <si>
    <t xml:space="preserve">Vendor's third-party risk procedure and evidence of flow-down terms.</t>
  </si>
  <si>
    <t xml:space="preserve">TPRM procedure summary</t>
  </si>
  <si>
    <t xml:space="preserve">4. Security controls and certifications</t>
  </si>
  <si>
    <t xml:space="preserve">SEC-01</t>
  </si>
  <si>
    <t xml:space="preserve">Is there at least one current independent assurance - an ISO/IEC 27001 certificate or a SOC 2 Type II report - whose scope explicitly includes this AI product and its hosting?</t>
  </si>
  <si>
    <t xml:space="preserve">A logo on a website proves nothing if the AI product sits outside the audited scope.</t>
  </si>
  <si>
    <t xml:space="preserve">Certificate or report with the scope statement or system description naming the product.</t>
  </si>
  <si>
    <t xml:space="preserve">SOC 2 Type II report (2025-10 to 2026-09)</t>
  </si>
  <si>
    <t xml:space="preserve">SEC-02</t>
  </si>
  <si>
    <t xml:space="preserve">ISO/IEC 27001: provide the certificate number, certification body, accreditation, expiry date and scope statement. Does the Statement of Applicability cover the AI services?</t>
  </si>
  <si>
    <t xml:space="preserve">Scope and accreditation decide whether the certificate is relevant and verifiable.</t>
  </si>
  <si>
    <t xml:space="preserve">Certificate plus scope, checked on the certification body's or accreditation register.</t>
  </si>
  <si>
    <t xml:space="preserve">Cert no. on CB register, checked 2026-10-14</t>
  </si>
  <si>
    <t xml:space="preserve">SEC-03</t>
  </si>
  <si>
    <t xml:space="preserve">SOC 2 Type II: what is the report period, which Trust Services Criteria are covered, is the model provider carved out or included, and were there exceptions or a qualified opinion?</t>
  </si>
  <si>
    <t xml:space="preserve">Ask for scope and period, not the logo; carve-outs move testing back onto you.</t>
  </si>
  <si>
    <t xml:space="preserve">Full report under NDA, the list of complementary user entity controls, and a bridge letter for any gap since period end.</t>
  </si>
  <si>
    <t xml:space="preserve">SOC 2 report s.3; model provider carved out</t>
  </si>
  <si>
    <t xml:space="preserve">SEC-04</t>
  </si>
  <si>
    <t xml:space="preserve">Does the vendor hold, or plan, ISO/IEC 42001 certification for its AI management system? Give scope, certification body and status.</t>
  </si>
  <si>
    <t xml:space="preserve">Shows AI governance is run as a managed system, not only IT security.</t>
  </si>
  <si>
    <t xml:space="preserve">Certificate and scope, or a roadmap with a target date and the chosen certification body.</t>
  </si>
  <si>
    <t xml:space="preserve">Roadmap slide: target 2027</t>
  </si>
  <si>
    <t xml:space="preserve">SEC-05</t>
  </si>
  <si>
    <t xml:space="preserve">How are our prompts, context, files, vector stores and any fine-tuned models isolated from other customers' data?</t>
  </si>
  <si>
    <t xml:space="preserve">Weak tenant isolation in AI pipelines can expose one customer's data in another's answers.</t>
  </si>
  <si>
    <t xml:space="preserve">Architecture description of tenant isolation and test evidence (for example penetration test scope).</t>
  </si>
  <si>
    <t xml:space="preserve">Architecture doc A-4; pen test 2026-06</t>
  </si>
  <si>
    <t xml:space="preserve">SEC-06</t>
  </si>
  <si>
    <t xml:space="preserve">Do the AI features support SSO, MFA, SCIM provisioning and role-based access, so we control who can use which AI capability?</t>
  </si>
  <si>
    <t xml:space="preserve">AI features that bypass your identity controls become an unmanaged access path.</t>
  </si>
  <si>
    <t xml:space="preserve">Admin documentation and a demonstration of role settings for AI features.</t>
  </si>
  <si>
    <t xml:space="preserve">Admin guide p.5</t>
  </si>
  <si>
    <t xml:space="preserve">SEC-07</t>
  </si>
  <si>
    <t xml:space="preserve">How is our data encrypted in transit and at rest across the AI pipeline (including vector stores and the model provider), and is customer-managed key support available?</t>
  </si>
  <si>
    <t xml:space="preserve">Data copied into new AI stores often misses the encryption applied to the main database.</t>
  </si>
  <si>
    <t xml:space="preserve">Encryption and key management description covering every AI data store.</t>
  </si>
  <si>
    <t xml:space="preserve">Security whitepaper s.4</t>
  </si>
  <si>
    <t xml:space="preserve">5. Model change management</t>
  </si>
  <si>
    <t xml:space="preserve">CHG-01</t>
  </si>
  <si>
    <t xml:space="preserve">Will the vendor notify us in advance of changes to the underlying model, model version, provider, system prompt or safety settings that can change output behaviour - and with how much notice?</t>
  </si>
  <si>
    <t xml:space="preserve">Silent model updates can change accuracy, tone and safety overnight without any action by you.</t>
  </si>
  <si>
    <t xml:space="preserve">Contract change-notice clause with a notice period, plus a dated customer changelog.</t>
  </si>
  <si>
    <t xml:space="preserve">Changelog only; no contract clause</t>
  </si>
  <si>
    <t xml:space="preserve">CHG-02</t>
  </si>
  <si>
    <t xml:space="preserve">Can we pin a model version, and how long is a version supported before it is deprecated?</t>
  </si>
  <si>
    <t xml:space="preserve">Pinning lets you re-test before behaviour changes reach your users.</t>
  </si>
  <si>
    <t xml:space="preserve">Version support and deprecation policy with stated periods.</t>
  </si>
  <si>
    <t xml:space="preserve">Not offered</t>
  </si>
  <si>
    <t xml:space="preserve">CHG-03</t>
  </si>
  <si>
    <t xml:space="preserve">Does the vendor regression-test accuracy, safety and bias before releasing a model or prompt change, and will it share the results?</t>
  </si>
  <si>
    <t xml:space="preserve">Release testing is the vendor's main control against harmful changes.</t>
  </si>
  <si>
    <t xml:space="preserve">Release procedure and an example of a pre-release evaluation summary.</t>
  </si>
  <si>
    <t xml:space="preserve">Release procedure summary</t>
  </si>
  <si>
    <t xml:space="preserve">CHG-04</t>
  </si>
  <si>
    <t xml:space="preserve">Can we test a new model version in a sandbox or staging tenant before it reaches production users?</t>
  </si>
  <si>
    <t xml:space="preserve">Your own use-case testing catches failures the vendor's generic tests miss.</t>
  </si>
  <si>
    <t xml:space="preserve">Description of the preview or staging channel and its timing relative to release.</t>
  </si>
  <si>
    <t xml:space="preserve">Preview channel, 14 days</t>
  </si>
  <si>
    <t xml:space="preserve">CHG-05</t>
  </si>
  <si>
    <t xml:space="preserve">Can we roll back, or opt out of, a model change that degrades our use case?</t>
  </si>
  <si>
    <t xml:space="preserve">Without rollback, a bad update leaves you choosing between degraded output and switching it off.</t>
  </si>
  <si>
    <t xml:space="preserve">Rollback or opt-out mechanism and its time limits.</t>
  </si>
  <si>
    <t xml:space="preserve">6. Evaluation and testing</t>
  </si>
  <si>
    <t xml:space="preserve">EVL-01</t>
  </si>
  <si>
    <t xml:space="preserve">How is accuracy or quality evaluated for our type of use case - methods, datasets, metrics and the latest results - and will you share them?</t>
  </si>
  <si>
    <t xml:space="preserve">Generic benchmark claims say little about performance on your tasks.</t>
  </si>
  <si>
    <t xml:space="preserve">Evaluation report with method, test data description, metrics and date.</t>
  </si>
  <si>
    <t xml:space="preserve">Eval summary 2026-Q3</t>
  </si>
  <si>
    <t xml:space="preserve">EVL-02</t>
  </si>
  <si>
    <t xml:space="preserve">Has the system been tested for bias or unfair outcomes, which characteristics were tested, and what were the results?</t>
  </si>
  <si>
    <t xml:space="preserve">Matters most where outputs affect people's access to jobs, credit, services or support.</t>
  </si>
  <si>
    <t xml:space="preserve">Bias testing summary with method, characteristics, results and remediation.</t>
  </si>
  <si>
    <t xml:space="preserve">Statement only</t>
  </si>
  <si>
    <t xml:space="preserve">EVL-03</t>
  </si>
  <si>
    <t xml:space="preserve">Has independent red teaming or adversarial testing of the AI features been performed in the last 12 months, including sensitive-information disclosure and system-prompt leakage? Were high findings fixed?</t>
  </si>
  <si>
    <t xml:space="preserve">Adversarial testing finds abuse paths that functional testing does not.</t>
  </si>
  <si>
    <t xml:space="preserve">Tester identity, scope, date, finding counts by severity and remediation status.</t>
  </si>
  <si>
    <t xml:space="preserve">Pen test 2026-06 incl. LLM scope</t>
  </si>
  <si>
    <t xml:space="preserve">EVL-04</t>
  </si>
  <si>
    <t xml:space="preserve">Is the product tested against direct and indirect prompt injection - instructions hidden in documents, emails, web pages, tickets or tool outputs that the AI reads?</t>
  </si>
  <si>
    <t xml:space="preserve">Prompt injection (OWASP LLM01:2025) is the leading attack on AI features that read untrusted content.</t>
  </si>
  <si>
    <t xml:space="preserve">Test cases, results and the defences in place (input isolation, output checks, permission limits).</t>
  </si>
  <si>
    <t xml:space="preserve">Pen test 2026-06 s.5</t>
  </si>
  <si>
    <t xml:space="preserve">EVL-05</t>
  </si>
  <si>
    <t xml:space="preserve">Is there published model or system documentation stating intended use, limitations, known failure modes and evaluation results?</t>
  </si>
  <si>
    <t xml:space="preserve">You cannot oversee a system whose limits you have not been told.</t>
  </si>
  <si>
    <t xml:space="preserve">Model card or system card for the version in use.</t>
  </si>
  <si>
    <t xml:space="preserve">System card v3</t>
  </si>
  <si>
    <t xml:space="preserve">EVL-06</t>
  </si>
  <si>
    <t xml:space="preserve">Does the vendor monitor quality and drift in production, with thresholds that trigger investigation?</t>
  </si>
  <si>
    <t xml:space="preserve">Performance can degrade after release as data and usage change.</t>
  </si>
  <si>
    <t xml:space="preserve">Monitoring description, metrics, thresholds and an example alert or report.</t>
  </si>
  <si>
    <t xml:space="preserve">Ops overview</t>
  </si>
  <si>
    <t xml:space="preserve">7. Agent and tool permissions (excessive agency)</t>
  </si>
  <si>
    <t xml:space="preserve">AGT-01</t>
  </si>
  <si>
    <t xml:space="preserve">List every tool, API, plugin or connector the AI can call, and every action it can take (read, create, update, delete, send, execute, pay).</t>
  </si>
  <si>
    <t xml:space="preserve">Excessive agency (OWASP LLM06:2025) starts with not knowing what the AI can do.</t>
  </si>
  <si>
    <t xml:space="preserve">Tool and permission inventory for the product as configured for us.</t>
  </si>
  <si>
    <t xml:space="preserve">Connector matrix CM-1</t>
  </si>
  <si>
    <t xml:space="preserve">AGT-02</t>
  </si>
  <si>
    <t xml:space="preserve">Do tool calls run with the end user's own permissions (delegated, least privilege) rather than a broad service account, and are connector credentials scoped and revocable by us?</t>
  </si>
  <si>
    <t xml:space="preserve">A broad service account lets any user - or any injected instruction - reach data they should not.</t>
  </si>
  <si>
    <t xml:space="preserve">Authorisation design for tool calls and the OAuth scopes requested by each connector.</t>
  </si>
  <si>
    <t xml:space="preserve">Architecture doc A-6</t>
  </si>
  <si>
    <t xml:space="preserve">AGT-03</t>
  </si>
  <si>
    <t xml:space="preserve">Can our admins enable, disable or restrict individual tools, connectors and actions per role or group?</t>
  </si>
  <si>
    <t xml:space="preserve">You need to grant capabilities deliberately rather than inherit the vendor's defaults.</t>
  </si>
  <si>
    <t xml:space="preserve">Admin console documentation and a demonstration.</t>
  </si>
  <si>
    <t xml:space="preserve">Admin guide p.31</t>
  </si>
  <si>
    <t xml:space="preserve">AGT-04</t>
  </si>
  <si>
    <t xml:space="preserve">Do high-impact actions (sending externally, deleting, changing records, payments) require explicit human confirmation before they run?</t>
  </si>
  <si>
    <t xml:space="preserve">Confirmation is the last control between a wrong or manipulated output and a real-world action.</t>
  </si>
  <si>
    <t xml:space="preserve">Configuration showing which actions require confirmation, and whether we can extend the list.</t>
  </si>
  <si>
    <t xml:space="preserve">Admin guide p.33</t>
  </si>
  <si>
    <t xml:space="preserve">AGT-05</t>
  </si>
  <si>
    <t xml:space="preserve">Are there limits on autonomous behaviour - maximum steps, rate and spend limits, timeouts?</t>
  </si>
  <si>
    <t xml:space="preserve">Unbounded consumption (OWASP LLM10:2025) turns loops and abuse into cost and availability incidents.</t>
  </si>
  <si>
    <t xml:space="preserve">Documented limits and whether we can configure them.</t>
  </si>
  <si>
    <t xml:space="preserve">Rate limits documented</t>
  </si>
  <si>
    <t xml:space="preserve">AGT-06</t>
  </si>
  <si>
    <t xml:space="preserve">In one session, can the AI hold our private data, read untrusted content and communicate externally? What stops data leaving through tool calls, links or rendered images?</t>
  </si>
  <si>
    <t xml:space="preserve">That combination lets an injected instruction exfiltrate data without any user noticing.</t>
  </si>
  <si>
    <t xml:space="preserve">Description of exfiltration defences (egress allow-lists, link and image rendering controls, approvals).</t>
  </si>
  <si>
    <t xml:space="preserve">Security whitepaper s.8</t>
  </si>
  <si>
    <t xml:space="preserve">8. Output handling and hallucination controls</t>
  </si>
  <si>
    <t xml:space="preserve">OUT-01</t>
  </si>
  <si>
    <t xml:space="preserve">Are AI outputs treated as untrusted before they reach browsers, code, queries, shells or downstream systems (encoding, validation, sandboxing)?</t>
  </si>
  <si>
    <t xml:space="preserve">Improper output handling (OWASP LLM05:2025) turns a model output into an injection attack.</t>
  </si>
  <si>
    <t xml:space="preserve">Secure design description and test evidence for output encoding and validation.</t>
  </si>
  <si>
    <t xml:space="preserve">Pen test 2026-06 s.6</t>
  </si>
  <si>
    <t xml:space="preserve">OUT-02</t>
  </si>
  <si>
    <t xml:space="preserve">Does the product show the sources behind an answer (retrieval references) so users can verify it?</t>
  </si>
  <si>
    <t xml:space="preserve">Citations let users check an answer instead of trusting it.</t>
  </si>
  <si>
    <t xml:space="preserve">Product demonstration showing source references.</t>
  </si>
  <si>
    <t xml:space="preserve">Demo 2026-10-09</t>
  </si>
  <si>
    <t xml:space="preserve">OUT-03</t>
  </si>
  <si>
    <t xml:space="preserve">What controls reduce fabricated or incorrect output (grounding, refusing when unsupported, confidence cues), and how is their effectiveness measured?</t>
  </si>
  <si>
    <t xml:space="preserve">Misinformation (OWASP LLM09:2025) causes harm when users act on confident but wrong output.</t>
  </si>
  <si>
    <t xml:space="preserve">Description of controls and the metric used to track them.</t>
  </si>
  <si>
    <t xml:space="preserve">OUT-04</t>
  </si>
  <si>
    <t xml:space="preserve">Are there input and output safety filters, and can we configure them for our context?</t>
  </si>
  <si>
    <t xml:space="preserve">Default filters may be too weak - or too strict - for your users and content.</t>
  </si>
  <si>
    <t xml:space="preserve">Filter documentation and available configuration options.</t>
  </si>
  <si>
    <t xml:space="preserve">Admin guide p.40</t>
  </si>
  <si>
    <t xml:space="preserve">OUT-05</t>
  </si>
  <si>
    <t xml:space="preserve">Does retrieval respect the permissions on source documents, so users only receive content they are entitled to see?</t>
  </si>
  <si>
    <t xml:space="preserve">Vector and embedding weaknesses (OWASP LLM08:2025) can expose restricted documents through answers.</t>
  </si>
  <si>
    <t xml:space="preserve">Design showing permission checks at retrieval time, plus test results.</t>
  </si>
  <si>
    <t xml:space="preserve">Architecture doc A-7; test TR-12</t>
  </si>
  <si>
    <t xml:space="preserve">9. Human oversight</t>
  </si>
  <si>
    <t xml:space="preserve">HUM-01</t>
  </si>
  <si>
    <t xml:space="preserve">Can users review, edit and approve AI outputs before they are sent or acted on, and can we make that review mandatory?</t>
  </si>
  <si>
    <t xml:space="preserve">Mandatory review is how you keep a person accountable for what leaves the organisation.</t>
  </si>
  <si>
    <t xml:space="preserve">Configuration option and demonstration.</t>
  </si>
  <si>
    <t xml:space="preserve">HUM-02</t>
  </si>
  <si>
    <t xml:space="preserve">Does the product tell users, and where relevant the people affected, that they are interacting with AI or that content is AI-generated?</t>
  </si>
  <si>
    <t xml:space="preserve">Supports the transparency obligations in Art. 50 of the EU AI Act.</t>
  </si>
  <si>
    <t xml:space="preserve">Screenshots of disclosures and any configurable notice text.</t>
  </si>
  <si>
    <t xml:space="preserve">Screenshot SS-04</t>
  </si>
  <si>
    <t xml:space="preserve">HUM-03</t>
  </si>
  <si>
    <t xml:space="preserve">Can we switch AI features off quickly - globally, per feature and per user group - without a vendor ticket?</t>
  </si>
  <si>
    <t xml:space="preserve">A kill switch is your first containment step in an AI incident.</t>
  </si>
  <si>
    <t xml:space="preserve">Admin control demonstration and the time it takes to take effect.</t>
  </si>
  <si>
    <t xml:space="preserve">Admin guide p.8; tested 2026-10-09</t>
  </si>
  <si>
    <t xml:space="preserve">HUM-04</t>
  </si>
  <si>
    <t xml:space="preserve">Does the vendor provide instructions for use and user guidance explaining capabilities, limitations and when not to rely on the output?</t>
  </si>
  <si>
    <t xml:space="preserve">People cannot exercise real oversight without knowing the system's limits.</t>
  </si>
  <si>
    <t xml:space="preserve">Instructions for use or user guidance document for the version in use.</t>
  </si>
  <si>
    <t xml:space="preserve">User guide v3</t>
  </si>
  <si>
    <t xml:space="preserve">10. Logging and audit trail (customer-accessible)</t>
  </si>
  <si>
    <t xml:space="preserve">LOG-01</t>
  </si>
  <si>
    <t xml:space="preserve">Can we access logs of prompts, outputs, tool calls and actions taken, attributed to a user and timestamped?</t>
  </si>
  <si>
    <t xml:space="preserve">Without these logs you cannot investigate an incident or answer a regulator.</t>
  </si>
  <si>
    <t xml:space="preserve">Log schema, sample export and the access method.</t>
  </si>
  <si>
    <t xml:space="preserve">Audit log API docs; sample LOG-1</t>
  </si>
  <si>
    <t xml:space="preserve">LOG-02</t>
  </si>
  <si>
    <t xml:space="preserve">Is there an admin audit log of configuration changes (AI settings, connectors, retention, permissions)?</t>
  </si>
  <si>
    <t xml:space="preserve">Configuration changes are a common root cause of AI incidents.</t>
  </si>
  <si>
    <t xml:space="preserve">Admin audit log documentation and sample.</t>
  </si>
  <si>
    <t xml:space="preserve">Admin guide p.50</t>
  </si>
  <si>
    <t xml:space="preserve">LOG-03</t>
  </si>
  <si>
    <t xml:space="preserve">Can logs be exported to our SIEM by API or streaming, and in what format?</t>
  </si>
  <si>
    <t xml:space="preserve">Logs you cannot correlate with other security data are rarely reviewed.</t>
  </si>
  <si>
    <t xml:space="preserve">API or streaming documentation and supported formats.</t>
  </si>
  <si>
    <t xml:space="preserve">API only, no streaming</t>
  </si>
  <si>
    <t xml:space="preserve">LOG-04</t>
  </si>
  <si>
    <t xml:space="preserve">Can we control log retention, and keep logs for at least six months where we deploy a high-risk AI system?</t>
  </si>
  <si>
    <t xml:space="preserve">Art. 26(6) of the EU AI Act requires deployers of high-risk systems to keep logs under their control.</t>
  </si>
  <si>
    <t xml:space="preserve">Retention settings for logs, or confirmation that exported logs are complete.</t>
  </si>
  <si>
    <t xml:space="preserve">Retention schedule RS-2026 row 12</t>
  </si>
  <si>
    <t xml:space="preserve">LOG-05</t>
  </si>
  <si>
    <t xml:space="preserve">Are logs protected against tampering, and is vendor staff access to our logs restricted and recorded?</t>
  </si>
  <si>
    <t xml:space="preserve">Logs are only useful as evidence if they can be trusted.</t>
  </si>
  <si>
    <t xml:space="preserve">Description of log integrity controls and privileged access monitoring.</t>
  </si>
  <si>
    <t xml:space="preserve">11. Incident response and AI-incident notification</t>
  </si>
  <si>
    <t xml:space="preserve">INC-01</t>
  </si>
  <si>
    <t xml:space="preserve">What is the contractual timeline for notifying us of a security incident or personal data breach affecting our data?</t>
  </si>
  <si>
    <t xml:space="preserve">Your own regulatory clocks start when you become aware - the vendor's delay is your delay.</t>
  </si>
  <si>
    <t xml:space="preserve">Contract or DPA clause with the notification period and what the notice will contain.</t>
  </si>
  <si>
    <t xml:space="preserve">DPA cl. 11 (48 hours)</t>
  </si>
  <si>
    <t xml:space="preserve">INC-02</t>
  </si>
  <si>
    <t xml:space="preserve">Does the vendor's incident definition include AI-specific events: harmful outputs at scale, exploited prompt injection, data leakage through outputs, and model provider incidents?</t>
  </si>
  <si>
    <t xml:space="preserve">Many contracts only cover classic security breaches.</t>
  </si>
  <si>
    <t xml:space="preserve">Incident definition and classification scheme covering AI events.</t>
  </si>
  <si>
    <t xml:space="preserve">Not in contract</t>
  </si>
  <si>
    <t xml:space="preserve">INC-03</t>
  </si>
  <si>
    <t xml:space="preserve">Will we be notified of incidents at the model provider or other sub-processors that affect our data or service?</t>
  </si>
  <si>
    <t xml:space="preserve">Fourth-party incidents reach you only if the vendor passes them on.</t>
  </si>
  <si>
    <t xml:space="preserve">Flow-down notification clause or incident procedure.</t>
  </si>
  <si>
    <t xml:space="preserve">DPA cl. 11.3</t>
  </si>
  <si>
    <t xml:space="preserve">INC-04</t>
  </si>
  <si>
    <t xml:space="preserve">Is there a documented AI incident response playbook, tested in the last 12 months, with a channel for reporting vulnerabilities and harmful outputs?</t>
  </si>
  <si>
    <t xml:space="preserve">Untested playbooks fail on first contact.</t>
  </si>
  <si>
    <t xml:space="preserve">Playbook table of contents, test date and lessons learned, plus the disclosure or reporting channel.</t>
  </si>
  <si>
    <t xml:space="preserve">IR summary; tabletop 2026-05</t>
  </si>
  <si>
    <t xml:space="preserve">INC-05</t>
  </si>
  <si>
    <t xml:space="preserve">Will the vendor give us timely information and logs to meet our own regulatory reporting duties?</t>
  </si>
  <si>
    <t xml:space="preserve">You remain answerable for incidents involving your customers and staff.</t>
  </si>
  <si>
    <t xml:space="preserve">Contract assistance clause and the named contact route.</t>
  </si>
  <si>
    <t xml:space="preserve">DPA cl. 11.4</t>
  </si>
  <si>
    <t xml:space="preserve">12. Regulatory position (EU AI Act, GDPR, DPDP)</t>
  </si>
  <si>
    <t xml:space="preserve">REG-01</t>
  </si>
  <si>
    <t xml:space="preserve">What role does the vendor take under Regulation (EU) 2024/1689 for this product, and does it consider any feature high-risk or a general-purpose AI model? Provide its written position.</t>
  </si>
  <si>
    <t xml:space="preserve">Roles decide who carries which obligations; you need the vendor's position in writing.</t>
  </si>
  <si>
    <t xml:space="preserve">Signed statement of AI Act role and classification, with reasoning.</t>
  </si>
  <si>
    <t xml:space="preserve">AI Act position letter 2026-09</t>
  </si>
  <si>
    <t xml:space="preserve">REG-02</t>
  </si>
  <si>
    <t xml:space="preserve">Would our intended configuration (our branding, fine-tuning, a new intended purpose) make us a provider under Art. 25? Does the vendor document the permitted intended purpose?</t>
  </si>
  <si>
    <t xml:space="preserve">Art. 25 can turn a deployer into a provider with provider obligations.</t>
  </si>
  <si>
    <t xml:space="preserve">Intended-purpose statement and the vendor's guidance on modifications.</t>
  </si>
  <si>
    <t xml:space="preserve">Acceptable use policy s.2</t>
  </si>
  <si>
    <t xml:space="preserve">REG-03</t>
  </si>
  <si>
    <t xml:space="preserve">If the system is high-risk: will the vendor give us the instructions for use, logs and information we need to meet deployer obligations under Art. 26?</t>
  </si>
  <si>
    <t xml:space="preserve">Deployers depend on the provider's information to use, monitor and log the system correctly.</t>
  </si>
  <si>
    <t xml:space="preserve">Instructions for use and a commitment to provide information and support.</t>
  </si>
  <si>
    <t xml:space="preserve">N/A</t>
  </si>
  <si>
    <t xml:space="preserve">Not high-risk for our use case</t>
  </si>
  <si>
    <t xml:space="preserve">REG-04</t>
  </si>
  <si>
    <t xml:space="preserve">Which Art. 50 transparency measures does the product implement (AI interaction disclosure, machine-readable marking of synthetic content), and which are left to us?</t>
  </si>
  <si>
    <t xml:space="preserve">Art. 50 places transparency duties on providers and on deployers.</t>
  </si>
  <si>
    <t xml:space="preserve">Feature description mapped to each transparency measure, with the split of responsibility.</t>
  </si>
  <si>
    <t xml:space="preserve">Product note PN-7</t>
  </si>
  <si>
    <t xml:space="preserve">REG-05</t>
  </si>
  <si>
    <t xml:space="preserve">Is a data processing agreement in place with processor terms covering instructions, confidentiality, sub-processors, assistance, deletion and audit?</t>
  </si>
  <si>
    <t xml:space="preserve">Processor terms are a legal requirement under GDPR and similar laws when personal data is shared.</t>
  </si>
  <si>
    <t xml:space="preserve">Executed DPA with annexes.</t>
  </si>
  <si>
    <t xml:space="preserve">DPA executed 2026-09-30</t>
  </si>
  <si>
    <t xml:space="preserve">REG-06</t>
  </si>
  <si>
    <t xml:space="preserve">For personal data under India's DPDP Act, will the vendor act as a data processor under a valid contract and support our duties as data fiduciary (erasure, breach intimation, security safeguards)?</t>
  </si>
  <si>
    <t xml:space="preserve">Under the DPDP Act the data fiduciary stays responsible for processing done on its behalf.</t>
  </si>
  <si>
    <t xml:space="preserve">Contract clauses mapped to these duties, or a DPDP addendum.</t>
  </si>
  <si>
    <t xml:space="preserve">DPA addendum draft</t>
  </si>
  <si>
    <t xml:space="preserve">REG-07</t>
  </si>
  <si>
    <t xml:space="preserve">Will the vendor support our DPIA or AI impact assessment with information on data flows, logic, limitations and risks?</t>
  </si>
  <si>
    <t xml:space="preserve">You cannot assess impact on people without the vendor's information.</t>
  </si>
  <si>
    <t xml:space="preserve">Commitment to assist and an example information pack.</t>
  </si>
  <si>
    <t xml:space="preserve">DPIA support pack</t>
  </si>
  <si>
    <t xml:space="preserve">13. IP and indemnity for generated output</t>
  </si>
  <si>
    <t xml:space="preserve">IPI-01</t>
  </si>
  <si>
    <t xml:space="preserve">Who owns the outputs? Does the contract assign or licence outputs to us without restrictions on use?</t>
  </si>
  <si>
    <t xml:space="preserve">Unclear ownership limits how you can use and protect generated content.</t>
  </si>
  <si>
    <t xml:space="preserve">Ownership and licence clause.</t>
  </si>
  <si>
    <t xml:space="preserve">MSA cl. 8.1</t>
  </si>
  <si>
    <t xml:space="preserve">IPI-02</t>
  </si>
  <si>
    <t xml:space="preserve">Does the vendor indemnify us against third-party IP claims arising from generated output, and what conditions or exclusions apply (for example filters on, unmodified output)?</t>
  </si>
  <si>
    <t xml:space="preserve">Conditions on an indemnity can make it unusable in practice.</t>
  </si>
  <si>
    <t xml:space="preserve">Indemnity clause with its conditions and exclusions.</t>
  </si>
  <si>
    <t xml:space="preserve">MSA cl. 12.3 (conditions apply)</t>
  </si>
  <si>
    <t xml:space="preserve">IPI-03</t>
  </si>
  <si>
    <t xml:space="preserve">Do AI-related data breaches and IP claims sit under the general liability cap or a separate, higher cap?</t>
  </si>
  <si>
    <t xml:space="preserve">A low general cap can make the indemnity and breach terms largely symbolic.</t>
  </si>
  <si>
    <t xml:space="preserve">Limitation of liability clause and any super-cap.</t>
  </si>
  <si>
    <t xml:space="preserve">General cap only</t>
  </si>
  <si>
    <t xml:space="preserve">IPI-04</t>
  </si>
  <si>
    <t xml:space="preserve">Are our prompts, files and outputs classed as our confidential information under the contract?</t>
  </si>
  <si>
    <t xml:space="preserve">Confidentiality terms give you remedies that privacy terms alone may not.</t>
  </si>
  <si>
    <t xml:space="preserve">Definition of Confidential Information in the contract.</t>
  </si>
  <si>
    <t xml:space="preserve">MSA cl. 10</t>
  </si>
  <si>
    <t xml:space="preserve">14. Continuity and exit</t>
  </si>
  <si>
    <t xml:space="preserve">EXT-01</t>
  </si>
  <si>
    <t xml:space="preserve">On termination, will the vendor return our data - prompts, outputs, files, configurations, custom agents, fine-tunes, embeddings and logs - in a usable format within a stated period?</t>
  </si>
  <si>
    <t xml:space="preserve">Exit is when data is most likely to be lost or retained by default.</t>
  </si>
  <si>
    <t xml:space="preserve">Exit clause with data scope, format and period.</t>
  </si>
  <si>
    <t xml:space="preserve">MSA cl. 15.2 (scope excludes embeddings)</t>
  </si>
  <si>
    <t xml:space="preserve">EXT-02</t>
  </si>
  <si>
    <t xml:space="preserve">After return, will all copies be deleted - including backups and copies at the model provider - within a stated period, with written certification?</t>
  </si>
  <si>
    <t xml:space="preserve">Data left behind at the vendor or the model provider is still your exposure.</t>
  </si>
  <si>
    <t xml:space="preserve">Deletion clause with period and certificate of deletion.</t>
  </si>
  <si>
    <t xml:space="preserve">DPA cl. 13</t>
  </si>
  <si>
    <t xml:space="preserve">EXT-03</t>
  </si>
  <si>
    <t xml:space="preserve">Can custom prompts, agents, workflows and fine-tuned models be exported or reproduced on another platform?</t>
  </si>
  <si>
    <t xml:space="preserve">Lock-in raises the cost of leaving a vendor that no longer meets your bar.</t>
  </si>
  <si>
    <t xml:space="preserve">Export documentation and supported formats.</t>
  </si>
  <si>
    <t xml:space="preserve">Prompts only</t>
  </si>
  <si>
    <t xml:space="preserve">EXT-04</t>
  </si>
  <si>
    <t xml:space="preserve">What happens if the model provider becomes unavailable or stops serving the vendor - fallback provider, recovery objectives and customer notice?</t>
  </si>
  <si>
    <t xml:space="preserve">Concentration on one model provider is a single point of failure for your process.</t>
  </si>
  <si>
    <t xml:space="preserve">Business continuity plan for AI features, with recovery objectives and test date.</t>
  </si>
  <si>
    <t xml:space="preserve">BCP summary</t>
  </si>
  <si>
    <t xml:space="preserve">EXT-05</t>
  </si>
  <si>
    <t xml:space="preserve">Will we receive notice of a change of control, and of discontinuing an AI feature or model we rely on?</t>
  </si>
  <si>
    <t xml:space="preserve">Ownership changes and end-of-life decisions can change data terms and service overnight.</t>
  </si>
  <si>
    <t xml:space="preserve">Notice clauses with periods.</t>
  </si>
  <si>
    <t xml:space="preserve">MSA cl. 18</t>
  </si>
  <si>
    <t xml:space="preserve">Scoring Summary and Recommendation</t>
  </si>
  <si>
    <t xml:space="preserve">Questions</t>
  </si>
  <si>
    <t xml:space="preserve">Answered</t>
  </si>
  <si>
    <t xml:space="preserve">Scored</t>
  </si>
  <si>
    <t xml:space="preserve">Rating</t>
  </si>
  <si>
    <t xml:space="preserve">Critical questions</t>
  </si>
  <si>
    <t xml:space="preserve">Overall</t>
  </si>
  <si>
    <t xml:space="preserve">Thresholds (edit the yellow cells to match your third-party risk policy)</t>
  </si>
  <si>
    <t xml:space="preserve">Result</t>
  </si>
  <si>
    <t xml:space="preserve">Rating 'Strong' - score at or above</t>
  </si>
  <si>
    <t xml:space="preserve">Rating 'Adequate' - score at or above</t>
  </si>
  <si>
    <t xml:space="preserve">Rating 'Weak' - score at or above (below this = 'Poor')</t>
  </si>
  <si>
    <t xml:space="preserve">Red flags (critical questions answered No or scored 0-1)</t>
  </si>
  <si>
    <t xml:space="preserve">Approve - overall score at or above</t>
  </si>
  <si>
    <t xml:space="preserve">Approve - every section at or above</t>
  </si>
  <si>
    <t xml:space="preserve">Questions not yet answered or scored</t>
  </si>
  <si>
    <t xml:space="preserve">Approve with conditions - overall score at or above</t>
  </si>
  <si>
    <t xml:space="preserve">Reject - overall score below</t>
  </si>
  <si>
    <t xml:space="preserve">Reject - red flags at or above</t>
  </si>
  <si>
    <t xml:space="preserve">How the recommendation is decided (rules are applied top to bottom; the first that matches wins)</t>
  </si>
  <si>
    <t xml:space="preserve">Reject - red flags at or above the Reject red-flag threshold, OR overall score below the Reject threshold.</t>
  </si>
  <si>
    <t xml:space="preserve">Escalate - at least one red flag, OR overall score below the 'Approve with conditions' threshold. The approver decides, with documented compensating controls or risk acceptance.</t>
  </si>
  <si>
    <t xml:space="preserve">Approve - overall score at or above the Approve threshold AND every section at or above the section minimum (and no red flags).</t>
  </si>
  <si>
    <t xml:space="preserve">Approve with conditions - everything else: no red flags and overall score at or above the conditions threshold. Track each condition on the Follow-up Tracker and in the contract.</t>
  </si>
  <si>
    <t xml:space="preserve">While any question is still awaiting an answer or a score, the RECOMMENDATION shows 'Incomplete'; the row above it shows where the scores so far point.</t>
  </si>
  <si>
    <t xml:space="preserve">Score % = sum of (score x weight) / sum of (3 x weight) over answered, scored questions. N/A answers are excluded from both.</t>
  </si>
  <si>
    <t xml:space="preserve">Follow-up Tracker</t>
  </si>
  <si>
    <t xml:space="preserve">FU ID</t>
  </si>
  <si>
    <t xml:space="preserve">Question ID</t>
  </si>
  <si>
    <t xml:space="preserve">Gap or issue found</t>
  </si>
  <si>
    <t xml:space="preserve">Condition or action required</t>
  </si>
  <si>
    <t xml:space="preserve">Type</t>
  </si>
  <si>
    <t xml:space="preserve">Our owner</t>
  </si>
  <si>
    <t xml:space="preserve">Vendor contact</t>
  </si>
  <si>
    <t xml:space="preserve">Raised</t>
  </si>
  <si>
    <t xml:space="preserve">Due</t>
  </si>
  <si>
    <t xml:space="preserve">Status</t>
  </si>
  <si>
    <t xml:space="preserve">Closed on</t>
  </si>
  <si>
    <t xml:space="preserve">Blocks approval?</t>
  </si>
  <si>
    <t xml:space="preserve">Overdue?</t>
  </si>
  <si>
    <t xml:space="preserve">Days open</t>
  </si>
  <si>
    <t xml:space="preserve">FU-001</t>
  </si>
  <si>
    <t xml:space="preserve">No contractual notice of model, provider or system-prompt changes; changelog only</t>
  </si>
  <si>
    <t xml:space="preserve">Add a clause: 30 days' written notice of material model or provider changes, with right to terminate</t>
  </si>
  <si>
    <t xml:space="preserve">Contract change</t>
  </si>
  <si>
    <t xml:space="preserve">Procurement lead</t>
  </si>
  <si>
    <t xml:space="preserve">Vendor account manager</t>
  </si>
  <si>
    <t xml:space="preserve">Open</t>
  </si>
  <si>
    <t xml:space="preserve">FU-002</t>
  </si>
  <si>
    <t xml:space="preserve">Zero-data-retention arrangement with the model provider not yet countersigned</t>
  </si>
  <si>
    <t xml:space="preserve">Obtain countersigned confirmation before go-live</t>
  </si>
  <si>
    <t xml:space="preserve">Evidence requested</t>
  </si>
  <si>
    <t xml:space="preserve">Vendor security team</t>
  </si>
  <si>
    <t xml:space="preserve">In progress</t>
  </si>
  <si>
    <t xml:space="preserve">Sources and further reading</t>
  </si>
  <si>
    <t xml:space="preserve">Source</t>
  </si>
  <si>
    <t xml:space="preserve">Link</t>
  </si>
  <si>
    <t xml:space="preserve">Regulation (EU) 2024/1689 (Artificial Intelligence Act), Official Journal - Art. 25 Responsibilities along the AI value chain; Art. 26 Obligations of deployers of high-risk AI systems (incl. Art. 26(6) log retention); Art. 50 Transparency obligations for providers and deployers of certain AI systems. Check the current consolidated text for later amendments.</t>
  </si>
  <si>
    <t xml:space="preserve">https://eur-lex.europa.eu/eli/reg/2024/1689/oj</t>
  </si>
  <si>
    <t xml:space="preserve">ISO/IEC 42001:2023 Information technology - Artificial intelligence - Management system. Annex A.10 'Third-party and customer relationships' referenced by title only; use your licensed copy.</t>
  </si>
  <si>
    <t xml:space="preserve">https://www.iso.org/standard/81230.html</t>
  </si>
  <si>
    <t xml:space="preserve">NIST AI Risk Management Framework (AI RMF 1.0, January 2023) - Govern, Map, Measure, Manage; and the Generative AI Profile (NIST AI 600-1)</t>
  </si>
  <si>
    <t xml:space="preserve">https://www.nist.gov/itl/ai-risk-management-framework</t>
  </si>
  <si>
    <t xml:space="preserve">OWASP Top 10 for Large Language Model Applications (2025) - referenced: LLM01 Prompt Injection, LLM02 Sensitive Information Disclosure, LLM05 Improper Output Handling, LLM06 Excessive Agency, LLM07 System Prompt Leakage, LLM08 Vector and Embedding Weaknesses, LLM09 Misinformation, LLM10 Unbounded Consumption</t>
  </si>
  <si>
    <t xml:space="preserve">https://genai.owasp.org/llm-top-10/</t>
  </si>
  <si>
    <t xml:space="preserve">Template by John Bommeraveni Joseph - ISO/IEC 27001, 42001 and 27701 Lead Auditor. Follow on LinkedIn for the free weekday newsletter GRC Made Simple Daily: linkedin.com/in/john-bj</t>
  </si>
  <si>
    <t xml:space="preserve">Lists (drop-down values)</t>
  </si>
  <si>
    <t xml:space="preserve">Answer</t>
  </si>
  <si>
    <t xml:space="preserve">Score</t>
  </si>
  <si>
    <t xml:space="preserve">Weight</t>
  </si>
  <si>
    <t xml:space="preserve">YesNo</t>
  </si>
  <si>
    <t xml:space="preserve">Tier</t>
  </si>
  <si>
    <t xml:space="preserve">Hosting</t>
  </si>
  <si>
    <t xml:space="preserve">AIActRole</t>
  </si>
  <si>
    <t xml:space="preserve">FUType</t>
  </si>
  <si>
    <t xml:space="preserve">FUStatus</t>
  </si>
  <si>
    <t xml:space="preserve">Vendor-hosted, vendor's own model</t>
  </si>
  <si>
    <t xml:space="preserve">Provider (Art. 25 may apply)</t>
  </si>
  <si>
    <t xml:space="preserve">Hosted in our cloud tenant</t>
  </si>
  <si>
    <t xml:space="preserve">Importer</t>
  </si>
  <si>
    <t xml:space="preserve">Vendor remediation</t>
  </si>
  <si>
    <t xml:space="preserve">Closed</t>
  </si>
  <si>
    <t xml:space="preserve">On-premises / self-hosted</t>
  </si>
  <si>
    <t xml:space="preserve">Distributor</t>
  </si>
  <si>
    <t xml:space="preserve">Configuration by us</t>
  </si>
  <si>
    <t xml:space="preserve">Risk accepted</t>
  </si>
  <si>
    <t xml:space="preserve">Mixed / per feature</t>
  </si>
  <si>
    <t xml:space="preserve">Not in scope</t>
  </si>
  <si>
    <t xml:space="preserve">Compensating control</t>
  </si>
  <si>
    <t xml:space="preserve">Unknown</t>
  </si>
  <si>
    <t xml:space="preserve">To assess</t>
  </si>
  <si>
    <t xml:space="preserve">Risk acceptance</t>
  </si>
</sst>
</file>

<file path=xl/styles.xml><?xml version="1.0" encoding="utf-8"?>
<styleSheet xmlns="http://schemas.openxmlformats.org/spreadsheetml/2006/main">
  <numFmts count="4">
    <numFmt numFmtId="164" formatCode="General"/>
    <numFmt numFmtId="165" formatCode="0%"/>
    <numFmt numFmtId="166" formatCode="0"/>
    <numFmt numFmtId="167" formatCode="dd\ mmm\ yyyy"/>
  </numFmts>
  <fonts count="20">
    <font>
      <sz val="11"/>
      <color theme="1"/>
      <name val="Calibri"/>
      <family val="2"/>
      <charset val="1"/>
    </font>
    <font>
      <sz val="10"/>
      <name val="Arial"/>
      <family val="0"/>
    </font>
    <font>
      <sz val="10"/>
      <name val="Arial"/>
      <family val="0"/>
    </font>
    <font>
      <sz val="10"/>
      <name val="Arial"/>
      <family val="0"/>
    </font>
    <font>
      <b val="true"/>
      <sz val="16"/>
      <color rgb="FF16213A"/>
      <name val="Arial"/>
      <family val="0"/>
      <charset val="1"/>
    </font>
    <font>
      <sz val="9"/>
      <color rgb="FF6B7280"/>
      <name val="Arial"/>
      <family val="0"/>
      <charset val="1"/>
    </font>
    <font>
      <b val="true"/>
      <sz val="12"/>
      <color rgb="FF16213A"/>
      <name val="Arial"/>
      <family val="0"/>
      <charset val="1"/>
    </font>
    <font>
      <sz val="10"/>
      <color rgb="FF111827"/>
      <name val="Arial"/>
      <family val="0"/>
      <charset val="1"/>
    </font>
    <font>
      <b val="true"/>
      <sz val="10"/>
      <color rgb="FFFFFFFF"/>
      <name val="Arial"/>
      <family val="0"/>
      <charset val="1"/>
    </font>
    <font>
      <sz val="10"/>
      <name val="Arial"/>
      <family val="0"/>
      <charset val="1"/>
    </font>
    <font>
      <b val="true"/>
      <sz val="10"/>
      <name val="Arial"/>
      <family val="0"/>
      <charset val="1"/>
    </font>
    <font>
      <sz val="9"/>
      <name val="Arial"/>
      <family val="0"/>
      <charset val="1"/>
    </font>
    <font>
      <b val="true"/>
      <sz val="11"/>
      <name val="Arial"/>
      <family val="0"/>
      <charset val="1"/>
    </font>
    <font>
      <i val="true"/>
      <sz val="9"/>
      <color rgb="FF6B7280"/>
      <name val="Arial"/>
      <family val="0"/>
      <charset val="1"/>
    </font>
    <font>
      <b val="true"/>
      <sz val="10"/>
      <color rgb="FF16213A"/>
      <name val="Arial"/>
      <family val="0"/>
      <charset val="1"/>
    </font>
    <font>
      <b val="true"/>
      <sz val="9"/>
      <color rgb="FF16213A"/>
      <name val="Arial"/>
      <family val="0"/>
      <charset val="1"/>
    </font>
    <font>
      <b val="true"/>
      <sz val="11"/>
      <color rgb="FF16213A"/>
      <name val="Arial"/>
      <family val="0"/>
      <charset val="1"/>
    </font>
    <font>
      <b val="true"/>
      <sz val="10"/>
      <color rgb="FF111827"/>
      <name val="Arial"/>
      <family val="0"/>
      <charset val="1"/>
    </font>
    <font>
      <b val="true"/>
      <sz val="11"/>
      <color rgb="FF111827"/>
      <name val="Arial"/>
      <family val="0"/>
      <charset val="1"/>
    </font>
    <font>
      <u val="single"/>
      <sz val="10"/>
      <color rgb="FF1D4ED8"/>
      <name val="Arial"/>
      <family val="0"/>
      <charset val="1"/>
    </font>
  </fonts>
  <fills count="8">
    <fill>
      <patternFill patternType="none"/>
    </fill>
    <fill>
      <patternFill patternType="gray125"/>
    </fill>
    <fill>
      <patternFill patternType="solid">
        <fgColor rgb="FFFDB54A"/>
        <bgColor rgb="FFFDBA74"/>
      </patternFill>
    </fill>
    <fill>
      <patternFill patternType="solid">
        <fgColor rgb="FF16213A"/>
        <bgColor rgb="FF111827"/>
      </patternFill>
    </fill>
    <fill>
      <patternFill patternType="solid">
        <fgColor rgb="FFF3F4F6"/>
        <bgColor rgb="FFFFFFFF"/>
      </patternFill>
    </fill>
    <fill>
      <patternFill patternType="solid">
        <fgColor rgb="FFFFFFFF"/>
        <bgColor rgb="FFF3F4F6"/>
      </patternFill>
    </fill>
    <fill>
      <patternFill patternType="solid">
        <fgColor rgb="FFFFF4D6"/>
        <bgColor rgb="FFF3F4F6"/>
      </patternFill>
    </fill>
    <fill>
      <patternFill patternType="solid">
        <fgColor rgb="FFE5E7EB"/>
        <bgColor rgb="FFF3F4F6"/>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6" fontId="10" fillId="4" borderId="1" xfId="0" applyFont="true" applyBorder="true" applyAlignment="true" applyProtection="false">
      <alignment horizontal="center" vertical="center" textRotation="0" wrapText="true" indent="0" shrinkToFit="false"/>
      <protection locked="true" hidden="false"/>
    </xf>
    <xf numFmtId="167" fontId="10" fillId="4"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7" fontId="7" fillId="6" borderId="1" xfId="0" applyFont="true" applyBorder="true" applyAlignment="true" applyProtection="false">
      <alignment horizontal="left" vertical="top" textRotation="0" wrapText="false" indent="0" shrinkToFit="false"/>
      <protection locked="true" hidden="false"/>
    </xf>
    <xf numFmtId="164" fontId="7" fillId="4" borderId="1" xfId="0" applyFont="true" applyBorder="true" applyAlignment="true" applyProtection="false">
      <alignment horizontal="left" vertical="top" textRotation="0" wrapText="false" indent="0" shrinkToFit="false"/>
      <protection locked="true" hidden="false"/>
    </xf>
    <xf numFmtId="167" fontId="7" fillId="4" borderId="1" xfId="0" applyFont="true" applyBorder="true" applyAlignment="true" applyProtection="false">
      <alignment horizontal="left" vertical="top"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14" fillId="7" borderId="0" xfId="0" applyFont="true" applyBorder="false" applyAlignment="true" applyProtection="false">
      <alignment horizontal="general" vertical="center"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4" fontId="14" fillId="4" borderId="1"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5" fontId="17" fillId="6" borderId="1" xfId="0" applyFont="true" applyBorder="true" applyAlignment="true" applyProtection="false">
      <alignment horizontal="center" vertical="top" textRotation="0" wrapText="true" indent="0" shrinkToFit="false"/>
      <protection locked="true" hidden="false"/>
    </xf>
    <xf numFmtId="165" fontId="17" fillId="4" borderId="1" xfId="0" applyFont="true" applyBorder="true" applyAlignment="true" applyProtection="false">
      <alignment horizontal="center" vertical="top" textRotation="0" wrapText="true" indent="0" shrinkToFit="false"/>
      <protection locked="true" hidden="false"/>
    </xf>
    <xf numFmtId="164" fontId="17" fillId="4" borderId="1" xfId="0" applyFont="true" applyBorder="true" applyAlignment="true" applyProtection="false">
      <alignment horizontal="center" vertical="top" textRotation="0" wrapText="true" indent="0" shrinkToFit="false"/>
      <protection locked="true" hidden="false"/>
    </xf>
    <xf numFmtId="166" fontId="17" fillId="4" borderId="1" xfId="0" applyFont="true" applyBorder="true" applyAlignment="true" applyProtection="false">
      <alignment horizontal="center"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8" fillId="4" borderId="1" xfId="0" applyFont="true" applyBorder="true" applyAlignment="true" applyProtection="false">
      <alignment horizontal="center" vertical="top" textRotation="0" wrapText="true" indent="0" shrinkToFit="false"/>
      <protection locked="true" hidden="false"/>
    </xf>
    <xf numFmtId="166" fontId="17" fillId="6"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7" fontId="11" fillId="6"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bgColor rgb="FFBBF7D0"/>
        </patternFill>
      </fill>
    </dxf>
    <dxf>
      <fill>
        <patternFill>
          <bgColor rgb="FFFDE68A"/>
        </patternFill>
      </fill>
    </dxf>
    <dxf>
      <fill>
        <patternFill>
          <bgColor rgb="FFFDBA74"/>
        </patternFill>
      </fill>
    </dxf>
    <dxf>
      <fill>
        <patternFill>
          <bgColor rgb="FFF8B4B4"/>
        </patternFill>
      </fill>
    </dxf>
    <dxf>
      <fill>
        <patternFill patternType="solid">
          <fgColor rgb="FF16213A"/>
          <bgColor rgb="FF000000"/>
        </patternFill>
      </fill>
    </dxf>
    <dxf>
      <fill>
        <patternFill patternType="solid">
          <fgColor rgb="FFE5E7EB"/>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FFF4D6"/>
          <bgColor rgb="FF000000"/>
        </patternFill>
      </fill>
    </dxf>
    <dxf>
      <fill>
        <patternFill patternType="solid">
          <fgColor rgb="FFB91C1C"/>
          <bgColor rgb="FF000000"/>
        </patternFill>
      </fill>
    </dxf>
    <dxf>
      <fill>
        <patternFill patternType="solid">
          <fgColor rgb="FFF3F4F6"/>
          <bgColor rgb="FF000000"/>
        </patternFill>
      </fill>
    </dxf>
    <dxf>
      <fill>
        <patternFill patternType="solid">
          <fgColor rgb="FFF8B4B4"/>
          <bgColor rgb="FF000000"/>
        </patternFill>
      </fill>
    </dxf>
    <dxf>
      <fill>
        <patternFill patternType="solid">
          <fgColor rgb="FFBBF7D0"/>
          <bgColor rgb="FF000000"/>
        </patternFill>
      </fill>
    </dxf>
    <dxf>
      <fill>
        <patternFill patternType="solid">
          <fgColor rgb="FFFDE68A"/>
          <bgColor rgb="FF000000"/>
        </patternFill>
      </fill>
    </dxf>
    <dxf>
      <font>
        <name val="Arial"/>
        <charset val="1"/>
        <family val="0"/>
        <b val="1"/>
        <color rgb="FFB91C1C"/>
      </font>
    </dxf>
    <dxf>
      <fill>
        <patternFill>
          <bgColor rgb="FFD9F99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F99D"/>
      <rgbColor rgb="FF808080"/>
      <rgbColor rgb="FF9999FF"/>
      <rgbColor rgb="FF993366"/>
      <rgbColor rgb="FFFFF4D6"/>
      <rgbColor rgb="FFF3F4F6"/>
      <rgbColor rgb="FF660066"/>
      <rgbColor rgb="FFFF8080"/>
      <rgbColor rgb="FF1D4ED8"/>
      <rgbColor rgb="FFD1D5DB"/>
      <rgbColor rgb="FF000080"/>
      <rgbColor rgb="FFFF00FF"/>
      <rgbColor rgb="FFFFFF00"/>
      <rgbColor rgb="FF00FFFF"/>
      <rgbColor rgb="FF800080"/>
      <rgbColor rgb="FF800000"/>
      <rgbColor rgb="FF008080"/>
      <rgbColor rgb="FF0000FF"/>
      <rgbColor rgb="FF00CCFF"/>
      <rgbColor rgb="FFE5E7EB"/>
      <rgbColor rgb="FFBBF7D0"/>
      <rgbColor rgb="FFFDE68A"/>
      <rgbColor rgb="FF99CCFF"/>
      <rgbColor rgb="FFF8B4B4"/>
      <rgbColor rgb="FFCC99FF"/>
      <rgbColor rgb="FFFDBA74"/>
      <rgbColor rgb="FF3366FF"/>
      <rgbColor rgb="FF33CCCC"/>
      <rgbColor rgb="FF99CC00"/>
      <rgbColor rgb="FFFDB54A"/>
      <rgbColor rgb="FFFF9900"/>
      <rgbColor rgb="FFFF6600"/>
      <rgbColor rgb="FF6B7280"/>
      <rgbColor rgb="FF969696"/>
      <rgbColor rgb="FF003366"/>
      <rgbColor rgb="FF339966"/>
      <rgbColor rgb="FF111827"/>
      <rgbColor rgb="FF333300"/>
      <rgbColor rgb="FFB91C1C"/>
      <rgbColor rgb="FF993366"/>
      <rgbColor rgb="FF333399"/>
      <rgbColor rgb="FF1621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1"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2"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3"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4"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5"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6"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7"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8"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hyperlink" Target="https://eur-lex.europa.eu/eli/reg/2024/1689/oj" TargetMode="External"/><Relationship Id="rId2" Type="http://schemas.openxmlformats.org/officeDocument/2006/relationships/hyperlink" Target="https://www.iso.org/standard/81230.html" TargetMode="External"/><Relationship Id="rId3" Type="http://schemas.openxmlformats.org/officeDocument/2006/relationships/hyperlink" Target="https://www.nist.gov/itl/ai-risk-management-framework" TargetMode="External"/><Relationship Id="rId4" Type="http://schemas.openxmlformats.org/officeDocument/2006/relationships/hyperlink" Target="https://genai.owasp.org/llm-top-10/" TargetMode="External"/><Relationship Id="rId5"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10"/>
  </cols>
  <sheetData>
    <row r="1" customFormat="false" ht="48" hidden="false" customHeight="true" outlineLevel="0" collapsed="false">
      <c r="B1" s="1" t="s">
        <v>0</v>
      </c>
    </row>
    <row r="2" customFormat="false" ht="18" hidden="false" customHeight="true" outlineLevel="0" collapsed="false">
      <c r="B2" s="2" t="s">
        <v>1</v>
      </c>
    </row>
    <row r="3" customFormat="false" ht="3.75" hidden="false" customHeight="true" outlineLevel="0" collapsed="false">
      <c r="A3" s="3"/>
      <c r="B3" s="3"/>
      <c r="C3" s="3"/>
      <c r="D3" s="3"/>
      <c r="E3" s="3"/>
      <c r="F3" s="3"/>
      <c r="G3" s="3"/>
      <c r="H3" s="3"/>
    </row>
    <row r="5" customFormat="false" ht="21.75" hidden="false" customHeight="true" outlineLevel="0" collapsed="false">
      <c r="B5" s="4" t="s">
        <v>2</v>
      </c>
    </row>
    <row r="6" customFormat="false" ht="87.75" hidden="false" customHeight="true" outlineLevel="0" collapsed="false">
      <c r="B6" s="5" t="s">
        <v>3</v>
      </c>
    </row>
    <row r="7" customFormat="false" ht="21.75" hidden="false" customHeight="true" outlineLevel="0" collapsed="false">
      <c r="B7" s="4" t="s">
        <v>4</v>
      </c>
    </row>
    <row r="8" customFormat="false" ht="45.75" hidden="false" customHeight="true" outlineLevel="0" collapsed="false">
      <c r="B8" s="5" t="s">
        <v>5</v>
      </c>
    </row>
    <row r="9" customFormat="false" ht="31.5" hidden="false" customHeight="true" outlineLevel="0" collapsed="false">
      <c r="B9" s="5" t="s">
        <v>6</v>
      </c>
    </row>
    <row r="10" customFormat="false" ht="31.5" hidden="false" customHeight="true" outlineLevel="0" collapsed="false">
      <c r="B10" s="5" t="s">
        <v>7</v>
      </c>
    </row>
    <row r="11" customFormat="false" ht="31.5" hidden="false" customHeight="true" outlineLevel="0" collapsed="false">
      <c r="B11" s="5" t="s">
        <v>8</v>
      </c>
    </row>
    <row r="12" customFormat="false" ht="31.5" hidden="false" customHeight="true" outlineLevel="0" collapsed="false">
      <c r="B12" s="5" t="s">
        <v>9</v>
      </c>
    </row>
    <row r="13" customFormat="false" ht="31.5" hidden="false" customHeight="true" outlineLevel="0" collapsed="false">
      <c r="B13" s="5" t="s">
        <v>10</v>
      </c>
    </row>
    <row r="14" customFormat="false" ht="18" hidden="false" customHeight="true" outlineLevel="0" collapsed="false">
      <c r="B14" s="5" t="s">
        <v>11</v>
      </c>
    </row>
    <row r="15" customFormat="false" ht="21.75" hidden="false" customHeight="true" outlineLevel="0" collapsed="false">
      <c r="B15" s="4" t="s">
        <v>12</v>
      </c>
    </row>
    <row r="16" customFormat="false" ht="45.75" hidden="false" customHeight="true" outlineLevel="0" collapsed="false">
      <c r="B16" s="5" t="s">
        <v>13</v>
      </c>
    </row>
    <row r="17" customFormat="false" ht="18" hidden="false" customHeight="true" outlineLevel="0" collapsed="false">
      <c r="B17" s="5" t="s">
        <v>14</v>
      </c>
    </row>
    <row r="18" customFormat="false" ht="21.75" hidden="false" customHeight="true" outlineLevel="0" collapsed="false">
      <c r="B18" s="4" t="s">
        <v>15</v>
      </c>
    </row>
    <row r="19" customFormat="false" ht="31.5" hidden="false" customHeight="true" outlineLevel="0" collapsed="false">
      <c r="B19" s="5" t="s">
        <v>16</v>
      </c>
    </row>
    <row r="20" customFormat="false" ht="21.75" hidden="false" customHeight="true" outlineLevel="0" collapsed="false">
      <c r="B20" s="4" t="s">
        <v>17</v>
      </c>
    </row>
    <row r="21" customFormat="false" ht="73.5" hidden="false" customHeight="true" outlineLevel="0" collapsed="false">
      <c r="B21" s="5" t="s">
        <v>18</v>
      </c>
    </row>
    <row r="22" customFormat="false" ht="18" hidden="false" customHeight="true" outlineLevel="0" collapsed="false">
      <c r="B22" s="5" t="s">
        <v>19</v>
      </c>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46"/>
    <col collapsed="false" customWidth="true" hidden="false" outlineLevel="0" max="3" min="3" style="0" width="30"/>
    <col collapsed="false" customWidth="true" hidden="false" outlineLevel="0" max="4" min="4" style="0" width="4"/>
    <col collapsed="false" customWidth="true" hidden="false" outlineLevel="0" max="5" min="5" style="0" width="62"/>
    <col collapsed="false" customWidth="true" hidden="false" outlineLevel="0" max="7" min="6" style="0" width="12"/>
  </cols>
  <sheetData>
    <row r="1" customFormat="false" ht="48" hidden="false" customHeight="true" outlineLevel="0" collapsed="false">
      <c r="B1" s="1" t="s">
        <v>20</v>
      </c>
    </row>
    <row r="2" customFormat="false" ht="18" hidden="false" customHeight="true" outlineLevel="0" collapsed="false">
      <c r="B2" s="2" t="s">
        <v>1</v>
      </c>
    </row>
    <row r="3" customFormat="false" ht="3.75" hidden="false" customHeight="true" outlineLevel="0" collapsed="false">
      <c r="A3" s="3"/>
      <c r="B3" s="3"/>
      <c r="C3" s="3"/>
      <c r="D3" s="3"/>
      <c r="E3" s="3"/>
      <c r="F3" s="3"/>
    </row>
    <row r="5" customFormat="false" ht="15" hidden="false" customHeight="false" outlineLevel="0" collapsed="false">
      <c r="B5" s="6" t="s">
        <v>21</v>
      </c>
      <c r="C5" s="6" t="s">
        <v>22</v>
      </c>
      <c r="E5" s="6" t="s">
        <v>23</v>
      </c>
      <c r="F5" s="6" t="s">
        <v>24</v>
      </c>
      <c r="G5" s="6" t="s">
        <v>25</v>
      </c>
    </row>
    <row r="6" customFormat="false" ht="25.5" hidden="false" customHeight="true" outlineLevel="0" collapsed="false">
      <c r="B6" s="7" t="s">
        <v>26</v>
      </c>
      <c r="C6" s="8" t="str">
        <f aca="false">IF('Vendor Profile'!C6="","",'Vendor Profile'!C6)</f>
        <v>Example Vendor Ltd (fictional)</v>
      </c>
      <c r="E6" s="9" t="str">
        <f aca="false">'Scoring Summary'!B6</f>
        <v>1. Training and model improvement</v>
      </c>
      <c r="F6" s="10" t="n">
        <f aca="false">'Scoring Summary'!I6</f>
        <v>0.75</v>
      </c>
      <c r="G6" s="11" t="n">
        <f aca="false">'Scoring Summary'!K6</f>
        <v>0</v>
      </c>
    </row>
    <row r="7" customFormat="false" ht="25.5" hidden="false" customHeight="true" outlineLevel="0" collapsed="false">
      <c r="B7" s="7" t="s">
        <v>27</v>
      </c>
      <c r="C7" s="8" t="str">
        <f aca="false">IF('Vendor Profile'!C7="","",'Vendor Profile'!C7)</f>
        <v>Example Support Copilot - Enterprise plan</v>
      </c>
      <c r="E7" s="9" t="str">
        <f aca="false">'Scoring Summary'!B7</f>
        <v>2. Retention of prompts, outputs and logs</v>
      </c>
      <c r="F7" s="10" t="n">
        <f aca="false">'Scoring Summary'!I7</f>
        <v>0.666666666666667</v>
      </c>
      <c r="G7" s="11" t="n">
        <f aca="false">'Scoring Summary'!K7</f>
        <v>0</v>
      </c>
    </row>
    <row r="8" customFormat="false" ht="18" hidden="false" customHeight="true" outlineLevel="0" collapsed="false">
      <c r="B8" s="7" t="s">
        <v>28</v>
      </c>
      <c r="C8" s="8" t="str">
        <f aca="false">IF('Vendor Profile'!C21="","",'Vendor Profile'!C21)</f>
        <v>Tier 2 - High</v>
      </c>
      <c r="E8" s="9" t="str">
        <f aca="false">'Scoring Summary'!B8</f>
        <v>3. Data residency and sub-processors (including the model provider)</v>
      </c>
      <c r="F8" s="10" t="n">
        <f aca="false">'Scoring Summary'!I8</f>
        <v>0.871794871794872</v>
      </c>
      <c r="G8" s="11" t="n">
        <f aca="false">'Scoring Summary'!K8</f>
        <v>0</v>
      </c>
    </row>
    <row r="9" customFormat="false" ht="25.5" hidden="false" customHeight="true" outlineLevel="0" collapsed="false">
      <c r="B9" s="7" t="s">
        <v>29</v>
      </c>
      <c r="C9" s="8" t="str">
        <f aca="false">'Vendor Profile'!C22</f>
        <v>OK</v>
      </c>
      <c r="E9" s="9" t="str">
        <f aca="false">'Scoring Summary'!B9</f>
        <v>4. Security controls and certifications</v>
      </c>
      <c r="F9" s="10" t="n">
        <f aca="false">'Scoring Summary'!I9</f>
        <v>0.764705882352941</v>
      </c>
      <c r="G9" s="11" t="n">
        <f aca="false">'Scoring Summary'!K9</f>
        <v>0</v>
      </c>
    </row>
    <row r="10" customFormat="false" ht="18" hidden="false" customHeight="true" outlineLevel="0" collapsed="false">
      <c r="B10" s="12" t="s">
        <v>30</v>
      </c>
      <c r="C10" s="13" t="str">
        <f aca="false">'Scoring Summary'!$J$30</f>
        <v>Escalate</v>
      </c>
      <c r="E10" s="9" t="str">
        <f aca="false">'Scoring Summary'!B10</f>
        <v>5. Model change management</v>
      </c>
      <c r="F10" s="10" t="n">
        <f aca="false">'Scoring Summary'!I10</f>
        <v>0.454545454545455</v>
      </c>
      <c r="G10" s="11" t="n">
        <f aca="false">'Scoring Summary'!K10</f>
        <v>1</v>
      </c>
    </row>
    <row r="11" customFormat="false" ht="18" hidden="false" customHeight="true" outlineLevel="0" collapsed="false">
      <c r="B11" s="7" t="s">
        <v>31</v>
      </c>
      <c r="C11" s="8" t="str">
        <f aca="false">'Scoring Summary'!$J$29</f>
        <v>Escalate</v>
      </c>
      <c r="E11" s="9" t="str">
        <f aca="false">'Scoring Summary'!B11</f>
        <v>6. Evaluation and testing</v>
      </c>
      <c r="F11" s="10" t="n">
        <f aca="false">'Scoring Summary'!I11</f>
        <v>0.666666666666667</v>
      </c>
      <c r="G11" s="11" t="n">
        <f aca="false">'Scoring Summary'!K11</f>
        <v>0</v>
      </c>
    </row>
    <row r="12" customFormat="false" ht="18" hidden="false" customHeight="true" outlineLevel="0" collapsed="false">
      <c r="B12" s="7" t="s">
        <v>32</v>
      </c>
      <c r="C12" s="14" t="n">
        <f aca="false">'Scoring Summary'!$J$24</f>
        <v>0.738372093023256</v>
      </c>
      <c r="E12" s="9" t="str">
        <f aca="false">'Scoring Summary'!B12</f>
        <v>7. Agent and tool permissions (excessive agency)</v>
      </c>
      <c r="F12" s="10" t="n">
        <f aca="false">'Scoring Summary'!I12</f>
        <v>0.844444444444444</v>
      </c>
      <c r="G12" s="11" t="n">
        <f aca="false">'Scoring Summary'!K12</f>
        <v>0</v>
      </c>
    </row>
    <row r="13" customFormat="false" ht="18" hidden="false" customHeight="true" outlineLevel="0" collapsed="false">
      <c r="B13" s="7" t="s">
        <v>33</v>
      </c>
      <c r="C13" s="8" t="str">
        <f aca="false">'Scoring Summary'!$J$25</f>
        <v>Adequate</v>
      </c>
      <c r="E13" s="9" t="str">
        <f aca="false">'Scoring Summary'!B13</f>
        <v>8. Output handling and hallucination controls</v>
      </c>
      <c r="F13" s="10" t="n">
        <f aca="false">'Scoring Summary'!I13</f>
        <v>0.75</v>
      </c>
      <c r="G13" s="11" t="n">
        <f aca="false">'Scoring Summary'!K13</f>
        <v>0</v>
      </c>
    </row>
    <row r="14" customFormat="false" ht="18" hidden="false" customHeight="true" outlineLevel="0" collapsed="false">
      <c r="B14" s="7" t="s">
        <v>25</v>
      </c>
      <c r="C14" s="15" t="n">
        <f aca="false">'Scoring Summary'!$J$26</f>
        <v>1</v>
      </c>
      <c r="E14" s="9" t="str">
        <f aca="false">'Scoring Summary'!B14</f>
        <v>9. Human oversight</v>
      </c>
      <c r="F14" s="10" t="n">
        <f aca="false">'Scoring Summary'!I14</f>
        <v>0.866666666666667</v>
      </c>
      <c r="G14" s="11" t="n">
        <f aca="false">'Scoring Summary'!K14</f>
        <v>0</v>
      </c>
    </row>
    <row r="15" customFormat="false" ht="18" hidden="false" customHeight="true" outlineLevel="0" collapsed="false">
      <c r="B15" s="7" t="s">
        <v>34</v>
      </c>
      <c r="C15" s="14" t="n">
        <f aca="false">'Scoring Summary'!$J$27</f>
        <v>0.454545454545455</v>
      </c>
      <c r="E15" s="9" t="str">
        <f aca="false">'Scoring Summary'!B15</f>
        <v>10. Logging and audit trail (customer-accessible)</v>
      </c>
      <c r="F15" s="10" t="n">
        <f aca="false">'Scoring Summary'!I15</f>
        <v>0.7</v>
      </c>
      <c r="G15" s="11" t="n">
        <f aca="false">'Scoring Summary'!K15</f>
        <v>0</v>
      </c>
    </row>
    <row r="16" customFormat="false" ht="18" hidden="false" customHeight="true" outlineLevel="0" collapsed="false">
      <c r="B16" s="7" t="s">
        <v>35</v>
      </c>
      <c r="C16" s="8" t="str">
        <f aca="false">COUNTIFS(Questionnaire!$A$6:$A$93,"&lt;&gt;",Questionnaire!$F$6:$F$93,"&lt;&gt;")&amp;" of "&amp;COUNTIF(Questionnaire!$B$6:$B$93,"?*")</f>
        <v>74 of 74</v>
      </c>
      <c r="E16" s="9" t="str">
        <f aca="false">'Scoring Summary'!B16</f>
        <v>11. Incident response and AI-incident notification</v>
      </c>
      <c r="F16" s="10" t="n">
        <f aca="false">'Scoring Summary'!I16</f>
        <v>0.722222222222222</v>
      </c>
      <c r="G16" s="11" t="n">
        <f aca="false">'Scoring Summary'!K16</f>
        <v>0</v>
      </c>
    </row>
    <row r="17" customFormat="false" ht="18" hidden="false" customHeight="true" outlineLevel="0" collapsed="false">
      <c r="B17" s="7" t="s">
        <v>36</v>
      </c>
      <c r="C17" s="15" t="n">
        <f aca="false">COUNTIF(Questionnaire!$F$6:$F$93,"No")</f>
        <v>2</v>
      </c>
      <c r="E17" s="9" t="str">
        <f aca="false">'Scoring Summary'!B17</f>
        <v>12. Regulatory position (EU AI Act, GDPR, DPDP)</v>
      </c>
      <c r="F17" s="10" t="n">
        <f aca="false">'Scoring Summary'!I17</f>
        <v>0.785714285714286</v>
      </c>
      <c r="G17" s="11" t="n">
        <f aca="false">'Scoring Summary'!K17</f>
        <v>0</v>
      </c>
    </row>
    <row r="18" customFormat="false" ht="18" hidden="false" customHeight="true" outlineLevel="0" collapsed="false">
      <c r="B18" s="7" t="s">
        <v>37</v>
      </c>
      <c r="C18" s="15" t="n">
        <f aca="false">COUNTIF(Questionnaire!$N$6:$N$93,"Evidence missing")</f>
        <v>1</v>
      </c>
      <c r="E18" s="9" t="str">
        <f aca="false">'Scoring Summary'!B18</f>
        <v>13. IP and indemnity for generated output</v>
      </c>
      <c r="F18" s="10" t="n">
        <f aca="false">'Scoring Summary'!I18</f>
        <v>0.740740740740741</v>
      </c>
      <c r="G18" s="11" t="n">
        <f aca="false">'Scoring Summary'!K18</f>
        <v>0</v>
      </c>
    </row>
    <row r="19" customFormat="false" ht="18" hidden="false" customHeight="true" outlineLevel="0" collapsed="false">
      <c r="B19" s="7" t="s">
        <v>38</v>
      </c>
      <c r="C19" s="15" t="n">
        <f aca="false">COUNTIF(Questionnaire!$N$6:$N$93,"Claim not supported")</f>
        <v>0</v>
      </c>
      <c r="E19" s="9" t="str">
        <f aca="false">'Scoring Summary'!B19</f>
        <v>14. Continuity and exit</v>
      </c>
      <c r="F19" s="10" t="n">
        <f aca="false">'Scoring Summary'!I19</f>
        <v>0.696969696969697</v>
      </c>
      <c r="G19" s="11" t="n">
        <f aca="false">'Scoring Summary'!K19</f>
        <v>0</v>
      </c>
    </row>
    <row r="20" customFormat="false" ht="18" hidden="false" customHeight="true" outlineLevel="0" collapsed="false">
      <c r="B20" s="7" t="s">
        <v>39</v>
      </c>
      <c r="C20" s="15" t="n">
        <f aca="false">COUNTIFS('Follow-up Tracker'!$A$6:$A$105,"&lt;&gt;",'Follow-up Tracker'!$L$6:$L$105,"&lt;&gt;Closed",'Follow-up Tracker'!$L$6:$L$105,"&lt;&gt;Risk accepted")</f>
        <v>2</v>
      </c>
    </row>
    <row r="21" customFormat="false" ht="18" hidden="false" customHeight="true" outlineLevel="0" collapsed="false">
      <c r="B21" s="7" t="s">
        <v>40</v>
      </c>
      <c r="C21" s="15" t="n">
        <f aca="false">COUNTIF('Follow-up Tracker'!$O$6:$O$105,"OVERDUE")</f>
        <v>1</v>
      </c>
    </row>
    <row r="22" customFormat="false" ht="18" hidden="false" customHeight="true" outlineLevel="0" collapsed="false">
      <c r="B22" s="7" t="s">
        <v>41</v>
      </c>
      <c r="C22" s="15" t="n">
        <f aca="false">COUNTIFS('Follow-up Tracker'!$A$6:$A$105,"&lt;&gt;",'Follow-up Tracker'!$L$6:$L$105,"&lt;&gt;Closed",'Follow-up Tracker'!$L$6:$L$105,"&lt;&gt;Risk accepted",'Follow-up Tracker'!$N$6:$N$105,"Yes")</f>
        <v>2</v>
      </c>
    </row>
    <row r="23" customFormat="false" ht="18" hidden="false" customHeight="true" outlineLevel="0" collapsed="false">
      <c r="B23" s="7" t="s">
        <v>42</v>
      </c>
      <c r="C23" s="16" t="n">
        <f aca="false">IF('Vendor Profile'!C29="","",'Vendor Profile'!C29)</f>
        <v>46680</v>
      </c>
    </row>
    <row r="25" customFormat="false" ht="15" hidden="false" customHeight="false" outlineLevel="0" collapsed="false">
      <c r="B25" s="17" t="s">
        <v>43</v>
      </c>
    </row>
  </sheetData>
  <conditionalFormatting sqref="C10">
    <cfRule type="cellIs" priority="2" operator="equal" aboveAverage="0" equalAverage="0" bottom="0" percent="0" rank="0" text="" dxfId="0">
      <formula>"Approve"</formula>
    </cfRule>
    <cfRule type="cellIs" priority="3" operator="equal" aboveAverage="0" equalAverage="0" bottom="0" percent="0" rank="0" text="" dxfId="1">
      <formula>"Approve with conditions"</formula>
    </cfRule>
    <cfRule type="cellIs" priority="4" operator="equal" aboveAverage="0" equalAverage="0" bottom="0" percent="0" rank="0" text="" dxfId="2">
      <formula>"Escalate"</formula>
    </cfRule>
    <cfRule type="cellIs" priority="5" operator="equal" aboveAverage="0" equalAverage="0" bottom="0" percent="0" rank="0" text="" dxfId="3">
      <formula>"Reject"</formula>
    </cfRule>
  </conditionalFormatting>
  <conditionalFormatting sqref="C11">
    <cfRule type="cellIs" priority="6" operator="equal" aboveAverage="0" equalAverage="0" bottom="0" percent="0" rank="0" text="" dxfId="0">
      <formula>"Approve"</formula>
    </cfRule>
    <cfRule type="cellIs" priority="7" operator="equal" aboveAverage="0" equalAverage="0" bottom="0" percent="0" rank="0" text="" dxfId="1">
      <formula>"Approve with conditions"</formula>
    </cfRule>
    <cfRule type="cellIs" priority="8" operator="equal" aboveAverage="0" equalAverage="0" bottom="0" percent="0" rank="0" text="" dxfId="2">
      <formula>"Escalate"</formula>
    </cfRule>
    <cfRule type="cellIs" priority="9" operator="equal" aboveAverage="0" equalAverage="0" bottom="0" percent="0" rank="0" text="" dxfId="3">
      <formula>"Reject"</formula>
    </cfRule>
  </conditionalFormatting>
  <conditionalFormatting sqref="C14">
    <cfRule type="cellIs" priority="10" operator="greaterThan" aboveAverage="0" equalAverage="0" bottom="0" percent="0" rank="0" text="" dxfId="3">
      <formula>0</formula>
    </cfRule>
  </conditionalFormatting>
  <conditionalFormatting sqref="C21">
    <cfRule type="cellIs" priority="11" operator="greaterThan" aboveAverage="0" equalAverage="0" bottom="0" percent="0" rank="0" text="" dxfId="3">
      <formula>0</formula>
    </cfRule>
  </conditionalFormatting>
  <conditionalFormatting sqref="C22">
    <cfRule type="cellIs" priority="12" operator="greaterThan" aboveAverage="0" equalAverage="0" bottom="0" percent="0" rank="0" text="" dxfId="3">
      <formula>0</formula>
    </cfRule>
  </conditionalFormatting>
  <conditionalFormatting sqref="C19">
    <cfRule type="cellIs" priority="13" operator="greaterThan" aboveAverage="0" equalAverage="0" bottom="0" percent="0" rank="0" text="" dxfId="3">
      <formula>0</formula>
    </cfRule>
  </conditionalFormatting>
  <conditionalFormatting sqref="C9">
    <cfRule type="expression" priority="14" aboveAverage="0" equalAverage="0" bottom="0" percent="0" rank="0" text="" dxfId="3">
      <formula>LEFT(C9,5)="Below"</formula>
    </cfRule>
  </conditionalFormatting>
  <conditionalFormatting sqref="F6:F19">
    <cfRule type="dataBar" priority="15">
      <dataBar showValue="1" minLength="10" maxLength="90">
        <cfvo type="num" val="0"/>
        <cfvo type="num" val="1"/>
        <color rgb="FF5B6CFF"/>
      </dataBar>
      <extLst>
        <ext xmlns:x14="http://schemas.microsoft.com/office/spreadsheetml/2009/9/main" uri="{B025F937-C7B1-47D3-B67F-A62EFF666E3E}">
          <x14:id>{823EA4D4-342D-40A4-961A-7BFDEE3E9492}</x14:id>
        </ext>
      </extLst>
    </cfRule>
  </conditionalFormatting>
  <conditionalFormatting sqref="G6:G19">
    <cfRule type="cellIs" priority="16" operator="greaterThan" aboveAverage="0" equalAverage="0" bottom="0" percent="0" rank="0" text="" dxfId="3">
      <formula>0</formula>
    </cfRule>
  </conditionalFormatting>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extLst>
    <ext xmlns:x14="http://schemas.microsoft.com/office/spreadsheetml/2009/9/main" uri="{78C0D931-6437-407d-A8EE-F0AAD7539E65}">
      <x14:conditionalFormattings>
        <x14:conditionalFormatting xmlns:xm="http://schemas.microsoft.com/office/excel/2006/main">
          <x14:cfRule type="dataBar" id="{823EA4D4-342D-40A4-961A-7BFDEE3E9492}">
            <x14:dataBar minLength="10" maxLength="90" axisPosition="none" gradient="true">
              <x14:cfvo type="num">
                <xm:f>0</xm:f>
              </x14:cfvo>
              <x14:cfvo type="num">
                <xm:f>1</xm:f>
              </x14:cfvo>
              <x14:negativeFillColor rgb="FF5B6CFF"/>
              <x14:axisColor rgb="FF000000"/>
            </x14:dataBar>
          </x14:cfRule>
          <xm:sqref>F6:F19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52"/>
    <col collapsed="false" customWidth="true" hidden="false" outlineLevel="0" max="4" min="4" style="0" width="60"/>
  </cols>
  <sheetData>
    <row r="1" customFormat="false" ht="48" hidden="false" customHeight="true" outlineLevel="0" collapsed="false">
      <c r="B1" s="1" t="s">
        <v>44</v>
      </c>
    </row>
    <row r="2" customFormat="false" ht="18" hidden="false" customHeight="true" outlineLevel="0" collapsed="false">
      <c r="B2" s="2" t="s">
        <v>1</v>
      </c>
    </row>
    <row r="3" customFormat="false" ht="3.75" hidden="false" customHeight="true" outlineLevel="0" collapsed="false">
      <c r="A3" s="3"/>
      <c r="B3" s="3"/>
      <c r="C3" s="3"/>
      <c r="D3" s="3"/>
    </row>
    <row r="5" customFormat="false" ht="15" hidden="false" customHeight="false" outlineLevel="0" collapsed="false">
      <c r="B5" s="6" t="s">
        <v>45</v>
      </c>
      <c r="C5" s="6" t="s">
        <v>22</v>
      </c>
      <c r="D5" s="6" t="s">
        <v>46</v>
      </c>
    </row>
    <row r="6" customFormat="false" ht="18" hidden="false" customHeight="true" outlineLevel="0" collapsed="false">
      <c r="B6" s="18" t="s">
        <v>47</v>
      </c>
      <c r="C6" s="19" t="s">
        <v>48</v>
      </c>
      <c r="D6" s="20" t="s">
        <v>49</v>
      </c>
    </row>
    <row r="7" customFormat="false" ht="18" hidden="false" customHeight="true" outlineLevel="0" collapsed="false">
      <c r="B7" s="18" t="s">
        <v>50</v>
      </c>
      <c r="C7" s="19" t="s">
        <v>51</v>
      </c>
      <c r="D7" s="20" t="s">
        <v>52</v>
      </c>
    </row>
    <row r="8" customFormat="false" ht="30.75" hidden="false" customHeight="true" outlineLevel="0" collapsed="false">
      <c r="B8" s="18" t="s">
        <v>53</v>
      </c>
      <c r="C8" s="19" t="s">
        <v>54</v>
      </c>
      <c r="D8" s="20" t="s">
        <v>55</v>
      </c>
    </row>
    <row r="9" customFormat="false" ht="18" hidden="false" customHeight="true" outlineLevel="0" collapsed="false">
      <c r="B9" s="18" t="s">
        <v>56</v>
      </c>
      <c r="C9" s="19" t="s">
        <v>57</v>
      </c>
      <c r="D9" s="20" t="s">
        <v>58</v>
      </c>
    </row>
    <row r="10" customFormat="false" ht="30.75" hidden="false" customHeight="true" outlineLevel="0" collapsed="false">
      <c r="B10" s="18" t="s">
        <v>59</v>
      </c>
      <c r="C10" s="19" t="s">
        <v>60</v>
      </c>
      <c r="D10" s="20" t="s">
        <v>61</v>
      </c>
    </row>
    <row r="11" customFormat="false" ht="18" hidden="false" customHeight="true" outlineLevel="0" collapsed="false">
      <c r="B11" s="18" t="s">
        <v>62</v>
      </c>
      <c r="C11" s="19" t="s">
        <v>63</v>
      </c>
      <c r="D11" s="20"/>
    </row>
    <row r="12" customFormat="false" ht="18" hidden="false" customHeight="true" outlineLevel="0" collapsed="false">
      <c r="B12" s="18" t="s">
        <v>64</v>
      </c>
      <c r="C12" s="19" t="s">
        <v>65</v>
      </c>
      <c r="D12" s="20" t="s">
        <v>66</v>
      </c>
    </row>
    <row r="13" customFormat="false" ht="30.75" hidden="false" customHeight="true" outlineLevel="0" collapsed="false">
      <c r="B13" s="18" t="s">
        <v>67</v>
      </c>
      <c r="C13" s="19" t="s">
        <v>68</v>
      </c>
      <c r="D13" s="20" t="s">
        <v>69</v>
      </c>
    </row>
    <row r="14" customFormat="false" ht="18" hidden="false" customHeight="true" outlineLevel="0" collapsed="false">
      <c r="B14" s="18" t="s">
        <v>70</v>
      </c>
      <c r="C14" s="19" t="s">
        <v>71</v>
      </c>
      <c r="D14" s="20"/>
    </row>
    <row r="15" customFormat="false" ht="30.75" hidden="false" customHeight="true" outlineLevel="0" collapsed="false">
      <c r="B15" s="18" t="s">
        <v>72</v>
      </c>
      <c r="C15" s="19" t="s">
        <v>73</v>
      </c>
      <c r="D15" s="20" t="s">
        <v>74</v>
      </c>
    </row>
    <row r="16" customFormat="false" ht="30.75" hidden="false" customHeight="true" outlineLevel="0" collapsed="false">
      <c r="B16" s="18" t="s">
        <v>75</v>
      </c>
      <c r="C16" s="19" t="s">
        <v>71</v>
      </c>
      <c r="D16" s="20"/>
    </row>
    <row r="17" customFormat="false" ht="30.75" hidden="false" customHeight="true" outlineLevel="0" collapsed="false">
      <c r="B17" s="18" t="s">
        <v>76</v>
      </c>
      <c r="C17" s="19" t="s">
        <v>73</v>
      </c>
      <c r="D17" s="20" t="s">
        <v>77</v>
      </c>
    </row>
    <row r="18" customFormat="false" ht="30.75" hidden="false" customHeight="true" outlineLevel="0" collapsed="false">
      <c r="B18" s="18" t="s">
        <v>78</v>
      </c>
      <c r="C18" s="19" t="s">
        <v>71</v>
      </c>
      <c r="D18" s="20" t="s">
        <v>79</v>
      </c>
    </row>
    <row r="19" customFormat="false" ht="18" hidden="false" customHeight="true" outlineLevel="0" collapsed="false">
      <c r="B19" s="18" t="s">
        <v>80</v>
      </c>
      <c r="C19" s="19" t="s">
        <v>81</v>
      </c>
      <c r="D19" s="20" t="s">
        <v>82</v>
      </c>
    </row>
    <row r="20" customFormat="false" ht="30.75" hidden="false" customHeight="true" outlineLevel="0" collapsed="false">
      <c r="B20" s="18" t="s">
        <v>83</v>
      </c>
      <c r="C20" s="21" t="str">
        <f aca="false">IF(C14="","",IF(OR(C15="Yes",C17="Yes"),"Tier 1 - Critical",IF(OR(C14="Yes",C18="Yes"),"Tier 2 - High","Tier 3 - Moderate")))</f>
        <v>Tier 2 - High</v>
      </c>
      <c r="D20" s="20" t="s">
        <v>84</v>
      </c>
    </row>
    <row r="21" customFormat="false" ht="30.75" hidden="false" customHeight="true" outlineLevel="0" collapsed="false">
      <c r="B21" s="18" t="s">
        <v>85</v>
      </c>
      <c r="C21" s="19" t="s">
        <v>86</v>
      </c>
      <c r="D21" s="20" t="s">
        <v>87</v>
      </c>
    </row>
    <row r="22" customFormat="false" ht="18" hidden="false" customHeight="true" outlineLevel="0" collapsed="false">
      <c r="B22" s="18" t="s">
        <v>88</v>
      </c>
      <c r="C22" s="21" t="str">
        <f aca="false">IF(OR(C21="",C20=""),"Set the tier",IF(VALUE(MID(C21,6,1))&gt;VALUE(MID(C20,6,1)),"Below suggested tier - record the justification","OK"))</f>
        <v>OK</v>
      </c>
      <c r="D22" s="20"/>
    </row>
    <row r="23" customFormat="false" ht="18" hidden="false" customHeight="true" outlineLevel="0" collapsed="false">
      <c r="B23" s="18" t="s">
        <v>89</v>
      </c>
      <c r="C23" s="19" t="s">
        <v>90</v>
      </c>
      <c r="D23" s="20"/>
    </row>
    <row r="24" customFormat="false" ht="18" hidden="false" customHeight="true" outlineLevel="0" collapsed="false">
      <c r="B24" s="18" t="s">
        <v>91</v>
      </c>
      <c r="C24" s="19" t="s">
        <v>92</v>
      </c>
      <c r="D24" s="20" t="s">
        <v>93</v>
      </c>
    </row>
    <row r="25" customFormat="false" ht="18" hidden="false" customHeight="true" outlineLevel="0" collapsed="false">
      <c r="B25" s="18" t="s">
        <v>94</v>
      </c>
      <c r="C25" s="22" t="n">
        <v>46280</v>
      </c>
      <c r="D25" s="20"/>
    </row>
    <row r="26" customFormat="false" ht="18" hidden="false" customHeight="true" outlineLevel="0" collapsed="false">
      <c r="B26" s="18" t="s">
        <v>95</v>
      </c>
      <c r="C26" s="22" t="n">
        <v>46301</v>
      </c>
      <c r="D26" s="20"/>
    </row>
    <row r="27" customFormat="false" ht="18" hidden="false" customHeight="true" outlineLevel="0" collapsed="false">
      <c r="B27" s="18" t="s">
        <v>96</v>
      </c>
      <c r="C27" s="23" t="n">
        <f aca="false">IF(OR(C25="",C26=""),"",C26-C25)</f>
        <v>21</v>
      </c>
      <c r="D27" s="20"/>
    </row>
    <row r="28" customFormat="false" ht="18" hidden="false" customHeight="true" outlineLevel="0" collapsed="false">
      <c r="B28" s="18" t="s">
        <v>97</v>
      </c>
      <c r="C28" s="22" t="n">
        <v>46315</v>
      </c>
      <c r="D28" s="20"/>
    </row>
    <row r="29" customFormat="false" ht="30.75" hidden="false" customHeight="true" outlineLevel="0" collapsed="false">
      <c r="B29" s="18" t="s">
        <v>98</v>
      </c>
      <c r="C29" s="24" t="n">
        <f aca="false">IF(OR(C28="",C21=""),"",IFERROR(DATE(YEAR(C28),MONTH(C28)+INDEX($C$32:$C$35,MATCH(C21,$B$32:$B$35,0)),DAY(C28)),""))</f>
        <v>46680</v>
      </c>
      <c r="D29" s="20" t="s">
        <v>99</v>
      </c>
    </row>
    <row r="31" customFormat="false" ht="15" hidden="false" customHeight="false" outlineLevel="0" collapsed="false">
      <c r="B31" s="25" t="s">
        <v>100</v>
      </c>
    </row>
    <row r="32" customFormat="false" ht="15" hidden="false" customHeight="false" outlineLevel="0" collapsed="false">
      <c r="B32" s="26" t="s">
        <v>101</v>
      </c>
      <c r="C32" s="27" t="n">
        <v>12</v>
      </c>
    </row>
    <row r="33" customFormat="false" ht="15" hidden="false" customHeight="false" outlineLevel="0" collapsed="false">
      <c r="B33" s="26" t="s">
        <v>86</v>
      </c>
      <c r="C33" s="27" t="n">
        <v>12</v>
      </c>
    </row>
    <row r="34" customFormat="false" ht="15" hidden="false" customHeight="false" outlineLevel="0" collapsed="false">
      <c r="B34" s="26" t="s">
        <v>102</v>
      </c>
      <c r="C34" s="27" t="n">
        <v>24</v>
      </c>
    </row>
    <row r="35" customFormat="false" ht="15" hidden="false" customHeight="false" outlineLevel="0" collapsed="false">
      <c r="B35" s="26" t="s">
        <v>103</v>
      </c>
      <c r="C35" s="27" t="n">
        <v>36</v>
      </c>
    </row>
  </sheetData>
  <conditionalFormatting sqref="C22">
    <cfRule type="expression" priority="2" aboveAverage="0" equalAverage="0" bottom="0" percent="0" rank="0" text="" dxfId="3">
      <formula>LEFT(C22,5)="Below"</formula>
    </cfRule>
  </conditionalFormatting>
  <dataValidations count="8">
    <dataValidation allowBlank="true" error="Pick a value from the list" errorStyle="stop" errorTitle="Not in list" operator="between" showDropDown="false" showErrorMessage="false" showInputMessage="false" sqref="C11" type="list">
      <formula1>Lists!$F$6:$F$11</formula1>
      <formula2>0</formula2>
    </dataValidation>
    <dataValidation allowBlank="true" error="Pick a value from the list" errorStyle="stop" errorTitle="Not in list" operator="between" showDropDown="false" showErrorMessage="false" showInputMessage="false" sqref="C14" type="list">
      <formula1>Lists!$D$6:$D$7</formula1>
      <formula2>0</formula2>
    </dataValidation>
    <dataValidation allowBlank="true" error="Pick a value from the list" errorStyle="stop" errorTitle="Not in list" operator="between" showDropDown="false" showErrorMessage="false" showInputMessage="false" sqref="C15" type="list">
      <formula1>Lists!$D$6:$D$7</formula1>
      <formula2>0</formula2>
    </dataValidation>
    <dataValidation allowBlank="true" error="Pick a value from the list" errorStyle="stop" errorTitle="Not in list" operator="between" showDropDown="false" showErrorMessage="false" showInputMessage="false" sqref="C16" type="list">
      <formula1>Lists!$D$6:$D$7</formula1>
      <formula2>0</formula2>
    </dataValidation>
    <dataValidation allowBlank="true" error="Pick a value from the list" errorStyle="stop" errorTitle="Not in list" operator="between" showDropDown="false" showErrorMessage="false" showInputMessage="false" sqref="C17" type="list">
      <formula1>Lists!$D$6:$D$7</formula1>
      <formula2>0</formula2>
    </dataValidation>
    <dataValidation allowBlank="true" error="Pick a value from the list" errorStyle="stop" errorTitle="Not in list" operator="between" showDropDown="false" showErrorMessage="false" showInputMessage="false" sqref="C18" type="list">
      <formula1>Lists!$D$6:$D$7</formula1>
      <formula2>0</formula2>
    </dataValidation>
    <dataValidation allowBlank="true" error="Pick a value from the list" errorStyle="stop" errorTitle="Not in list" operator="between" showDropDown="false" showErrorMessage="false" showInputMessage="false" sqref="C19" type="list">
      <formula1>Lists!$G$6:$G$11</formula1>
      <formula2>0</formula2>
    </dataValidation>
    <dataValidation allowBlank="true" error="Pick a value from the list" errorStyle="stop" errorTitle="Not in list" operator="between" showDropDown="false" showErrorMessage="false" showInputMessage="false" sqref="C21" type="list">
      <formula1>Lists!$E$6:$E$9</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50"/>
    <col collapsed="false" customWidth="true" hidden="false" outlineLevel="0" max="4" min="4" style="0" width="34"/>
    <col collapsed="false" customWidth="true" hidden="false" outlineLevel="0" max="5" min="5" style="0" width="36"/>
    <col collapsed="false" customWidth="true" hidden="false" outlineLevel="0" max="6" min="6" style="0" width="10"/>
    <col collapsed="false" customWidth="true" hidden="false" outlineLevel="0" max="7" min="7" style="0" width="20"/>
    <col collapsed="false" customWidth="true" hidden="false" outlineLevel="0" max="8" min="8" style="0" width="9"/>
    <col collapsed="false" customWidth="true" hidden="false" outlineLevel="0" max="9" min="9" style="0" width="8"/>
    <col collapsed="false" customWidth="true" hidden="false" outlineLevel="0" max="12" min="10" style="0" width="9"/>
    <col collapsed="false" customWidth="true" hidden="false" outlineLevel="0" max="13" min="13" style="0" width="10"/>
    <col collapsed="false" customWidth="true" hidden="false" outlineLevel="0" max="14" min="14" style="0" width="17"/>
    <col collapsed="false" customWidth="true" hidden="false" outlineLevel="0" max="15" min="15" style="0" width="26"/>
  </cols>
  <sheetData>
    <row r="1" customFormat="false" ht="48" hidden="false" customHeight="true" outlineLevel="0" collapsed="false">
      <c r="B1" s="1" t="s">
        <v>104</v>
      </c>
    </row>
    <row r="2" customFormat="false" ht="18" hidden="false" customHeight="true" outlineLevel="0" collapsed="false">
      <c r="B2" s="2" t="s">
        <v>1</v>
      </c>
    </row>
    <row r="3" customFormat="false" ht="3.75" hidden="false" customHeight="true" outlineLevel="0" collapsed="false">
      <c r="A3" s="3"/>
      <c r="B3" s="3"/>
      <c r="C3" s="3"/>
      <c r="D3" s="3"/>
      <c r="E3" s="3"/>
      <c r="F3" s="3"/>
      <c r="G3" s="3"/>
      <c r="H3" s="3"/>
      <c r="I3" s="3"/>
      <c r="J3" s="3"/>
      <c r="K3" s="3"/>
      <c r="L3" s="3"/>
      <c r="M3" s="3"/>
      <c r="N3" s="3"/>
      <c r="O3" s="3"/>
    </row>
    <row r="5" customFormat="false" ht="43.5" hidden="false" customHeight="true" outlineLevel="0" collapsed="false">
      <c r="A5" s="6" t="s">
        <v>105</v>
      </c>
      <c r="B5" s="6" t="s">
        <v>23</v>
      </c>
      <c r="C5" s="6" t="s">
        <v>106</v>
      </c>
      <c r="D5" s="6" t="s">
        <v>107</v>
      </c>
      <c r="E5" s="6" t="s">
        <v>108</v>
      </c>
      <c r="F5" s="6" t="s">
        <v>109</v>
      </c>
      <c r="G5" s="6" t="s">
        <v>110</v>
      </c>
      <c r="H5" s="6" t="s">
        <v>111</v>
      </c>
      <c r="I5" s="6" t="s">
        <v>112</v>
      </c>
      <c r="J5" s="6" t="s">
        <v>113</v>
      </c>
      <c r="K5" s="6" t="s">
        <v>114</v>
      </c>
      <c r="L5" s="6" t="s">
        <v>115</v>
      </c>
      <c r="M5" s="6" t="s">
        <v>116</v>
      </c>
      <c r="N5" s="6" t="s">
        <v>117</v>
      </c>
      <c r="O5" s="6" t="s">
        <v>118</v>
      </c>
    </row>
    <row r="6" customFormat="false" ht="18" hidden="false" customHeight="true" outlineLevel="0" collapsed="false">
      <c r="A6" s="28" t="s">
        <v>119</v>
      </c>
      <c r="B6" s="29"/>
      <c r="C6" s="29"/>
      <c r="D6" s="29"/>
      <c r="E6" s="29"/>
      <c r="F6" s="29"/>
      <c r="G6" s="29"/>
      <c r="H6" s="29"/>
      <c r="I6" s="29"/>
      <c r="J6" s="29"/>
      <c r="K6" s="29"/>
      <c r="L6" s="29"/>
      <c r="M6" s="29"/>
      <c r="N6" s="29"/>
      <c r="O6" s="29"/>
    </row>
    <row r="7" customFormat="false" ht="54" hidden="false" customHeight="true" outlineLevel="0" collapsed="false">
      <c r="A7" s="30" t="s">
        <v>120</v>
      </c>
      <c r="B7" s="31" t="s">
        <v>119</v>
      </c>
      <c r="C7" s="31" t="s">
        <v>121</v>
      </c>
      <c r="D7" s="31" t="s">
        <v>122</v>
      </c>
      <c r="E7" s="31" t="s">
        <v>123</v>
      </c>
      <c r="F7" s="32" t="s">
        <v>71</v>
      </c>
      <c r="G7" s="33" t="s">
        <v>124</v>
      </c>
      <c r="H7" s="32" t="n">
        <v>3</v>
      </c>
      <c r="I7" s="32" t="n">
        <v>3</v>
      </c>
      <c r="J7" s="32" t="s">
        <v>71</v>
      </c>
      <c r="K7" s="34" t="n">
        <f aca="false">IF(OR(A7="",F7="N/A",H7=""),"",H7*I7)</f>
        <v>9</v>
      </c>
      <c r="L7" s="34" t="n">
        <f aca="false">IF(OR(A7="",F7="N/A",H7=""),"",3*I7)</f>
        <v>9</v>
      </c>
      <c r="M7" s="34" t="str">
        <f aca="false">IF(AND(J7="Yes",OR(F7="No",AND(F7&lt;&gt;"N/A",H7&lt;&gt;"",N(H7)&lt;=1))),"RED FLAG","")</f>
        <v/>
      </c>
      <c r="N7" s="35" t="str">
        <f aca="false">IF(A7="","",IF(F7="","Awaiting answer",IF(AND(F7&lt;&gt;"N/A",H7=""),"Score it",IF(AND(OR(F7="Yes",F7="Partial"),G7=""),"Evidence missing",IF(AND(F7="N/A",J7="Yes"),"Critical N/A - justify",IF(AND(F7="Yes",H7&lt;&gt;"",N(H7)&lt;=1),"Claim not supported","OK"))))))</f>
        <v>OK</v>
      </c>
      <c r="O7" s="33"/>
    </row>
    <row r="8" customFormat="false" ht="42" hidden="false" customHeight="true" outlineLevel="0" collapsed="false">
      <c r="A8" s="30" t="s">
        <v>125</v>
      </c>
      <c r="B8" s="31" t="s">
        <v>119</v>
      </c>
      <c r="C8" s="31" t="s">
        <v>126</v>
      </c>
      <c r="D8" s="31" t="s">
        <v>127</v>
      </c>
      <c r="E8" s="31" t="s">
        <v>128</v>
      </c>
      <c r="F8" s="32" t="s">
        <v>71</v>
      </c>
      <c r="G8" s="33" t="s">
        <v>129</v>
      </c>
      <c r="H8" s="32" t="n">
        <v>3</v>
      </c>
      <c r="I8" s="32" t="n">
        <v>2</v>
      </c>
      <c r="J8" s="32" t="s">
        <v>73</v>
      </c>
      <c r="K8" s="34" t="n">
        <f aca="false">IF(OR(A8="",F8="N/A",H8=""),"",H8*I8)</f>
        <v>6</v>
      </c>
      <c r="L8" s="34" t="n">
        <f aca="false">IF(OR(A8="",F8="N/A",H8=""),"",3*I8)</f>
        <v>6</v>
      </c>
      <c r="M8" s="34" t="str">
        <f aca="false">IF(AND(J8="Yes",OR(F8="No",AND(F8&lt;&gt;"N/A",H8&lt;&gt;"",N(H8)&lt;=1))),"RED FLAG","")</f>
        <v/>
      </c>
      <c r="N8" s="35" t="str">
        <f aca="false">IF(A8="","",IF(F8="","Awaiting answer",IF(AND(F8&lt;&gt;"N/A",H8=""),"Score it",IF(AND(OR(F8="Yes",F8="Partial"),G8=""),"Evidence missing",IF(AND(F8="N/A",J8="Yes"),"Critical N/A - justify",IF(AND(F8="Yes",H8&lt;&gt;"",N(H8)&lt;=1),"Claim not supported","OK"))))))</f>
        <v>OK</v>
      </c>
      <c r="O8" s="33"/>
    </row>
    <row r="9" customFormat="false" ht="54" hidden="false" customHeight="true" outlineLevel="0" collapsed="false">
      <c r="A9" s="30" t="s">
        <v>130</v>
      </c>
      <c r="B9" s="31" t="s">
        <v>119</v>
      </c>
      <c r="C9" s="31" t="s">
        <v>131</v>
      </c>
      <c r="D9" s="31" t="s">
        <v>132</v>
      </c>
      <c r="E9" s="31" t="s">
        <v>133</v>
      </c>
      <c r="F9" s="32" t="s">
        <v>134</v>
      </c>
      <c r="G9" s="33" t="s">
        <v>135</v>
      </c>
      <c r="H9" s="32" t="n">
        <v>2</v>
      </c>
      <c r="I9" s="32" t="n">
        <v>2</v>
      </c>
      <c r="J9" s="32" t="s">
        <v>73</v>
      </c>
      <c r="K9" s="34" t="n">
        <f aca="false">IF(OR(A9="",F9="N/A",H9=""),"",H9*I9)</f>
        <v>4</v>
      </c>
      <c r="L9" s="34" t="n">
        <f aca="false">IF(OR(A9="",F9="N/A",H9=""),"",3*I9)</f>
        <v>6</v>
      </c>
      <c r="M9" s="34" t="str">
        <f aca="false">IF(AND(J9="Yes",OR(F9="No",AND(F9&lt;&gt;"N/A",H9&lt;&gt;"",N(H9)&lt;=1))),"RED FLAG","")</f>
        <v/>
      </c>
      <c r="N9" s="35" t="str">
        <f aca="false">IF(A9="","",IF(F9="","Awaiting answer",IF(AND(F9&lt;&gt;"N/A",H9=""),"Score it",IF(AND(OR(F9="Yes",F9="Partial"),G9=""),"Evidence missing",IF(AND(F9="N/A",J9="Yes"),"Critical N/A - justify",IF(AND(F9="Yes",H9&lt;&gt;"",N(H9)&lt;=1),"Claim not supported","OK"))))))</f>
        <v>OK</v>
      </c>
      <c r="O9" s="33"/>
    </row>
    <row r="10" customFormat="false" ht="42" hidden="false" customHeight="true" outlineLevel="0" collapsed="false">
      <c r="A10" s="30" t="s">
        <v>136</v>
      </c>
      <c r="B10" s="31" t="s">
        <v>119</v>
      </c>
      <c r="C10" s="31" t="s">
        <v>137</v>
      </c>
      <c r="D10" s="31" t="s">
        <v>138</v>
      </c>
      <c r="E10" s="31" t="s">
        <v>139</v>
      </c>
      <c r="F10" s="32" t="s">
        <v>71</v>
      </c>
      <c r="G10" s="33" t="s">
        <v>140</v>
      </c>
      <c r="H10" s="32" t="n">
        <v>2</v>
      </c>
      <c r="I10" s="32" t="n">
        <v>3</v>
      </c>
      <c r="J10" s="32" t="s">
        <v>71</v>
      </c>
      <c r="K10" s="34" t="n">
        <f aca="false">IF(OR(A10="",F10="N/A",H10=""),"",H10*I10)</f>
        <v>6</v>
      </c>
      <c r="L10" s="34" t="n">
        <f aca="false">IF(OR(A10="",F10="N/A",H10=""),"",3*I10)</f>
        <v>9</v>
      </c>
      <c r="M10" s="34" t="str">
        <f aca="false">IF(AND(J10="Yes",OR(F10="No",AND(F10&lt;&gt;"N/A",H10&lt;&gt;"",N(H10)&lt;=1))),"RED FLAG","")</f>
        <v/>
      </c>
      <c r="N10" s="35" t="str">
        <f aca="false">IF(A10="","",IF(F10="","Awaiting answer",IF(AND(F10&lt;&gt;"N/A",H10=""),"Score it",IF(AND(OR(F10="Yes",F10="Partial"),G10=""),"Evidence missing",IF(AND(F10="N/A",J10="Yes"),"Critical N/A - justify",IF(AND(F10="Yes",H10&lt;&gt;"",N(H10)&lt;=1),"Claim not supported","OK"))))))</f>
        <v>OK</v>
      </c>
      <c r="O10" s="33"/>
    </row>
    <row r="11" customFormat="false" ht="54" hidden="false" customHeight="true" outlineLevel="0" collapsed="false">
      <c r="A11" s="30" t="s">
        <v>141</v>
      </c>
      <c r="B11" s="31" t="s">
        <v>119</v>
      </c>
      <c r="C11" s="31" t="s">
        <v>142</v>
      </c>
      <c r="D11" s="31" t="s">
        <v>143</v>
      </c>
      <c r="E11" s="31" t="s">
        <v>144</v>
      </c>
      <c r="F11" s="32" t="s">
        <v>134</v>
      </c>
      <c r="G11" s="33" t="s">
        <v>145</v>
      </c>
      <c r="H11" s="32" t="n">
        <v>1</v>
      </c>
      <c r="I11" s="32" t="n">
        <v>2</v>
      </c>
      <c r="J11" s="32" t="s">
        <v>73</v>
      </c>
      <c r="K11" s="34" t="n">
        <f aca="false">IF(OR(A11="",F11="N/A",H11=""),"",H11*I11)</f>
        <v>2</v>
      </c>
      <c r="L11" s="34" t="n">
        <f aca="false">IF(OR(A11="",F11="N/A",H11=""),"",3*I11)</f>
        <v>6</v>
      </c>
      <c r="M11" s="34" t="str">
        <f aca="false">IF(AND(J11="Yes",OR(F11="No",AND(F11&lt;&gt;"N/A",H11&lt;&gt;"",N(H11)&lt;=1))),"RED FLAG","")</f>
        <v/>
      </c>
      <c r="N11" s="35" t="str">
        <f aca="false">IF(A11="","",IF(F11="","Awaiting answer",IF(AND(F11&lt;&gt;"N/A",H11=""),"Score it",IF(AND(OR(F11="Yes",F11="Partial"),G11=""),"Evidence missing",IF(AND(F11="N/A",J11="Yes"),"Critical N/A - justify",IF(AND(F11="Yes",H11&lt;&gt;"",N(H11)&lt;=1),"Claim not supported","OK"))))))</f>
        <v>OK</v>
      </c>
      <c r="O11" s="33"/>
    </row>
    <row r="12" customFormat="false" ht="18" hidden="false" customHeight="true" outlineLevel="0" collapsed="false">
      <c r="A12" s="28" t="s">
        <v>146</v>
      </c>
      <c r="B12" s="29"/>
      <c r="C12" s="29"/>
      <c r="D12" s="29"/>
      <c r="E12" s="29"/>
      <c r="F12" s="29"/>
      <c r="G12" s="29"/>
      <c r="H12" s="29"/>
      <c r="I12" s="29"/>
      <c r="J12" s="29"/>
      <c r="K12" s="29"/>
      <c r="L12" s="29"/>
      <c r="M12" s="29"/>
      <c r="N12" s="29"/>
      <c r="O12" s="29"/>
    </row>
    <row r="13" customFormat="false" ht="54" hidden="false" customHeight="true" outlineLevel="0" collapsed="false">
      <c r="A13" s="30" t="s">
        <v>147</v>
      </c>
      <c r="B13" s="31" t="s">
        <v>146</v>
      </c>
      <c r="C13" s="31" t="s">
        <v>148</v>
      </c>
      <c r="D13" s="31" t="s">
        <v>149</v>
      </c>
      <c r="E13" s="31" t="s">
        <v>150</v>
      </c>
      <c r="F13" s="32" t="s">
        <v>71</v>
      </c>
      <c r="G13" s="33" t="s">
        <v>151</v>
      </c>
      <c r="H13" s="32" t="n">
        <v>2</v>
      </c>
      <c r="I13" s="32" t="n">
        <v>3</v>
      </c>
      <c r="J13" s="32" t="s">
        <v>73</v>
      </c>
      <c r="K13" s="34" t="n">
        <f aca="false">IF(OR(A13="",F13="N/A",H13=""),"",H13*I13)</f>
        <v>6</v>
      </c>
      <c r="L13" s="34" t="n">
        <f aca="false">IF(OR(A13="",F13="N/A",H13=""),"",3*I13)</f>
        <v>9</v>
      </c>
      <c r="M13" s="34" t="str">
        <f aca="false">IF(AND(J13="Yes",OR(F13="No",AND(F13&lt;&gt;"N/A",H13&lt;&gt;"",N(H13)&lt;=1))),"RED FLAG","")</f>
        <v/>
      </c>
      <c r="N13" s="35" t="str">
        <f aca="false">IF(A13="","",IF(F13="","Awaiting answer",IF(AND(F13&lt;&gt;"N/A",H13=""),"Score it",IF(AND(OR(F13="Yes",F13="Partial"),G13=""),"Evidence missing",IF(AND(F13="N/A",J13="Yes"),"Critical N/A - justify",IF(AND(F13="Yes",H13&lt;&gt;"",N(H13)&lt;=1),"Claim not supported","OK"))))))</f>
        <v>OK</v>
      </c>
      <c r="O13" s="33"/>
    </row>
    <row r="14" customFormat="false" ht="54" hidden="false" customHeight="true" outlineLevel="0" collapsed="false">
      <c r="A14" s="30" t="s">
        <v>152</v>
      </c>
      <c r="B14" s="31" t="s">
        <v>146</v>
      </c>
      <c r="C14" s="31" t="s">
        <v>153</v>
      </c>
      <c r="D14" s="31" t="s">
        <v>154</v>
      </c>
      <c r="E14" s="31" t="s">
        <v>155</v>
      </c>
      <c r="F14" s="32" t="s">
        <v>134</v>
      </c>
      <c r="G14" s="33" t="s">
        <v>156</v>
      </c>
      <c r="H14" s="32" t="n">
        <v>2</v>
      </c>
      <c r="I14" s="32" t="n">
        <v>3</v>
      </c>
      <c r="J14" s="32" t="s">
        <v>71</v>
      </c>
      <c r="K14" s="34" t="n">
        <f aca="false">IF(OR(A14="",F14="N/A",H14=""),"",H14*I14)</f>
        <v>6</v>
      </c>
      <c r="L14" s="34" t="n">
        <f aca="false">IF(OR(A14="",F14="N/A",H14=""),"",3*I14)</f>
        <v>9</v>
      </c>
      <c r="M14" s="34" t="str">
        <f aca="false">IF(AND(J14="Yes",OR(F14="No",AND(F14&lt;&gt;"N/A",H14&lt;&gt;"",N(H14)&lt;=1))),"RED FLAG","")</f>
        <v/>
      </c>
      <c r="N14" s="35" t="str">
        <f aca="false">IF(A14="","",IF(F14="","Awaiting answer",IF(AND(F14&lt;&gt;"N/A",H14=""),"Score it",IF(AND(OR(F14="Yes",F14="Partial"),G14=""),"Evidence missing",IF(AND(F14="N/A",J14="Yes"),"Critical N/A - justify",IF(AND(F14="Yes",H14&lt;&gt;"",N(H14)&lt;=1),"Claim not supported","OK"))))))</f>
        <v>OK</v>
      </c>
      <c r="O14" s="33"/>
    </row>
    <row r="15" customFormat="false" ht="54" hidden="false" customHeight="true" outlineLevel="0" collapsed="false">
      <c r="A15" s="30" t="s">
        <v>157</v>
      </c>
      <c r="B15" s="31" t="s">
        <v>146</v>
      </c>
      <c r="C15" s="31" t="s">
        <v>158</v>
      </c>
      <c r="D15" s="31" t="s">
        <v>159</v>
      </c>
      <c r="E15" s="31" t="s">
        <v>160</v>
      </c>
      <c r="F15" s="32" t="s">
        <v>71</v>
      </c>
      <c r="G15" s="33" t="s">
        <v>161</v>
      </c>
      <c r="H15" s="32" t="n">
        <v>3</v>
      </c>
      <c r="I15" s="32" t="n">
        <v>2</v>
      </c>
      <c r="J15" s="32" t="s">
        <v>73</v>
      </c>
      <c r="K15" s="34" t="n">
        <f aca="false">IF(OR(A15="",F15="N/A",H15=""),"",H15*I15)</f>
        <v>6</v>
      </c>
      <c r="L15" s="34" t="n">
        <f aca="false">IF(OR(A15="",F15="N/A",H15=""),"",3*I15)</f>
        <v>6</v>
      </c>
      <c r="M15" s="34" t="str">
        <f aca="false">IF(AND(J15="Yes",OR(F15="No",AND(F15&lt;&gt;"N/A",H15&lt;&gt;"",N(H15)&lt;=1))),"RED FLAG","")</f>
        <v/>
      </c>
      <c r="N15" s="35" t="str">
        <f aca="false">IF(A15="","",IF(F15="","Awaiting answer",IF(AND(F15&lt;&gt;"N/A",H15=""),"Score it",IF(AND(OR(F15="Yes",F15="Partial"),G15=""),"Evidence missing",IF(AND(F15="N/A",J15="Yes"),"Critical N/A - justify",IF(AND(F15="Yes",H15&lt;&gt;"",N(H15)&lt;=1),"Claim not supported","OK"))))))</f>
        <v>OK</v>
      </c>
      <c r="O15" s="33"/>
    </row>
    <row r="16" customFormat="false" ht="54" hidden="false" customHeight="true" outlineLevel="0" collapsed="false">
      <c r="A16" s="30" t="s">
        <v>162</v>
      </c>
      <c r="B16" s="31" t="s">
        <v>146</v>
      </c>
      <c r="C16" s="31" t="s">
        <v>163</v>
      </c>
      <c r="D16" s="31" t="s">
        <v>164</v>
      </c>
      <c r="E16" s="31" t="s">
        <v>165</v>
      </c>
      <c r="F16" s="32" t="s">
        <v>134</v>
      </c>
      <c r="G16" s="33" t="s">
        <v>166</v>
      </c>
      <c r="H16" s="32" t="n">
        <v>1</v>
      </c>
      <c r="I16" s="32" t="n">
        <v>2</v>
      </c>
      <c r="J16" s="32" t="s">
        <v>73</v>
      </c>
      <c r="K16" s="34" t="n">
        <f aca="false">IF(OR(A16="",F16="N/A",H16=""),"",H16*I16)</f>
        <v>2</v>
      </c>
      <c r="L16" s="34" t="n">
        <f aca="false">IF(OR(A16="",F16="N/A",H16=""),"",3*I16)</f>
        <v>6</v>
      </c>
      <c r="M16" s="34" t="str">
        <f aca="false">IF(AND(J16="Yes",OR(F16="No",AND(F16&lt;&gt;"N/A",H16&lt;&gt;"",N(H16)&lt;=1))),"RED FLAG","")</f>
        <v/>
      </c>
      <c r="N16" s="35" t="str">
        <f aca="false">IF(A16="","",IF(F16="","Awaiting answer",IF(AND(F16&lt;&gt;"N/A",H16=""),"Score it",IF(AND(OR(F16="Yes",F16="Partial"),G16=""),"Evidence missing",IF(AND(F16="N/A",J16="Yes"),"Critical N/A - justify",IF(AND(F16="Yes",H16&lt;&gt;"",N(H16)&lt;=1),"Claim not supported","OK"))))))</f>
        <v>OK</v>
      </c>
      <c r="O16" s="33"/>
    </row>
    <row r="17" customFormat="false" ht="54" hidden="false" customHeight="true" outlineLevel="0" collapsed="false">
      <c r="A17" s="30" t="s">
        <v>167</v>
      </c>
      <c r="B17" s="31" t="s">
        <v>146</v>
      </c>
      <c r="C17" s="31" t="s">
        <v>168</v>
      </c>
      <c r="D17" s="31" t="s">
        <v>169</v>
      </c>
      <c r="E17" s="31" t="s">
        <v>170</v>
      </c>
      <c r="F17" s="32" t="s">
        <v>71</v>
      </c>
      <c r="G17" s="33" t="s">
        <v>171</v>
      </c>
      <c r="H17" s="32" t="n">
        <v>2</v>
      </c>
      <c r="I17" s="32" t="n">
        <v>1</v>
      </c>
      <c r="J17" s="32" t="s">
        <v>73</v>
      </c>
      <c r="K17" s="34" t="n">
        <f aca="false">IF(OR(A17="",F17="N/A",H17=""),"",H17*I17)</f>
        <v>2</v>
      </c>
      <c r="L17" s="34" t="n">
        <f aca="false">IF(OR(A17="",F17="N/A",H17=""),"",3*I17)</f>
        <v>3</v>
      </c>
      <c r="M17" s="34" t="str">
        <f aca="false">IF(AND(J17="Yes",OR(F17="No",AND(F17&lt;&gt;"N/A",H17&lt;&gt;"",N(H17)&lt;=1))),"RED FLAG","")</f>
        <v/>
      </c>
      <c r="N17" s="35" t="str">
        <f aca="false">IF(A17="","",IF(F17="","Awaiting answer",IF(AND(F17&lt;&gt;"N/A",H17=""),"Score it",IF(AND(OR(F17="Yes",F17="Partial"),G17=""),"Evidence missing",IF(AND(F17="N/A",J17="Yes"),"Critical N/A - justify",IF(AND(F17="Yes",H17&lt;&gt;"",N(H17)&lt;=1),"Claim not supported","OK"))))))</f>
        <v>OK</v>
      </c>
      <c r="O17" s="33"/>
    </row>
    <row r="18" customFormat="false" ht="18" hidden="false" customHeight="true" outlineLevel="0" collapsed="false">
      <c r="A18" s="28" t="s">
        <v>172</v>
      </c>
      <c r="B18" s="29"/>
      <c r="C18" s="29"/>
      <c r="D18" s="29"/>
      <c r="E18" s="29"/>
      <c r="F18" s="29"/>
      <c r="G18" s="29"/>
      <c r="H18" s="29"/>
      <c r="I18" s="29"/>
      <c r="J18" s="29"/>
      <c r="K18" s="29"/>
      <c r="L18" s="29"/>
      <c r="M18" s="29"/>
      <c r="N18" s="29"/>
      <c r="O18" s="29"/>
    </row>
    <row r="19" customFormat="false" ht="66" hidden="false" customHeight="true" outlineLevel="0" collapsed="false">
      <c r="A19" s="30" t="s">
        <v>173</v>
      </c>
      <c r="B19" s="31" t="s">
        <v>172</v>
      </c>
      <c r="C19" s="31" t="s">
        <v>174</v>
      </c>
      <c r="D19" s="31" t="s">
        <v>175</v>
      </c>
      <c r="E19" s="31" t="s">
        <v>176</v>
      </c>
      <c r="F19" s="32" t="s">
        <v>71</v>
      </c>
      <c r="G19" s="33" t="s">
        <v>177</v>
      </c>
      <c r="H19" s="32" t="n">
        <v>3</v>
      </c>
      <c r="I19" s="32" t="n">
        <v>3</v>
      </c>
      <c r="J19" s="32" t="s">
        <v>71</v>
      </c>
      <c r="K19" s="34" t="n">
        <f aca="false">IF(OR(A19="",F19="N/A",H19=""),"",H19*I19)</f>
        <v>9</v>
      </c>
      <c r="L19" s="34" t="n">
        <f aca="false">IF(OR(A19="",F19="N/A",H19=""),"",3*I19)</f>
        <v>9</v>
      </c>
      <c r="M19" s="34" t="str">
        <f aca="false">IF(AND(J19="Yes",OR(F19="No",AND(F19&lt;&gt;"N/A",H19&lt;&gt;"",N(H19)&lt;=1))),"RED FLAG","")</f>
        <v/>
      </c>
      <c r="N19" s="35" t="str">
        <f aca="false">IF(A19="","",IF(F19="","Awaiting answer",IF(AND(F19&lt;&gt;"N/A",H19=""),"Score it",IF(AND(OR(F19="Yes",F19="Partial"),G19=""),"Evidence missing",IF(AND(F19="N/A",J19="Yes"),"Critical N/A - justify",IF(AND(F19="Yes",H19&lt;&gt;"",N(H19)&lt;=1),"Claim not supported","OK"))))))</f>
        <v>OK</v>
      </c>
      <c r="O19" s="33"/>
    </row>
    <row r="20" customFormat="false" ht="66" hidden="false" customHeight="true" outlineLevel="0" collapsed="false">
      <c r="A20" s="30" t="s">
        <v>178</v>
      </c>
      <c r="B20" s="31" t="s">
        <v>172</v>
      </c>
      <c r="C20" s="31" t="s">
        <v>179</v>
      </c>
      <c r="D20" s="31" t="s">
        <v>180</v>
      </c>
      <c r="E20" s="31" t="s">
        <v>181</v>
      </c>
      <c r="F20" s="32" t="s">
        <v>134</v>
      </c>
      <c r="G20" s="33" t="s">
        <v>182</v>
      </c>
      <c r="H20" s="32" t="n">
        <v>2</v>
      </c>
      <c r="I20" s="32" t="n">
        <v>3</v>
      </c>
      <c r="J20" s="32" t="s">
        <v>73</v>
      </c>
      <c r="K20" s="34" t="n">
        <f aca="false">IF(OR(A20="",F20="N/A",H20=""),"",H20*I20)</f>
        <v>6</v>
      </c>
      <c r="L20" s="34" t="n">
        <f aca="false">IF(OR(A20="",F20="N/A",H20=""),"",3*I20)</f>
        <v>9</v>
      </c>
      <c r="M20" s="34" t="str">
        <f aca="false">IF(AND(J20="Yes",OR(F20="No",AND(F20&lt;&gt;"N/A",H20&lt;&gt;"",N(H20)&lt;=1))),"RED FLAG","")</f>
        <v/>
      </c>
      <c r="N20" s="35" t="str">
        <f aca="false">IF(A20="","",IF(F20="","Awaiting answer",IF(AND(F20&lt;&gt;"N/A",H20=""),"Score it",IF(AND(OR(F20="Yes",F20="Partial"),G20=""),"Evidence missing",IF(AND(F20="N/A",J20="Yes"),"Critical N/A - justify",IF(AND(F20="Yes",H20&lt;&gt;"",N(H20)&lt;=1),"Claim not supported","OK"))))))</f>
        <v>OK</v>
      </c>
      <c r="O20" s="33"/>
    </row>
    <row r="21" customFormat="false" ht="66" hidden="false" customHeight="true" outlineLevel="0" collapsed="false">
      <c r="A21" s="30" t="s">
        <v>183</v>
      </c>
      <c r="B21" s="31" t="s">
        <v>172</v>
      </c>
      <c r="C21" s="31" t="s">
        <v>184</v>
      </c>
      <c r="D21" s="31" t="s">
        <v>185</v>
      </c>
      <c r="E21" s="31" t="s">
        <v>186</v>
      </c>
      <c r="F21" s="32" t="s">
        <v>71</v>
      </c>
      <c r="G21" s="33" t="s">
        <v>187</v>
      </c>
      <c r="H21" s="32" t="n">
        <v>3</v>
      </c>
      <c r="I21" s="32" t="n">
        <v>2</v>
      </c>
      <c r="J21" s="32" t="s">
        <v>73</v>
      </c>
      <c r="K21" s="34" t="n">
        <f aca="false">IF(OR(A21="",F21="N/A",H21=""),"",H21*I21)</f>
        <v>6</v>
      </c>
      <c r="L21" s="34" t="n">
        <f aca="false">IF(OR(A21="",F21="N/A",H21=""),"",3*I21)</f>
        <v>6</v>
      </c>
      <c r="M21" s="34" t="str">
        <f aca="false">IF(AND(J21="Yes",OR(F21="No",AND(F21&lt;&gt;"N/A",H21&lt;&gt;"",N(H21)&lt;=1))),"RED FLAG","")</f>
        <v/>
      </c>
      <c r="N21" s="35" t="str">
        <f aca="false">IF(A21="","",IF(F21="","Awaiting answer",IF(AND(F21&lt;&gt;"N/A",H21=""),"Score it",IF(AND(OR(F21="Yes",F21="Partial"),G21=""),"Evidence missing",IF(AND(F21="N/A",J21="Yes"),"Critical N/A - justify",IF(AND(F21="Yes",H21&lt;&gt;"",N(H21)&lt;=1),"Claim not supported","OK"))))))</f>
        <v>OK</v>
      </c>
      <c r="O21" s="33"/>
    </row>
    <row r="22" customFormat="false" ht="66" hidden="false" customHeight="true" outlineLevel="0" collapsed="false">
      <c r="A22" s="30" t="s">
        <v>188</v>
      </c>
      <c r="B22" s="31" t="s">
        <v>172</v>
      </c>
      <c r="C22" s="31" t="s">
        <v>189</v>
      </c>
      <c r="D22" s="31" t="s">
        <v>190</v>
      </c>
      <c r="E22" s="31" t="s">
        <v>191</v>
      </c>
      <c r="F22" s="32" t="s">
        <v>71</v>
      </c>
      <c r="G22" s="33" t="s">
        <v>192</v>
      </c>
      <c r="H22" s="32" t="n">
        <v>3</v>
      </c>
      <c r="I22" s="32" t="n">
        <v>3</v>
      </c>
      <c r="J22" s="32" t="s">
        <v>73</v>
      </c>
      <c r="K22" s="34" t="n">
        <f aca="false">IF(OR(A22="",F22="N/A",H22=""),"",H22*I22)</f>
        <v>9</v>
      </c>
      <c r="L22" s="34" t="n">
        <f aca="false">IF(OR(A22="",F22="N/A",H22=""),"",3*I22)</f>
        <v>9</v>
      </c>
      <c r="M22" s="34" t="str">
        <f aca="false">IF(AND(J22="Yes",OR(F22="No",AND(F22&lt;&gt;"N/A",H22&lt;&gt;"",N(H22)&lt;=1))),"RED FLAG","")</f>
        <v/>
      </c>
      <c r="N22" s="35" t="str">
        <f aca="false">IF(A22="","",IF(F22="","Awaiting answer",IF(AND(F22&lt;&gt;"N/A",H22=""),"Score it",IF(AND(OR(F22="Yes",F22="Partial"),G22=""),"Evidence missing",IF(AND(F22="N/A",J22="Yes"),"Critical N/A - justify",IF(AND(F22="Yes",H22&lt;&gt;"",N(H22)&lt;=1),"Claim not supported","OK"))))))</f>
        <v>OK</v>
      </c>
      <c r="O22" s="33"/>
    </row>
    <row r="23" customFormat="false" ht="66" hidden="false" customHeight="true" outlineLevel="0" collapsed="false">
      <c r="A23" s="30" t="s">
        <v>193</v>
      </c>
      <c r="B23" s="31" t="s">
        <v>172</v>
      </c>
      <c r="C23" s="31" t="s">
        <v>194</v>
      </c>
      <c r="D23" s="31" t="s">
        <v>195</v>
      </c>
      <c r="E23" s="31" t="s">
        <v>196</v>
      </c>
      <c r="F23" s="32" t="s">
        <v>134</v>
      </c>
      <c r="G23" s="33" t="s">
        <v>197</v>
      </c>
      <c r="H23" s="32" t="n">
        <v>2</v>
      </c>
      <c r="I23" s="32" t="n">
        <v>2</v>
      </c>
      <c r="J23" s="32" t="s">
        <v>73</v>
      </c>
      <c r="K23" s="34" t="n">
        <f aca="false">IF(OR(A23="",F23="N/A",H23=""),"",H23*I23)</f>
        <v>4</v>
      </c>
      <c r="L23" s="34" t="n">
        <f aca="false">IF(OR(A23="",F23="N/A",H23=""),"",3*I23)</f>
        <v>6</v>
      </c>
      <c r="M23" s="34" t="str">
        <f aca="false">IF(AND(J23="Yes",OR(F23="No",AND(F23&lt;&gt;"N/A",H23&lt;&gt;"",N(H23)&lt;=1))),"RED FLAG","")</f>
        <v/>
      </c>
      <c r="N23" s="35" t="str">
        <f aca="false">IF(A23="","",IF(F23="","Awaiting answer",IF(AND(F23&lt;&gt;"N/A",H23=""),"Score it",IF(AND(OR(F23="Yes",F23="Partial"),G23=""),"Evidence missing",IF(AND(F23="N/A",J23="Yes"),"Critical N/A - justify",IF(AND(F23="Yes",H23&lt;&gt;"",N(H23)&lt;=1),"Claim not supported","OK"))))))</f>
        <v>OK</v>
      </c>
      <c r="O23" s="33"/>
    </row>
    <row r="24" customFormat="false" ht="18" hidden="false" customHeight="true" outlineLevel="0" collapsed="false">
      <c r="A24" s="28" t="s">
        <v>198</v>
      </c>
      <c r="B24" s="29"/>
      <c r="C24" s="29"/>
      <c r="D24" s="29"/>
      <c r="E24" s="29"/>
      <c r="F24" s="29"/>
      <c r="G24" s="29"/>
      <c r="H24" s="29"/>
      <c r="I24" s="29"/>
      <c r="J24" s="29"/>
      <c r="K24" s="29"/>
      <c r="L24" s="29"/>
      <c r="M24" s="29"/>
      <c r="N24" s="29"/>
      <c r="O24" s="29"/>
    </row>
    <row r="25" customFormat="false" ht="54" hidden="false" customHeight="true" outlineLevel="0" collapsed="false">
      <c r="A25" s="30" t="s">
        <v>199</v>
      </c>
      <c r="B25" s="31" t="s">
        <v>198</v>
      </c>
      <c r="C25" s="31" t="s">
        <v>200</v>
      </c>
      <c r="D25" s="31" t="s">
        <v>201</v>
      </c>
      <c r="E25" s="31" t="s">
        <v>202</v>
      </c>
      <c r="F25" s="32" t="s">
        <v>71</v>
      </c>
      <c r="G25" s="33" t="s">
        <v>203</v>
      </c>
      <c r="H25" s="32" t="n">
        <v>3</v>
      </c>
      <c r="I25" s="32" t="n">
        <v>3</v>
      </c>
      <c r="J25" s="32" t="s">
        <v>71</v>
      </c>
      <c r="K25" s="34" t="n">
        <f aca="false">IF(OR(A25="",F25="N/A",H25=""),"",H25*I25)</f>
        <v>9</v>
      </c>
      <c r="L25" s="34" t="n">
        <f aca="false">IF(OR(A25="",F25="N/A",H25=""),"",3*I25)</f>
        <v>9</v>
      </c>
      <c r="M25" s="34" t="str">
        <f aca="false">IF(AND(J25="Yes",OR(F25="No",AND(F25&lt;&gt;"N/A",H25&lt;&gt;"",N(H25)&lt;=1))),"RED FLAG","")</f>
        <v/>
      </c>
      <c r="N25" s="35" t="str">
        <f aca="false">IF(A25="","",IF(F25="","Awaiting answer",IF(AND(F25&lt;&gt;"N/A",H25=""),"Score it",IF(AND(OR(F25="Yes",F25="Partial"),G25=""),"Evidence missing",IF(AND(F25="N/A",J25="Yes"),"Critical N/A - justify",IF(AND(F25="Yes",H25&lt;&gt;"",N(H25)&lt;=1),"Claim not supported","OK"))))))</f>
        <v>OK</v>
      </c>
      <c r="O25" s="33"/>
    </row>
    <row r="26" customFormat="false" ht="54" hidden="false" customHeight="true" outlineLevel="0" collapsed="false">
      <c r="A26" s="30" t="s">
        <v>204</v>
      </c>
      <c r="B26" s="31" t="s">
        <v>198</v>
      </c>
      <c r="C26" s="31" t="s">
        <v>205</v>
      </c>
      <c r="D26" s="31" t="s">
        <v>206</v>
      </c>
      <c r="E26" s="31" t="s">
        <v>207</v>
      </c>
      <c r="F26" s="32" t="s">
        <v>71</v>
      </c>
      <c r="G26" s="33" t="s">
        <v>208</v>
      </c>
      <c r="H26" s="32" t="n">
        <v>3</v>
      </c>
      <c r="I26" s="32" t="n">
        <v>2</v>
      </c>
      <c r="J26" s="32" t="s">
        <v>73</v>
      </c>
      <c r="K26" s="34" t="n">
        <f aca="false">IF(OR(A26="",F26="N/A",H26=""),"",H26*I26)</f>
        <v>6</v>
      </c>
      <c r="L26" s="34" t="n">
        <f aca="false">IF(OR(A26="",F26="N/A",H26=""),"",3*I26)</f>
        <v>6</v>
      </c>
      <c r="M26" s="34" t="str">
        <f aca="false">IF(AND(J26="Yes",OR(F26="No",AND(F26&lt;&gt;"N/A",H26&lt;&gt;"",N(H26)&lt;=1))),"RED FLAG","")</f>
        <v/>
      </c>
      <c r="N26" s="35" t="str">
        <f aca="false">IF(A26="","",IF(F26="","Awaiting answer",IF(AND(F26&lt;&gt;"N/A",H26=""),"Score it",IF(AND(OR(F26="Yes",F26="Partial"),G26=""),"Evidence missing",IF(AND(F26="N/A",J26="Yes"),"Critical N/A - justify",IF(AND(F26="Yes",H26&lt;&gt;"",N(H26)&lt;=1),"Claim not supported","OK"))))))</f>
        <v>OK</v>
      </c>
      <c r="O26" s="33"/>
    </row>
    <row r="27" customFormat="false" ht="54" hidden="false" customHeight="true" outlineLevel="0" collapsed="false">
      <c r="A27" s="30" t="s">
        <v>209</v>
      </c>
      <c r="B27" s="31" t="s">
        <v>198</v>
      </c>
      <c r="C27" s="31" t="s">
        <v>210</v>
      </c>
      <c r="D27" s="31" t="s">
        <v>211</v>
      </c>
      <c r="E27" s="31" t="s">
        <v>212</v>
      </c>
      <c r="F27" s="32" t="s">
        <v>134</v>
      </c>
      <c r="G27" s="33" t="s">
        <v>213</v>
      </c>
      <c r="H27" s="32" t="n">
        <v>2</v>
      </c>
      <c r="I27" s="32" t="n">
        <v>3</v>
      </c>
      <c r="J27" s="32" t="s">
        <v>73</v>
      </c>
      <c r="K27" s="34" t="n">
        <f aca="false">IF(OR(A27="",F27="N/A",H27=""),"",H27*I27)</f>
        <v>6</v>
      </c>
      <c r="L27" s="34" t="n">
        <f aca="false">IF(OR(A27="",F27="N/A",H27=""),"",3*I27)</f>
        <v>9</v>
      </c>
      <c r="M27" s="34" t="str">
        <f aca="false">IF(AND(J27="Yes",OR(F27="No",AND(F27&lt;&gt;"N/A",H27&lt;&gt;"",N(H27)&lt;=1))),"RED FLAG","")</f>
        <v/>
      </c>
      <c r="N27" s="35" t="str">
        <f aca="false">IF(A27="","",IF(F27="","Awaiting answer",IF(AND(F27&lt;&gt;"N/A",H27=""),"Score it",IF(AND(OR(F27="Yes",F27="Partial"),G27=""),"Evidence missing",IF(AND(F27="N/A",J27="Yes"),"Critical N/A - justify",IF(AND(F27="Yes",H27&lt;&gt;"",N(H27)&lt;=1),"Claim not supported","OK"))))))</f>
        <v>OK</v>
      </c>
      <c r="O27" s="33"/>
    </row>
    <row r="28" customFormat="false" ht="54" hidden="false" customHeight="true" outlineLevel="0" collapsed="false">
      <c r="A28" s="30" t="s">
        <v>214</v>
      </c>
      <c r="B28" s="31" t="s">
        <v>198</v>
      </c>
      <c r="C28" s="31" t="s">
        <v>215</v>
      </c>
      <c r="D28" s="31" t="s">
        <v>216</v>
      </c>
      <c r="E28" s="31" t="s">
        <v>217</v>
      </c>
      <c r="F28" s="32" t="s">
        <v>134</v>
      </c>
      <c r="G28" s="33" t="s">
        <v>218</v>
      </c>
      <c r="H28" s="32" t="n">
        <v>1</v>
      </c>
      <c r="I28" s="32" t="n">
        <v>2</v>
      </c>
      <c r="J28" s="32" t="s">
        <v>73</v>
      </c>
      <c r="K28" s="34" t="n">
        <f aca="false">IF(OR(A28="",F28="N/A",H28=""),"",H28*I28)</f>
        <v>2</v>
      </c>
      <c r="L28" s="34" t="n">
        <f aca="false">IF(OR(A28="",F28="N/A",H28=""),"",3*I28)</f>
        <v>6</v>
      </c>
      <c r="M28" s="34" t="str">
        <f aca="false">IF(AND(J28="Yes",OR(F28="No",AND(F28&lt;&gt;"N/A",H28&lt;&gt;"",N(H28)&lt;=1))),"RED FLAG","")</f>
        <v/>
      </c>
      <c r="N28" s="35" t="str">
        <f aca="false">IF(A28="","",IF(F28="","Awaiting answer",IF(AND(F28&lt;&gt;"N/A",H28=""),"Score it",IF(AND(OR(F28="Yes",F28="Partial"),G28=""),"Evidence missing",IF(AND(F28="N/A",J28="Yes"),"Critical N/A - justify",IF(AND(F28="Yes",H28&lt;&gt;"",N(H28)&lt;=1),"Claim not supported","OK"))))))</f>
        <v>OK</v>
      </c>
      <c r="O28" s="33"/>
    </row>
    <row r="29" customFormat="false" ht="54" hidden="false" customHeight="true" outlineLevel="0" collapsed="false">
      <c r="A29" s="30" t="s">
        <v>219</v>
      </c>
      <c r="B29" s="31" t="s">
        <v>198</v>
      </c>
      <c r="C29" s="31" t="s">
        <v>220</v>
      </c>
      <c r="D29" s="31" t="s">
        <v>221</v>
      </c>
      <c r="E29" s="31" t="s">
        <v>222</v>
      </c>
      <c r="F29" s="32" t="s">
        <v>71</v>
      </c>
      <c r="G29" s="33" t="s">
        <v>223</v>
      </c>
      <c r="H29" s="32" t="n">
        <v>2</v>
      </c>
      <c r="I29" s="32" t="n">
        <v>3</v>
      </c>
      <c r="J29" s="32" t="s">
        <v>71</v>
      </c>
      <c r="K29" s="34" t="n">
        <f aca="false">IF(OR(A29="",F29="N/A",H29=""),"",H29*I29)</f>
        <v>6</v>
      </c>
      <c r="L29" s="34" t="n">
        <f aca="false">IF(OR(A29="",F29="N/A",H29=""),"",3*I29)</f>
        <v>9</v>
      </c>
      <c r="M29" s="34" t="str">
        <f aca="false">IF(AND(J29="Yes",OR(F29="No",AND(F29&lt;&gt;"N/A",H29&lt;&gt;"",N(H29)&lt;=1))),"RED FLAG","")</f>
        <v/>
      </c>
      <c r="N29" s="35" t="str">
        <f aca="false">IF(A29="","",IF(F29="","Awaiting answer",IF(AND(F29&lt;&gt;"N/A",H29=""),"Score it",IF(AND(OR(F29="Yes",F29="Partial"),G29=""),"Evidence missing",IF(AND(F29="N/A",J29="Yes"),"Critical N/A - justify",IF(AND(F29="Yes",H29&lt;&gt;"",N(H29)&lt;=1),"Claim not supported","OK"))))))</f>
        <v>OK</v>
      </c>
      <c r="O29" s="33"/>
    </row>
    <row r="30" customFormat="false" ht="54" hidden="false" customHeight="true" outlineLevel="0" collapsed="false">
      <c r="A30" s="30" t="s">
        <v>224</v>
      </c>
      <c r="B30" s="31" t="s">
        <v>198</v>
      </c>
      <c r="C30" s="31" t="s">
        <v>225</v>
      </c>
      <c r="D30" s="31" t="s">
        <v>226</v>
      </c>
      <c r="E30" s="31" t="s">
        <v>227</v>
      </c>
      <c r="F30" s="32" t="s">
        <v>71</v>
      </c>
      <c r="G30" s="33" t="s">
        <v>228</v>
      </c>
      <c r="H30" s="32" t="n">
        <v>3</v>
      </c>
      <c r="I30" s="32" t="n">
        <v>2</v>
      </c>
      <c r="J30" s="32" t="s">
        <v>73</v>
      </c>
      <c r="K30" s="34" t="n">
        <f aca="false">IF(OR(A30="",F30="N/A",H30=""),"",H30*I30)</f>
        <v>6</v>
      </c>
      <c r="L30" s="34" t="n">
        <f aca="false">IF(OR(A30="",F30="N/A",H30=""),"",3*I30)</f>
        <v>6</v>
      </c>
      <c r="M30" s="34" t="str">
        <f aca="false">IF(AND(J30="Yes",OR(F30="No",AND(F30&lt;&gt;"N/A",H30&lt;&gt;"",N(H30)&lt;=1))),"RED FLAG","")</f>
        <v/>
      </c>
      <c r="N30" s="35" t="str">
        <f aca="false">IF(A30="","",IF(F30="","Awaiting answer",IF(AND(F30&lt;&gt;"N/A",H30=""),"Score it",IF(AND(OR(F30="Yes",F30="Partial"),G30=""),"Evidence missing",IF(AND(F30="N/A",J30="Yes"),"Critical N/A - justify",IF(AND(F30="Yes",H30&lt;&gt;"",N(H30)&lt;=1),"Claim not supported","OK"))))))</f>
        <v>OK</v>
      </c>
      <c r="O30" s="33"/>
    </row>
    <row r="31" customFormat="false" ht="54" hidden="false" customHeight="true" outlineLevel="0" collapsed="false">
      <c r="A31" s="30" t="s">
        <v>229</v>
      </c>
      <c r="B31" s="31" t="s">
        <v>198</v>
      </c>
      <c r="C31" s="31" t="s">
        <v>230</v>
      </c>
      <c r="D31" s="31" t="s">
        <v>231</v>
      </c>
      <c r="E31" s="31" t="s">
        <v>232</v>
      </c>
      <c r="F31" s="32" t="s">
        <v>71</v>
      </c>
      <c r="G31" s="33" t="s">
        <v>233</v>
      </c>
      <c r="H31" s="32" t="n">
        <v>2</v>
      </c>
      <c r="I31" s="32" t="n">
        <v>2</v>
      </c>
      <c r="J31" s="32" t="s">
        <v>73</v>
      </c>
      <c r="K31" s="34" t="n">
        <f aca="false">IF(OR(A31="",F31="N/A",H31=""),"",H31*I31)</f>
        <v>4</v>
      </c>
      <c r="L31" s="34" t="n">
        <f aca="false">IF(OR(A31="",F31="N/A",H31=""),"",3*I31)</f>
        <v>6</v>
      </c>
      <c r="M31" s="34" t="str">
        <f aca="false">IF(AND(J31="Yes",OR(F31="No",AND(F31&lt;&gt;"N/A",H31&lt;&gt;"",N(H31)&lt;=1))),"RED FLAG","")</f>
        <v/>
      </c>
      <c r="N31" s="35" t="str">
        <f aca="false">IF(A31="","",IF(F31="","Awaiting answer",IF(AND(F31&lt;&gt;"N/A",H31=""),"Score it",IF(AND(OR(F31="Yes",F31="Partial"),G31=""),"Evidence missing",IF(AND(F31="N/A",J31="Yes"),"Critical N/A - justify",IF(AND(F31="Yes",H31&lt;&gt;"",N(H31)&lt;=1),"Claim not supported","OK"))))))</f>
        <v>OK</v>
      </c>
      <c r="O31" s="33"/>
    </row>
    <row r="32" customFormat="false" ht="18" hidden="false" customHeight="true" outlineLevel="0" collapsed="false">
      <c r="A32" s="28" t="s">
        <v>234</v>
      </c>
      <c r="B32" s="29"/>
      <c r="C32" s="29"/>
      <c r="D32" s="29"/>
      <c r="E32" s="29"/>
      <c r="F32" s="29"/>
      <c r="G32" s="29"/>
      <c r="H32" s="29"/>
      <c r="I32" s="29"/>
      <c r="J32" s="29"/>
      <c r="K32" s="29"/>
      <c r="L32" s="29"/>
      <c r="M32" s="29"/>
      <c r="N32" s="29"/>
      <c r="O32" s="29"/>
    </row>
    <row r="33" customFormat="false" ht="54" hidden="false" customHeight="true" outlineLevel="0" collapsed="false">
      <c r="A33" s="30" t="s">
        <v>235</v>
      </c>
      <c r="B33" s="31" t="s">
        <v>234</v>
      </c>
      <c r="C33" s="31" t="s">
        <v>236</v>
      </c>
      <c r="D33" s="31" t="s">
        <v>237</v>
      </c>
      <c r="E33" s="31" t="s">
        <v>238</v>
      </c>
      <c r="F33" s="32" t="s">
        <v>134</v>
      </c>
      <c r="G33" s="33" t="s">
        <v>239</v>
      </c>
      <c r="H33" s="32" t="n">
        <v>1</v>
      </c>
      <c r="I33" s="32" t="n">
        <v>3</v>
      </c>
      <c r="J33" s="32" t="s">
        <v>71</v>
      </c>
      <c r="K33" s="34" t="n">
        <f aca="false">IF(OR(A33="",F33="N/A",H33=""),"",H33*I33)</f>
        <v>3</v>
      </c>
      <c r="L33" s="34" t="n">
        <f aca="false">IF(OR(A33="",F33="N/A",H33=""),"",3*I33)</f>
        <v>9</v>
      </c>
      <c r="M33" s="34" t="str">
        <f aca="false">IF(AND(J33="Yes",OR(F33="No",AND(F33&lt;&gt;"N/A",H33&lt;&gt;"",N(H33)&lt;=1))),"RED FLAG","")</f>
        <v>RED FLAG</v>
      </c>
      <c r="N33" s="35" t="str">
        <f aca="false">IF(A33="","",IF(F33="","Awaiting answer",IF(AND(F33&lt;&gt;"N/A",H33=""),"Score it",IF(AND(OR(F33="Yes",F33="Partial"),G33=""),"Evidence missing",IF(AND(F33="N/A",J33="Yes"),"Critical N/A - justify",IF(AND(F33="Yes",H33&lt;&gt;"",N(H33)&lt;=1),"Claim not supported","OK"))))))</f>
        <v>OK</v>
      </c>
      <c r="O33" s="33"/>
    </row>
    <row r="34" customFormat="false" ht="42" hidden="false" customHeight="true" outlineLevel="0" collapsed="false">
      <c r="A34" s="30" t="s">
        <v>240</v>
      </c>
      <c r="B34" s="31" t="s">
        <v>234</v>
      </c>
      <c r="C34" s="31" t="s">
        <v>241</v>
      </c>
      <c r="D34" s="31" t="s">
        <v>242</v>
      </c>
      <c r="E34" s="31" t="s">
        <v>243</v>
      </c>
      <c r="F34" s="32" t="s">
        <v>73</v>
      </c>
      <c r="G34" s="33" t="s">
        <v>244</v>
      </c>
      <c r="H34" s="32" t="n">
        <v>1</v>
      </c>
      <c r="I34" s="32" t="n">
        <v>2</v>
      </c>
      <c r="J34" s="32" t="s">
        <v>73</v>
      </c>
      <c r="K34" s="34" t="n">
        <f aca="false">IF(OR(A34="",F34="N/A",H34=""),"",H34*I34)</f>
        <v>2</v>
      </c>
      <c r="L34" s="34" t="n">
        <f aca="false">IF(OR(A34="",F34="N/A",H34=""),"",3*I34)</f>
        <v>6</v>
      </c>
      <c r="M34" s="34" t="str">
        <f aca="false">IF(AND(J34="Yes",OR(F34="No",AND(F34&lt;&gt;"N/A",H34&lt;&gt;"",N(H34)&lt;=1))),"RED FLAG","")</f>
        <v/>
      </c>
      <c r="N34" s="35" t="str">
        <f aca="false">IF(A34="","",IF(F34="","Awaiting answer",IF(AND(F34&lt;&gt;"N/A",H34=""),"Score it",IF(AND(OR(F34="Yes",F34="Partial"),G34=""),"Evidence missing",IF(AND(F34="N/A",J34="Yes"),"Critical N/A - justify",IF(AND(F34="Yes",H34&lt;&gt;"",N(H34)&lt;=1),"Claim not supported","OK"))))))</f>
        <v>OK</v>
      </c>
      <c r="O34" s="33"/>
    </row>
    <row r="35" customFormat="false" ht="42" hidden="false" customHeight="true" outlineLevel="0" collapsed="false">
      <c r="A35" s="30" t="s">
        <v>245</v>
      </c>
      <c r="B35" s="31" t="s">
        <v>234</v>
      </c>
      <c r="C35" s="31" t="s">
        <v>246</v>
      </c>
      <c r="D35" s="31" t="s">
        <v>247</v>
      </c>
      <c r="E35" s="31" t="s">
        <v>248</v>
      </c>
      <c r="F35" s="32" t="s">
        <v>134</v>
      </c>
      <c r="G35" s="33" t="s">
        <v>249</v>
      </c>
      <c r="H35" s="32" t="n">
        <v>2</v>
      </c>
      <c r="I35" s="32" t="n">
        <v>3</v>
      </c>
      <c r="J35" s="32" t="s">
        <v>73</v>
      </c>
      <c r="K35" s="34" t="n">
        <f aca="false">IF(OR(A35="",F35="N/A",H35=""),"",H35*I35)</f>
        <v>6</v>
      </c>
      <c r="L35" s="34" t="n">
        <f aca="false">IF(OR(A35="",F35="N/A",H35=""),"",3*I35)</f>
        <v>9</v>
      </c>
      <c r="M35" s="34" t="str">
        <f aca="false">IF(AND(J35="Yes",OR(F35="No",AND(F35&lt;&gt;"N/A",H35&lt;&gt;"",N(H35)&lt;=1))),"RED FLAG","")</f>
        <v/>
      </c>
      <c r="N35" s="35" t="str">
        <f aca="false">IF(A35="","",IF(F35="","Awaiting answer",IF(AND(F35&lt;&gt;"N/A",H35=""),"Score it",IF(AND(OR(F35="Yes",F35="Partial"),G35=""),"Evidence missing",IF(AND(F35="N/A",J35="Yes"),"Critical N/A - justify",IF(AND(F35="Yes",H35&lt;&gt;"",N(H35)&lt;=1),"Claim not supported","OK"))))))</f>
        <v>OK</v>
      </c>
      <c r="O35" s="33"/>
    </row>
    <row r="36" customFormat="false" ht="42" hidden="false" customHeight="true" outlineLevel="0" collapsed="false">
      <c r="A36" s="30" t="s">
        <v>250</v>
      </c>
      <c r="B36" s="31" t="s">
        <v>234</v>
      </c>
      <c r="C36" s="31" t="s">
        <v>251</v>
      </c>
      <c r="D36" s="31" t="s">
        <v>252</v>
      </c>
      <c r="E36" s="31" t="s">
        <v>253</v>
      </c>
      <c r="F36" s="32" t="s">
        <v>71</v>
      </c>
      <c r="G36" s="33" t="s">
        <v>254</v>
      </c>
      <c r="H36" s="32" t="n">
        <v>2</v>
      </c>
      <c r="I36" s="32" t="n">
        <v>2</v>
      </c>
      <c r="J36" s="32" t="s">
        <v>73</v>
      </c>
      <c r="K36" s="34" t="n">
        <f aca="false">IF(OR(A36="",F36="N/A",H36=""),"",H36*I36)</f>
        <v>4</v>
      </c>
      <c r="L36" s="34" t="n">
        <f aca="false">IF(OR(A36="",F36="N/A",H36=""),"",3*I36)</f>
        <v>6</v>
      </c>
      <c r="M36" s="34" t="str">
        <f aca="false">IF(AND(J36="Yes",OR(F36="No",AND(F36&lt;&gt;"N/A",H36&lt;&gt;"",N(H36)&lt;=1))),"RED FLAG","")</f>
        <v/>
      </c>
      <c r="N36" s="35" t="str">
        <f aca="false">IF(A36="","",IF(F36="","Awaiting answer",IF(AND(F36&lt;&gt;"N/A",H36=""),"Score it",IF(AND(OR(F36="Yes",F36="Partial"),G36=""),"Evidence missing",IF(AND(F36="N/A",J36="Yes"),"Critical N/A - justify",IF(AND(F36="Yes",H36&lt;&gt;"",N(H36)&lt;=1),"Claim not supported","OK"))))))</f>
        <v>OK</v>
      </c>
      <c r="O36" s="33"/>
    </row>
    <row r="37" customFormat="false" ht="42" hidden="false" customHeight="true" outlineLevel="0" collapsed="false">
      <c r="A37" s="30" t="s">
        <v>255</v>
      </c>
      <c r="B37" s="31" t="s">
        <v>234</v>
      </c>
      <c r="C37" s="31" t="s">
        <v>256</v>
      </c>
      <c r="D37" s="31" t="s">
        <v>257</v>
      </c>
      <c r="E37" s="31" t="s">
        <v>258</v>
      </c>
      <c r="F37" s="32" t="s">
        <v>73</v>
      </c>
      <c r="G37" s="33" t="s">
        <v>244</v>
      </c>
      <c r="H37" s="32" t="n">
        <v>0</v>
      </c>
      <c r="I37" s="32" t="n">
        <v>1</v>
      </c>
      <c r="J37" s="32" t="s">
        <v>73</v>
      </c>
      <c r="K37" s="34" t="n">
        <f aca="false">IF(OR(A37="",F37="N/A",H37=""),"",H37*I37)</f>
        <v>0</v>
      </c>
      <c r="L37" s="34" t="n">
        <f aca="false">IF(OR(A37="",F37="N/A",H37=""),"",3*I37)</f>
        <v>3</v>
      </c>
      <c r="M37" s="34" t="str">
        <f aca="false">IF(AND(J37="Yes",OR(F37="No",AND(F37&lt;&gt;"N/A",H37&lt;&gt;"",N(H37)&lt;=1))),"RED FLAG","")</f>
        <v/>
      </c>
      <c r="N37" s="35" t="str">
        <f aca="false">IF(A37="","",IF(F37="","Awaiting answer",IF(AND(F37&lt;&gt;"N/A",H37=""),"Score it",IF(AND(OR(F37="Yes",F37="Partial"),G37=""),"Evidence missing",IF(AND(F37="N/A",J37="Yes"),"Critical N/A - justify",IF(AND(F37="Yes",H37&lt;&gt;"",N(H37)&lt;=1),"Claim not supported","OK"))))))</f>
        <v>OK</v>
      </c>
      <c r="O37" s="33"/>
    </row>
    <row r="38" customFormat="false" ht="18" hidden="false" customHeight="true" outlineLevel="0" collapsed="false">
      <c r="A38" s="28" t="s">
        <v>259</v>
      </c>
      <c r="B38" s="29"/>
      <c r="C38" s="29"/>
      <c r="D38" s="29"/>
      <c r="E38" s="29"/>
      <c r="F38" s="29"/>
      <c r="G38" s="29"/>
      <c r="H38" s="29"/>
      <c r="I38" s="29"/>
      <c r="J38" s="29"/>
      <c r="K38" s="29"/>
      <c r="L38" s="29"/>
      <c r="M38" s="29"/>
      <c r="N38" s="29"/>
      <c r="O38" s="29"/>
    </row>
    <row r="39" customFormat="false" ht="42" hidden="false" customHeight="true" outlineLevel="0" collapsed="false">
      <c r="A39" s="30" t="s">
        <v>260</v>
      </c>
      <c r="B39" s="31" t="s">
        <v>259</v>
      </c>
      <c r="C39" s="31" t="s">
        <v>261</v>
      </c>
      <c r="D39" s="31" t="s">
        <v>262</v>
      </c>
      <c r="E39" s="31" t="s">
        <v>263</v>
      </c>
      <c r="F39" s="32" t="s">
        <v>134</v>
      </c>
      <c r="G39" s="33" t="s">
        <v>264</v>
      </c>
      <c r="H39" s="32" t="n">
        <v>2</v>
      </c>
      <c r="I39" s="32" t="n">
        <v>3</v>
      </c>
      <c r="J39" s="32" t="s">
        <v>73</v>
      </c>
      <c r="K39" s="34" t="n">
        <f aca="false">IF(OR(A39="",F39="N/A",H39=""),"",H39*I39)</f>
        <v>6</v>
      </c>
      <c r="L39" s="34" t="n">
        <f aca="false">IF(OR(A39="",F39="N/A",H39=""),"",3*I39)</f>
        <v>9</v>
      </c>
      <c r="M39" s="34" t="str">
        <f aca="false">IF(AND(J39="Yes",OR(F39="No",AND(F39&lt;&gt;"N/A",H39&lt;&gt;"",N(H39)&lt;=1))),"RED FLAG","")</f>
        <v/>
      </c>
      <c r="N39" s="35" t="str">
        <f aca="false">IF(A39="","",IF(F39="","Awaiting answer",IF(AND(F39&lt;&gt;"N/A",H39=""),"Score it",IF(AND(OR(F39="Yes",F39="Partial"),G39=""),"Evidence missing",IF(AND(F39="N/A",J39="Yes"),"Critical N/A - justify",IF(AND(F39="Yes",H39&lt;&gt;"",N(H39)&lt;=1),"Claim not supported","OK"))))))</f>
        <v>OK</v>
      </c>
      <c r="O39" s="33"/>
    </row>
    <row r="40" customFormat="false" ht="42" hidden="false" customHeight="true" outlineLevel="0" collapsed="false">
      <c r="A40" s="30" t="s">
        <v>265</v>
      </c>
      <c r="B40" s="31" t="s">
        <v>259</v>
      </c>
      <c r="C40" s="31" t="s">
        <v>266</v>
      </c>
      <c r="D40" s="31" t="s">
        <v>267</v>
      </c>
      <c r="E40" s="31" t="s">
        <v>268</v>
      </c>
      <c r="F40" s="32" t="s">
        <v>134</v>
      </c>
      <c r="G40" s="33" t="s">
        <v>269</v>
      </c>
      <c r="H40" s="32" t="n">
        <v>1</v>
      </c>
      <c r="I40" s="32" t="n">
        <v>2</v>
      </c>
      <c r="J40" s="32" t="s">
        <v>73</v>
      </c>
      <c r="K40" s="34" t="n">
        <f aca="false">IF(OR(A40="",F40="N/A",H40=""),"",H40*I40)</f>
        <v>2</v>
      </c>
      <c r="L40" s="34" t="n">
        <f aca="false">IF(OR(A40="",F40="N/A",H40=""),"",3*I40)</f>
        <v>6</v>
      </c>
      <c r="M40" s="34" t="str">
        <f aca="false">IF(AND(J40="Yes",OR(F40="No",AND(F40&lt;&gt;"N/A",H40&lt;&gt;"",N(H40)&lt;=1))),"RED FLAG","")</f>
        <v/>
      </c>
      <c r="N40" s="35" t="str">
        <f aca="false">IF(A40="","",IF(F40="","Awaiting answer",IF(AND(F40&lt;&gt;"N/A",H40=""),"Score it",IF(AND(OR(F40="Yes",F40="Partial"),G40=""),"Evidence missing",IF(AND(F40="N/A",J40="Yes"),"Critical N/A - justify",IF(AND(F40="Yes",H40&lt;&gt;"",N(H40)&lt;=1),"Claim not supported","OK"))))))</f>
        <v>OK</v>
      </c>
      <c r="O40" s="33"/>
    </row>
    <row r="41" customFormat="false" ht="54" hidden="false" customHeight="true" outlineLevel="0" collapsed="false">
      <c r="A41" s="30" t="s">
        <v>270</v>
      </c>
      <c r="B41" s="31" t="s">
        <v>259</v>
      </c>
      <c r="C41" s="31" t="s">
        <v>271</v>
      </c>
      <c r="D41" s="31" t="s">
        <v>272</v>
      </c>
      <c r="E41" s="31" t="s">
        <v>273</v>
      </c>
      <c r="F41" s="32" t="s">
        <v>71</v>
      </c>
      <c r="G41" s="33" t="s">
        <v>274</v>
      </c>
      <c r="H41" s="32" t="n">
        <v>2</v>
      </c>
      <c r="I41" s="32" t="n">
        <v>3</v>
      </c>
      <c r="J41" s="32" t="s">
        <v>73</v>
      </c>
      <c r="K41" s="34" t="n">
        <f aca="false">IF(OR(A41="",F41="N/A",H41=""),"",H41*I41)</f>
        <v>6</v>
      </c>
      <c r="L41" s="34" t="n">
        <f aca="false">IF(OR(A41="",F41="N/A",H41=""),"",3*I41)</f>
        <v>9</v>
      </c>
      <c r="M41" s="34" t="str">
        <f aca="false">IF(AND(J41="Yes",OR(F41="No",AND(F41&lt;&gt;"N/A",H41&lt;&gt;"",N(H41)&lt;=1))),"RED FLAG","")</f>
        <v/>
      </c>
      <c r="N41" s="35" t="str">
        <f aca="false">IF(A41="","",IF(F41="","Awaiting answer",IF(AND(F41&lt;&gt;"N/A",H41=""),"Score it",IF(AND(OR(F41="Yes",F41="Partial"),G41=""),"Evidence missing",IF(AND(F41="N/A",J41="Yes"),"Critical N/A - justify",IF(AND(F41="Yes",H41&lt;&gt;"",N(H41)&lt;=1),"Claim not supported","OK"))))))</f>
        <v>OK</v>
      </c>
      <c r="O41" s="33"/>
    </row>
    <row r="42" customFormat="false" ht="54" hidden="false" customHeight="true" outlineLevel="0" collapsed="false">
      <c r="A42" s="30" t="s">
        <v>275</v>
      </c>
      <c r="B42" s="31" t="s">
        <v>259</v>
      </c>
      <c r="C42" s="31" t="s">
        <v>276</v>
      </c>
      <c r="D42" s="31" t="s">
        <v>277</v>
      </c>
      <c r="E42" s="31" t="s">
        <v>278</v>
      </c>
      <c r="F42" s="32" t="s">
        <v>71</v>
      </c>
      <c r="G42" s="33" t="s">
        <v>279</v>
      </c>
      <c r="H42" s="32" t="n">
        <v>2</v>
      </c>
      <c r="I42" s="32" t="n">
        <v>3</v>
      </c>
      <c r="J42" s="32" t="s">
        <v>71</v>
      </c>
      <c r="K42" s="34" t="n">
        <f aca="false">IF(OR(A42="",F42="N/A",H42=""),"",H42*I42)</f>
        <v>6</v>
      </c>
      <c r="L42" s="34" t="n">
        <f aca="false">IF(OR(A42="",F42="N/A",H42=""),"",3*I42)</f>
        <v>9</v>
      </c>
      <c r="M42" s="34" t="str">
        <f aca="false">IF(AND(J42="Yes",OR(F42="No",AND(F42&lt;&gt;"N/A",H42&lt;&gt;"",N(H42)&lt;=1))),"RED FLAG","")</f>
        <v/>
      </c>
      <c r="N42" s="35" t="str">
        <f aca="false">IF(A42="","",IF(F42="","Awaiting answer",IF(AND(F42&lt;&gt;"N/A",H42=""),"Score it",IF(AND(OR(F42="Yes",F42="Partial"),G42=""),"Evidence missing",IF(AND(F42="N/A",J42="Yes"),"Critical N/A - justify",IF(AND(F42="Yes",H42&lt;&gt;"",N(H42)&lt;=1),"Claim not supported","OK"))))))</f>
        <v>OK</v>
      </c>
      <c r="O42" s="33"/>
    </row>
    <row r="43" customFormat="false" ht="42" hidden="false" customHeight="true" outlineLevel="0" collapsed="false">
      <c r="A43" s="30" t="s">
        <v>280</v>
      </c>
      <c r="B43" s="31" t="s">
        <v>259</v>
      </c>
      <c r="C43" s="31" t="s">
        <v>281</v>
      </c>
      <c r="D43" s="31" t="s">
        <v>282</v>
      </c>
      <c r="E43" s="31" t="s">
        <v>283</v>
      </c>
      <c r="F43" s="32" t="s">
        <v>71</v>
      </c>
      <c r="G43" s="33" t="s">
        <v>284</v>
      </c>
      <c r="H43" s="32" t="n">
        <v>3</v>
      </c>
      <c r="I43" s="32" t="n">
        <v>2</v>
      </c>
      <c r="J43" s="32" t="s">
        <v>73</v>
      </c>
      <c r="K43" s="34" t="n">
        <f aca="false">IF(OR(A43="",F43="N/A",H43=""),"",H43*I43)</f>
        <v>6</v>
      </c>
      <c r="L43" s="34" t="n">
        <f aca="false">IF(OR(A43="",F43="N/A",H43=""),"",3*I43)</f>
        <v>6</v>
      </c>
      <c r="M43" s="34" t="str">
        <f aca="false">IF(AND(J43="Yes",OR(F43="No",AND(F43&lt;&gt;"N/A",H43&lt;&gt;"",N(H43)&lt;=1))),"RED FLAG","")</f>
        <v/>
      </c>
      <c r="N43" s="35" t="str">
        <f aca="false">IF(A43="","",IF(F43="","Awaiting answer",IF(AND(F43&lt;&gt;"N/A",H43=""),"Score it",IF(AND(OR(F43="Yes",F43="Partial"),G43=""),"Evidence missing",IF(AND(F43="N/A",J43="Yes"),"Critical N/A - justify",IF(AND(F43="Yes",H43&lt;&gt;"",N(H43)&lt;=1),"Claim not supported","OK"))))))</f>
        <v>OK</v>
      </c>
      <c r="O43" s="33"/>
    </row>
    <row r="44" customFormat="false" ht="42" hidden="false" customHeight="true" outlineLevel="0" collapsed="false">
      <c r="A44" s="30" t="s">
        <v>285</v>
      </c>
      <c r="B44" s="31" t="s">
        <v>259</v>
      </c>
      <c r="C44" s="31" t="s">
        <v>286</v>
      </c>
      <c r="D44" s="31" t="s">
        <v>287</v>
      </c>
      <c r="E44" s="31" t="s">
        <v>288</v>
      </c>
      <c r="F44" s="32" t="s">
        <v>134</v>
      </c>
      <c r="G44" s="33" t="s">
        <v>289</v>
      </c>
      <c r="H44" s="32" t="n">
        <v>2</v>
      </c>
      <c r="I44" s="32" t="n">
        <v>2</v>
      </c>
      <c r="J44" s="32" t="s">
        <v>73</v>
      </c>
      <c r="K44" s="34" t="n">
        <f aca="false">IF(OR(A44="",F44="N/A",H44=""),"",H44*I44)</f>
        <v>4</v>
      </c>
      <c r="L44" s="34" t="n">
        <f aca="false">IF(OR(A44="",F44="N/A",H44=""),"",3*I44)</f>
        <v>6</v>
      </c>
      <c r="M44" s="34" t="str">
        <f aca="false">IF(AND(J44="Yes",OR(F44="No",AND(F44&lt;&gt;"N/A",H44&lt;&gt;"",N(H44)&lt;=1))),"RED FLAG","")</f>
        <v/>
      </c>
      <c r="N44" s="35" t="str">
        <f aca="false">IF(A44="","",IF(F44="","Awaiting answer",IF(AND(F44&lt;&gt;"N/A",H44=""),"Score it",IF(AND(OR(F44="Yes",F44="Partial"),G44=""),"Evidence missing",IF(AND(F44="N/A",J44="Yes"),"Critical N/A - justify",IF(AND(F44="Yes",H44&lt;&gt;"",N(H44)&lt;=1),"Claim not supported","OK"))))))</f>
        <v>OK</v>
      </c>
      <c r="O44" s="33"/>
    </row>
    <row r="45" customFormat="false" ht="18" hidden="false" customHeight="true" outlineLevel="0" collapsed="false">
      <c r="A45" s="28" t="s">
        <v>290</v>
      </c>
      <c r="B45" s="29"/>
      <c r="C45" s="29"/>
      <c r="D45" s="29"/>
      <c r="E45" s="29"/>
      <c r="F45" s="29"/>
      <c r="G45" s="29"/>
      <c r="H45" s="29"/>
      <c r="I45" s="29"/>
      <c r="J45" s="29"/>
      <c r="K45" s="29"/>
      <c r="L45" s="29"/>
      <c r="M45" s="29"/>
      <c r="N45" s="29"/>
      <c r="O45" s="29"/>
    </row>
    <row r="46" customFormat="false" ht="54" hidden="false" customHeight="true" outlineLevel="0" collapsed="false">
      <c r="A46" s="30" t="s">
        <v>291</v>
      </c>
      <c r="B46" s="31" t="s">
        <v>290</v>
      </c>
      <c r="C46" s="31" t="s">
        <v>292</v>
      </c>
      <c r="D46" s="31" t="s">
        <v>293</v>
      </c>
      <c r="E46" s="31" t="s">
        <v>294</v>
      </c>
      <c r="F46" s="32" t="s">
        <v>71</v>
      </c>
      <c r="G46" s="33" t="s">
        <v>295</v>
      </c>
      <c r="H46" s="32" t="n">
        <v>3</v>
      </c>
      <c r="I46" s="32" t="n">
        <v>3</v>
      </c>
      <c r="J46" s="32" t="s">
        <v>71</v>
      </c>
      <c r="K46" s="34" t="n">
        <f aca="false">IF(OR(A46="",F46="N/A",H46=""),"",H46*I46)</f>
        <v>9</v>
      </c>
      <c r="L46" s="34" t="n">
        <f aca="false">IF(OR(A46="",F46="N/A",H46=""),"",3*I46)</f>
        <v>9</v>
      </c>
      <c r="M46" s="34" t="str">
        <f aca="false">IF(AND(J46="Yes",OR(F46="No",AND(F46&lt;&gt;"N/A",H46&lt;&gt;"",N(H46)&lt;=1))),"RED FLAG","")</f>
        <v/>
      </c>
      <c r="N46" s="35" t="str">
        <f aca="false">IF(A46="","",IF(F46="","Awaiting answer",IF(AND(F46&lt;&gt;"N/A",H46=""),"Score it",IF(AND(OR(F46="Yes",F46="Partial"),G46=""),"Evidence missing",IF(AND(F46="N/A",J46="Yes"),"Critical N/A - justify",IF(AND(F46="Yes",H46&lt;&gt;"",N(H46)&lt;=1),"Claim not supported","OK"))))))</f>
        <v>OK</v>
      </c>
      <c r="O46" s="33"/>
    </row>
    <row r="47" customFormat="false" ht="54" hidden="false" customHeight="true" outlineLevel="0" collapsed="false">
      <c r="A47" s="30" t="s">
        <v>296</v>
      </c>
      <c r="B47" s="31" t="s">
        <v>290</v>
      </c>
      <c r="C47" s="31" t="s">
        <v>297</v>
      </c>
      <c r="D47" s="31" t="s">
        <v>298</v>
      </c>
      <c r="E47" s="31" t="s">
        <v>299</v>
      </c>
      <c r="F47" s="32" t="s">
        <v>71</v>
      </c>
      <c r="G47" s="33" t="s">
        <v>300</v>
      </c>
      <c r="H47" s="32" t="n">
        <v>2</v>
      </c>
      <c r="I47" s="32" t="n">
        <v>3</v>
      </c>
      <c r="J47" s="32" t="s">
        <v>71</v>
      </c>
      <c r="K47" s="34" t="n">
        <f aca="false">IF(OR(A47="",F47="N/A",H47=""),"",H47*I47)</f>
        <v>6</v>
      </c>
      <c r="L47" s="34" t="n">
        <f aca="false">IF(OR(A47="",F47="N/A",H47=""),"",3*I47)</f>
        <v>9</v>
      </c>
      <c r="M47" s="34" t="str">
        <f aca="false">IF(AND(J47="Yes",OR(F47="No",AND(F47&lt;&gt;"N/A",H47&lt;&gt;"",N(H47)&lt;=1))),"RED FLAG","")</f>
        <v/>
      </c>
      <c r="N47" s="35" t="str">
        <f aca="false">IF(A47="","",IF(F47="","Awaiting answer",IF(AND(F47&lt;&gt;"N/A",H47=""),"Score it",IF(AND(OR(F47="Yes",F47="Partial"),G47=""),"Evidence missing",IF(AND(F47="N/A",J47="Yes"),"Critical N/A - justify",IF(AND(F47="Yes",H47&lt;&gt;"",N(H47)&lt;=1),"Claim not supported","OK"))))))</f>
        <v>OK</v>
      </c>
      <c r="O47" s="33"/>
    </row>
    <row r="48" customFormat="false" ht="54" hidden="false" customHeight="true" outlineLevel="0" collapsed="false">
      <c r="A48" s="30" t="s">
        <v>301</v>
      </c>
      <c r="B48" s="31" t="s">
        <v>290</v>
      </c>
      <c r="C48" s="31" t="s">
        <v>302</v>
      </c>
      <c r="D48" s="31" t="s">
        <v>303</v>
      </c>
      <c r="E48" s="31" t="s">
        <v>304</v>
      </c>
      <c r="F48" s="32" t="s">
        <v>71</v>
      </c>
      <c r="G48" s="33" t="s">
        <v>305</v>
      </c>
      <c r="H48" s="32" t="n">
        <v>3</v>
      </c>
      <c r="I48" s="32" t="n">
        <v>2</v>
      </c>
      <c r="J48" s="32" t="s">
        <v>73</v>
      </c>
      <c r="K48" s="34" t="n">
        <f aca="false">IF(OR(A48="",F48="N/A",H48=""),"",H48*I48)</f>
        <v>6</v>
      </c>
      <c r="L48" s="34" t="n">
        <f aca="false">IF(OR(A48="",F48="N/A",H48=""),"",3*I48)</f>
        <v>6</v>
      </c>
      <c r="M48" s="34" t="str">
        <f aca="false">IF(AND(J48="Yes",OR(F48="No",AND(F48&lt;&gt;"N/A",H48&lt;&gt;"",N(H48)&lt;=1))),"RED FLAG","")</f>
        <v/>
      </c>
      <c r="N48" s="35" t="str">
        <f aca="false">IF(A48="","",IF(F48="","Awaiting answer",IF(AND(F48&lt;&gt;"N/A",H48=""),"Score it",IF(AND(OR(F48="Yes",F48="Partial"),G48=""),"Evidence missing",IF(AND(F48="N/A",J48="Yes"),"Critical N/A - justify",IF(AND(F48="Yes",H48&lt;&gt;"",N(H48)&lt;=1),"Claim not supported","OK"))))))</f>
        <v>OK</v>
      </c>
      <c r="O48" s="33"/>
    </row>
    <row r="49" customFormat="false" ht="54" hidden="false" customHeight="true" outlineLevel="0" collapsed="false">
      <c r="A49" s="30" t="s">
        <v>306</v>
      </c>
      <c r="B49" s="31" t="s">
        <v>290</v>
      </c>
      <c r="C49" s="31" t="s">
        <v>307</v>
      </c>
      <c r="D49" s="31" t="s">
        <v>308</v>
      </c>
      <c r="E49" s="31" t="s">
        <v>309</v>
      </c>
      <c r="F49" s="32" t="s">
        <v>71</v>
      </c>
      <c r="G49" s="33" t="s">
        <v>310</v>
      </c>
      <c r="H49" s="32" t="n">
        <v>3</v>
      </c>
      <c r="I49" s="32" t="n">
        <v>3</v>
      </c>
      <c r="J49" s="32" t="s">
        <v>73</v>
      </c>
      <c r="K49" s="34" t="n">
        <f aca="false">IF(OR(A49="",F49="N/A",H49=""),"",H49*I49)</f>
        <v>9</v>
      </c>
      <c r="L49" s="34" t="n">
        <f aca="false">IF(OR(A49="",F49="N/A",H49=""),"",3*I49)</f>
        <v>9</v>
      </c>
      <c r="M49" s="34" t="str">
        <f aca="false">IF(AND(J49="Yes",OR(F49="No",AND(F49&lt;&gt;"N/A",H49&lt;&gt;"",N(H49)&lt;=1))),"RED FLAG","")</f>
        <v/>
      </c>
      <c r="N49" s="35" t="str">
        <f aca="false">IF(A49="","",IF(F49="","Awaiting answer",IF(AND(F49&lt;&gt;"N/A",H49=""),"Score it",IF(AND(OR(F49="Yes",F49="Partial"),G49=""),"Evidence missing",IF(AND(F49="N/A",J49="Yes"),"Critical N/A - justify",IF(AND(F49="Yes",H49&lt;&gt;"",N(H49)&lt;=1),"Claim not supported","OK"))))))</f>
        <v>OK</v>
      </c>
      <c r="O49" s="33"/>
    </row>
    <row r="50" customFormat="false" ht="54" hidden="false" customHeight="true" outlineLevel="0" collapsed="false">
      <c r="A50" s="30" t="s">
        <v>311</v>
      </c>
      <c r="B50" s="31" t="s">
        <v>290</v>
      </c>
      <c r="C50" s="31" t="s">
        <v>312</v>
      </c>
      <c r="D50" s="31" t="s">
        <v>313</v>
      </c>
      <c r="E50" s="31" t="s">
        <v>314</v>
      </c>
      <c r="F50" s="32" t="s">
        <v>134</v>
      </c>
      <c r="G50" s="33" t="s">
        <v>315</v>
      </c>
      <c r="H50" s="32" t="n">
        <v>2</v>
      </c>
      <c r="I50" s="32" t="n">
        <v>1</v>
      </c>
      <c r="J50" s="32" t="s">
        <v>73</v>
      </c>
      <c r="K50" s="34" t="n">
        <f aca="false">IF(OR(A50="",F50="N/A",H50=""),"",H50*I50)</f>
        <v>2</v>
      </c>
      <c r="L50" s="34" t="n">
        <f aca="false">IF(OR(A50="",F50="N/A",H50=""),"",3*I50)</f>
        <v>3</v>
      </c>
      <c r="M50" s="34" t="str">
        <f aca="false">IF(AND(J50="Yes",OR(F50="No",AND(F50&lt;&gt;"N/A",H50&lt;&gt;"",N(H50)&lt;=1))),"RED FLAG","")</f>
        <v/>
      </c>
      <c r="N50" s="35" t="str">
        <f aca="false">IF(A50="","",IF(F50="","Awaiting answer",IF(AND(F50&lt;&gt;"N/A",H50=""),"Score it",IF(AND(OR(F50="Yes",F50="Partial"),G50=""),"Evidence missing",IF(AND(F50="N/A",J50="Yes"),"Critical N/A - justify",IF(AND(F50="Yes",H50&lt;&gt;"",N(H50)&lt;=1),"Claim not supported","OK"))))))</f>
        <v>OK</v>
      </c>
      <c r="O50" s="33"/>
    </row>
    <row r="51" customFormat="false" ht="54" hidden="false" customHeight="true" outlineLevel="0" collapsed="false">
      <c r="A51" s="30" t="s">
        <v>316</v>
      </c>
      <c r="B51" s="31" t="s">
        <v>290</v>
      </c>
      <c r="C51" s="31" t="s">
        <v>317</v>
      </c>
      <c r="D51" s="31" t="s">
        <v>318</v>
      </c>
      <c r="E51" s="31" t="s">
        <v>319</v>
      </c>
      <c r="F51" s="32" t="s">
        <v>134</v>
      </c>
      <c r="G51" s="33" t="s">
        <v>320</v>
      </c>
      <c r="H51" s="32" t="n">
        <v>2</v>
      </c>
      <c r="I51" s="32" t="n">
        <v>3</v>
      </c>
      <c r="J51" s="32" t="s">
        <v>73</v>
      </c>
      <c r="K51" s="34" t="n">
        <f aca="false">IF(OR(A51="",F51="N/A",H51=""),"",H51*I51)</f>
        <v>6</v>
      </c>
      <c r="L51" s="34" t="n">
        <f aca="false">IF(OR(A51="",F51="N/A",H51=""),"",3*I51)</f>
        <v>9</v>
      </c>
      <c r="M51" s="34" t="str">
        <f aca="false">IF(AND(J51="Yes",OR(F51="No",AND(F51&lt;&gt;"N/A",H51&lt;&gt;"",N(H51)&lt;=1))),"RED FLAG","")</f>
        <v/>
      </c>
      <c r="N51" s="35" t="str">
        <f aca="false">IF(A51="","",IF(F51="","Awaiting answer",IF(AND(F51&lt;&gt;"N/A",H51=""),"Score it",IF(AND(OR(F51="Yes",F51="Partial"),G51=""),"Evidence missing",IF(AND(F51="N/A",J51="Yes"),"Critical N/A - justify",IF(AND(F51="Yes",H51&lt;&gt;"",N(H51)&lt;=1),"Claim not supported","OK"))))))</f>
        <v>OK</v>
      </c>
      <c r="O51" s="33"/>
    </row>
    <row r="52" customFormat="false" ht="18" hidden="false" customHeight="true" outlineLevel="0" collapsed="false">
      <c r="A52" s="28" t="s">
        <v>321</v>
      </c>
      <c r="B52" s="29"/>
      <c r="C52" s="29"/>
      <c r="D52" s="29"/>
      <c r="E52" s="29"/>
      <c r="F52" s="29"/>
      <c r="G52" s="29"/>
      <c r="H52" s="29"/>
      <c r="I52" s="29"/>
      <c r="J52" s="29"/>
      <c r="K52" s="29"/>
      <c r="L52" s="29"/>
      <c r="M52" s="29"/>
      <c r="N52" s="29"/>
      <c r="O52" s="29"/>
    </row>
    <row r="53" customFormat="false" ht="54" hidden="false" customHeight="true" outlineLevel="0" collapsed="false">
      <c r="A53" s="30" t="s">
        <v>322</v>
      </c>
      <c r="B53" s="31" t="s">
        <v>321</v>
      </c>
      <c r="C53" s="31" t="s">
        <v>323</v>
      </c>
      <c r="D53" s="31" t="s">
        <v>324</v>
      </c>
      <c r="E53" s="31" t="s">
        <v>325</v>
      </c>
      <c r="F53" s="32" t="s">
        <v>71</v>
      </c>
      <c r="G53" s="33" t="s">
        <v>326</v>
      </c>
      <c r="H53" s="32" t="n">
        <v>2</v>
      </c>
      <c r="I53" s="32" t="n">
        <v>3</v>
      </c>
      <c r="J53" s="32" t="s">
        <v>73</v>
      </c>
      <c r="K53" s="34" t="n">
        <f aca="false">IF(OR(A53="",F53="N/A",H53=""),"",H53*I53)</f>
        <v>6</v>
      </c>
      <c r="L53" s="34" t="n">
        <f aca="false">IF(OR(A53="",F53="N/A",H53=""),"",3*I53)</f>
        <v>9</v>
      </c>
      <c r="M53" s="34" t="str">
        <f aca="false">IF(AND(J53="Yes",OR(F53="No",AND(F53&lt;&gt;"N/A",H53&lt;&gt;"",N(H53)&lt;=1))),"RED FLAG","")</f>
        <v/>
      </c>
      <c r="N53" s="35" t="str">
        <f aca="false">IF(A53="","",IF(F53="","Awaiting answer",IF(AND(F53&lt;&gt;"N/A",H53=""),"Score it",IF(AND(OR(F53="Yes",F53="Partial"),G53=""),"Evidence missing",IF(AND(F53="N/A",J53="Yes"),"Critical N/A - justify",IF(AND(F53="Yes",H53&lt;&gt;"",N(H53)&lt;=1),"Claim not supported","OK"))))))</f>
        <v>OK</v>
      </c>
      <c r="O53" s="33"/>
    </row>
    <row r="54" customFormat="false" ht="54" hidden="false" customHeight="true" outlineLevel="0" collapsed="false">
      <c r="A54" s="30" t="s">
        <v>327</v>
      </c>
      <c r="B54" s="31" t="s">
        <v>321</v>
      </c>
      <c r="C54" s="31" t="s">
        <v>328</v>
      </c>
      <c r="D54" s="31" t="s">
        <v>329</v>
      </c>
      <c r="E54" s="31" t="s">
        <v>330</v>
      </c>
      <c r="F54" s="32" t="s">
        <v>71</v>
      </c>
      <c r="G54" s="33" t="s">
        <v>331</v>
      </c>
      <c r="H54" s="32" t="n">
        <v>3</v>
      </c>
      <c r="I54" s="32" t="n">
        <v>2</v>
      </c>
      <c r="J54" s="32" t="s">
        <v>73</v>
      </c>
      <c r="K54" s="34" t="n">
        <f aca="false">IF(OR(A54="",F54="N/A",H54=""),"",H54*I54)</f>
        <v>6</v>
      </c>
      <c r="L54" s="34" t="n">
        <f aca="false">IF(OR(A54="",F54="N/A",H54=""),"",3*I54)</f>
        <v>6</v>
      </c>
      <c r="M54" s="34" t="str">
        <f aca="false">IF(AND(J54="Yes",OR(F54="No",AND(F54&lt;&gt;"N/A",H54&lt;&gt;"",N(H54)&lt;=1))),"RED FLAG","")</f>
        <v/>
      </c>
      <c r="N54" s="35" t="str">
        <f aca="false">IF(A54="","",IF(F54="","Awaiting answer",IF(AND(F54&lt;&gt;"N/A",H54=""),"Score it",IF(AND(OR(F54="Yes",F54="Partial"),G54=""),"Evidence missing",IF(AND(F54="N/A",J54="Yes"),"Critical N/A - justify",IF(AND(F54="Yes",H54&lt;&gt;"",N(H54)&lt;=1),"Claim not supported","OK"))))))</f>
        <v>OK</v>
      </c>
      <c r="O54" s="33"/>
    </row>
    <row r="55" customFormat="false" ht="54" hidden="false" customHeight="true" outlineLevel="0" collapsed="false">
      <c r="A55" s="30" t="s">
        <v>332</v>
      </c>
      <c r="B55" s="31" t="s">
        <v>321</v>
      </c>
      <c r="C55" s="31" t="s">
        <v>333</v>
      </c>
      <c r="D55" s="31" t="s">
        <v>334</v>
      </c>
      <c r="E55" s="31" t="s">
        <v>335</v>
      </c>
      <c r="F55" s="32" t="s">
        <v>134</v>
      </c>
      <c r="G55" s="33" t="s">
        <v>269</v>
      </c>
      <c r="H55" s="32" t="n">
        <v>1</v>
      </c>
      <c r="I55" s="32" t="n">
        <v>2</v>
      </c>
      <c r="J55" s="32" t="s">
        <v>73</v>
      </c>
      <c r="K55" s="34" t="n">
        <f aca="false">IF(OR(A55="",F55="N/A",H55=""),"",H55*I55)</f>
        <v>2</v>
      </c>
      <c r="L55" s="34" t="n">
        <f aca="false">IF(OR(A55="",F55="N/A",H55=""),"",3*I55)</f>
        <v>6</v>
      </c>
      <c r="M55" s="34" t="str">
        <f aca="false">IF(AND(J55="Yes",OR(F55="No",AND(F55&lt;&gt;"N/A",H55&lt;&gt;"",N(H55)&lt;=1))),"RED FLAG","")</f>
        <v/>
      </c>
      <c r="N55" s="35" t="str">
        <f aca="false">IF(A55="","",IF(F55="","Awaiting answer",IF(AND(F55&lt;&gt;"N/A",H55=""),"Score it",IF(AND(OR(F55="Yes",F55="Partial"),G55=""),"Evidence missing",IF(AND(F55="N/A",J55="Yes"),"Critical N/A - justify",IF(AND(F55="Yes",H55&lt;&gt;"",N(H55)&lt;=1),"Claim not supported","OK"))))))</f>
        <v>OK</v>
      </c>
      <c r="O55" s="33"/>
    </row>
    <row r="56" customFormat="false" ht="54" hidden="false" customHeight="true" outlineLevel="0" collapsed="false">
      <c r="A56" s="30" t="s">
        <v>336</v>
      </c>
      <c r="B56" s="31" t="s">
        <v>321</v>
      </c>
      <c r="C56" s="31" t="s">
        <v>337</v>
      </c>
      <c r="D56" s="31" t="s">
        <v>338</v>
      </c>
      <c r="E56" s="31" t="s">
        <v>339</v>
      </c>
      <c r="F56" s="32" t="s">
        <v>71</v>
      </c>
      <c r="G56" s="33" t="s">
        <v>340</v>
      </c>
      <c r="H56" s="32" t="n">
        <v>2</v>
      </c>
      <c r="I56" s="32" t="n">
        <v>2</v>
      </c>
      <c r="J56" s="32" t="s">
        <v>73</v>
      </c>
      <c r="K56" s="34" t="n">
        <f aca="false">IF(OR(A56="",F56="N/A",H56=""),"",H56*I56)</f>
        <v>4</v>
      </c>
      <c r="L56" s="34" t="n">
        <f aca="false">IF(OR(A56="",F56="N/A",H56=""),"",3*I56)</f>
        <v>6</v>
      </c>
      <c r="M56" s="34" t="str">
        <f aca="false">IF(AND(J56="Yes",OR(F56="No",AND(F56&lt;&gt;"N/A",H56&lt;&gt;"",N(H56)&lt;=1))),"RED FLAG","")</f>
        <v/>
      </c>
      <c r="N56" s="35" t="str">
        <f aca="false">IF(A56="","",IF(F56="","Awaiting answer",IF(AND(F56&lt;&gt;"N/A",H56=""),"Score it",IF(AND(OR(F56="Yes",F56="Partial"),G56=""),"Evidence missing",IF(AND(F56="N/A",J56="Yes"),"Critical N/A - justify",IF(AND(F56="Yes",H56&lt;&gt;"",N(H56)&lt;=1),"Claim not supported","OK"))))))</f>
        <v>OK</v>
      </c>
      <c r="O56" s="33"/>
    </row>
    <row r="57" customFormat="false" ht="54" hidden="false" customHeight="true" outlineLevel="0" collapsed="false">
      <c r="A57" s="30" t="s">
        <v>341</v>
      </c>
      <c r="B57" s="31" t="s">
        <v>321</v>
      </c>
      <c r="C57" s="31" t="s">
        <v>342</v>
      </c>
      <c r="D57" s="31" t="s">
        <v>343</v>
      </c>
      <c r="E57" s="31" t="s">
        <v>344</v>
      </c>
      <c r="F57" s="32" t="s">
        <v>71</v>
      </c>
      <c r="G57" s="33" t="s">
        <v>345</v>
      </c>
      <c r="H57" s="32" t="n">
        <v>3</v>
      </c>
      <c r="I57" s="32" t="n">
        <v>3</v>
      </c>
      <c r="J57" s="32" t="s">
        <v>71</v>
      </c>
      <c r="K57" s="34" t="n">
        <f aca="false">IF(OR(A57="",F57="N/A",H57=""),"",H57*I57)</f>
        <v>9</v>
      </c>
      <c r="L57" s="34" t="n">
        <f aca="false">IF(OR(A57="",F57="N/A",H57=""),"",3*I57)</f>
        <v>9</v>
      </c>
      <c r="M57" s="34" t="str">
        <f aca="false">IF(AND(J57="Yes",OR(F57="No",AND(F57&lt;&gt;"N/A",H57&lt;&gt;"",N(H57)&lt;=1))),"RED FLAG","")</f>
        <v/>
      </c>
      <c r="N57" s="35" t="str">
        <f aca="false">IF(A57="","",IF(F57="","Awaiting answer",IF(AND(F57&lt;&gt;"N/A",H57=""),"Score it",IF(AND(OR(F57="Yes",F57="Partial"),G57=""),"Evidence missing",IF(AND(F57="N/A",J57="Yes"),"Critical N/A - justify",IF(AND(F57="Yes",H57&lt;&gt;"",N(H57)&lt;=1),"Claim not supported","OK"))))))</f>
        <v>OK</v>
      </c>
      <c r="O57" s="33"/>
    </row>
    <row r="58" customFormat="false" ht="18" hidden="false" customHeight="true" outlineLevel="0" collapsed="false">
      <c r="A58" s="28" t="s">
        <v>346</v>
      </c>
      <c r="B58" s="29"/>
      <c r="C58" s="29"/>
      <c r="D58" s="29"/>
      <c r="E58" s="29"/>
      <c r="F58" s="29"/>
      <c r="G58" s="29"/>
      <c r="H58" s="29"/>
      <c r="I58" s="29"/>
      <c r="J58" s="29"/>
      <c r="K58" s="29"/>
      <c r="L58" s="29"/>
      <c r="M58" s="29"/>
      <c r="N58" s="29"/>
      <c r="O58" s="29"/>
    </row>
    <row r="59" customFormat="false" ht="42" hidden="false" customHeight="true" outlineLevel="0" collapsed="false">
      <c r="A59" s="30" t="s">
        <v>347</v>
      </c>
      <c r="B59" s="31" t="s">
        <v>346</v>
      </c>
      <c r="C59" s="31" t="s">
        <v>348</v>
      </c>
      <c r="D59" s="31" t="s">
        <v>349</v>
      </c>
      <c r="E59" s="31" t="s">
        <v>350</v>
      </c>
      <c r="F59" s="32" t="s">
        <v>71</v>
      </c>
      <c r="G59" s="33" t="s">
        <v>310</v>
      </c>
      <c r="H59" s="32" t="n">
        <v>3</v>
      </c>
      <c r="I59" s="32" t="n">
        <v>3</v>
      </c>
      <c r="J59" s="32" t="s">
        <v>73</v>
      </c>
      <c r="K59" s="34" t="n">
        <f aca="false">IF(OR(A59="",F59="N/A",H59=""),"",H59*I59)</f>
        <v>9</v>
      </c>
      <c r="L59" s="34" t="n">
        <f aca="false">IF(OR(A59="",F59="N/A",H59=""),"",3*I59)</f>
        <v>9</v>
      </c>
      <c r="M59" s="34" t="str">
        <f aca="false">IF(AND(J59="Yes",OR(F59="No",AND(F59&lt;&gt;"N/A",H59&lt;&gt;"",N(H59)&lt;=1))),"RED FLAG","")</f>
        <v/>
      </c>
      <c r="N59" s="35" t="str">
        <f aca="false">IF(A59="","",IF(F59="","Awaiting answer",IF(AND(F59&lt;&gt;"N/A",H59=""),"Score it",IF(AND(OR(F59="Yes",F59="Partial"),G59=""),"Evidence missing",IF(AND(F59="N/A",J59="Yes"),"Critical N/A - justify",IF(AND(F59="Yes",H59&lt;&gt;"",N(H59)&lt;=1),"Claim not supported","OK"))))))</f>
        <v>OK</v>
      </c>
      <c r="O59" s="33"/>
    </row>
    <row r="60" customFormat="false" ht="42" hidden="false" customHeight="true" outlineLevel="0" collapsed="false">
      <c r="A60" s="30" t="s">
        <v>351</v>
      </c>
      <c r="B60" s="31" t="s">
        <v>346</v>
      </c>
      <c r="C60" s="31" t="s">
        <v>352</v>
      </c>
      <c r="D60" s="31" t="s">
        <v>353</v>
      </c>
      <c r="E60" s="31" t="s">
        <v>354</v>
      </c>
      <c r="F60" s="32" t="s">
        <v>71</v>
      </c>
      <c r="G60" s="33" t="s">
        <v>355</v>
      </c>
      <c r="H60" s="32" t="n">
        <v>2</v>
      </c>
      <c r="I60" s="32" t="n">
        <v>2</v>
      </c>
      <c r="J60" s="32" t="s">
        <v>73</v>
      </c>
      <c r="K60" s="34" t="n">
        <f aca="false">IF(OR(A60="",F60="N/A",H60=""),"",H60*I60)</f>
        <v>4</v>
      </c>
      <c r="L60" s="34" t="n">
        <f aca="false">IF(OR(A60="",F60="N/A",H60=""),"",3*I60)</f>
        <v>6</v>
      </c>
      <c r="M60" s="34" t="str">
        <f aca="false">IF(AND(J60="Yes",OR(F60="No",AND(F60&lt;&gt;"N/A",H60&lt;&gt;"",N(H60)&lt;=1))),"RED FLAG","")</f>
        <v/>
      </c>
      <c r="N60" s="35" t="str">
        <f aca="false">IF(A60="","",IF(F60="","Awaiting answer",IF(AND(F60&lt;&gt;"N/A",H60=""),"Score it",IF(AND(OR(F60="Yes",F60="Partial"),G60=""),"Evidence missing",IF(AND(F60="N/A",J60="Yes"),"Critical N/A - justify",IF(AND(F60="Yes",H60&lt;&gt;"",N(H60)&lt;=1),"Claim not supported","OK"))))))</f>
        <v>OK</v>
      </c>
      <c r="O60" s="33"/>
    </row>
    <row r="61" customFormat="false" ht="42" hidden="false" customHeight="true" outlineLevel="0" collapsed="false">
      <c r="A61" s="30" t="s">
        <v>356</v>
      </c>
      <c r="B61" s="31" t="s">
        <v>346</v>
      </c>
      <c r="C61" s="31" t="s">
        <v>357</v>
      </c>
      <c r="D61" s="31" t="s">
        <v>358</v>
      </c>
      <c r="E61" s="31" t="s">
        <v>359</v>
      </c>
      <c r="F61" s="32" t="s">
        <v>71</v>
      </c>
      <c r="G61" s="33" t="s">
        <v>360</v>
      </c>
      <c r="H61" s="32" t="n">
        <v>3</v>
      </c>
      <c r="I61" s="32" t="n">
        <v>3</v>
      </c>
      <c r="J61" s="32" t="s">
        <v>71</v>
      </c>
      <c r="K61" s="34" t="n">
        <f aca="false">IF(OR(A61="",F61="N/A",H61=""),"",H61*I61)</f>
        <v>9</v>
      </c>
      <c r="L61" s="34" t="n">
        <f aca="false">IF(OR(A61="",F61="N/A",H61=""),"",3*I61)</f>
        <v>9</v>
      </c>
      <c r="M61" s="34" t="str">
        <f aca="false">IF(AND(J61="Yes",OR(F61="No",AND(F61&lt;&gt;"N/A",H61&lt;&gt;"",N(H61)&lt;=1))),"RED FLAG","")</f>
        <v/>
      </c>
      <c r="N61" s="35" t="str">
        <f aca="false">IF(A61="","",IF(F61="","Awaiting answer",IF(AND(F61&lt;&gt;"N/A",H61=""),"Score it",IF(AND(OR(F61="Yes",F61="Partial"),G61=""),"Evidence missing",IF(AND(F61="N/A",J61="Yes"),"Critical N/A - justify",IF(AND(F61="Yes",H61&lt;&gt;"",N(H61)&lt;=1),"Claim not supported","OK"))))))</f>
        <v>OK</v>
      </c>
      <c r="O61" s="33"/>
    </row>
    <row r="62" customFormat="false" ht="42" hidden="false" customHeight="true" outlineLevel="0" collapsed="false">
      <c r="A62" s="30" t="s">
        <v>361</v>
      </c>
      <c r="B62" s="31" t="s">
        <v>346</v>
      </c>
      <c r="C62" s="31" t="s">
        <v>362</v>
      </c>
      <c r="D62" s="31" t="s">
        <v>363</v>
      </c>
      <c r="E62" s="31" t="s">
        <v>364</v>
      </c>
      <c r="F62" s="32" t="s">
        <v>71</v>
      </c>
      <c r="G62" s="33" t="s">
        <v>365</v>
      </c>
      <c r="H62" s="32" t="n">
        <v>2</v>
      </c>
      <c r="I62" s="32" t="n">
        <v>2</v>
      </c>
      <c r="J62" s="32" t="s">
        <v>73</v>
      </c>
      <c r="K62" s="34" t="n">
        <f aca="false">IF(OR(A62="",F62="N/A",H62=""),"",H62*I62)</f>
        <v>4</v>
      </c>
      <c r="L62" s="34" t="n">
        <f aca="false">IF(OR(A62="",F62="N/A",H62=""),"",3*I62)</f>
        <v>6</v>
      </c>
      <c r="M62" s="34" t="str">
        <f aca="false">IF(AND(J62="Yes",OR(F62="No",AND(F62&lt;&gt;"N/A",H62&lt;&gt;"",N(H62)&lt;=1))),"RED FLAG","")</f>
        <v/>
      </c>
      <c r="N62" s="35" t="str">
        <f aca="false">IF(A62="","",IF(F62="","Awaiting answer",IF(AND(F62&lt;&gt;"N/A",H62=""),"Score it",IF(AND(OR(F62="Yes",F62="Partial"),G62=""),"Evidence missing",IF(AND(F62="N/A",J62="Yes"),"Critical N/A - justify",IF(AND(F62="Yes",H62&lt;&gt;"",N(H62)&lt;=1),"Claim not supported","OK"))))))</f>
        <v>OK</v>
      </c>
      <c r="O62" s="33"/>
    </row>
    <row r="63" customFormat="false" ht="18" hidden="false" customHeight="true" outlineLevel="0" collapsed="false">
      <c r="A63" s="28" t="s">
        <v>366</v>
      </c>
      <c r="B63" s="29"/>
      <c r="C63" s="29"/>
      <c r="D63" s="29"/>
      <c r="E63" s="29"/>
      <c r="F63" s="29"/>
      <c r="G63" s="29"/>
      <c r="H63" s="29"/>
      <c r="I63" s="29"/>
      <c r="J63" s="29"/>
      <c r="K63" s="29"/>
      <c r="L63" s="29"/>
      <c r="M63" s="29"/>
      <c r="N63" s="29"/>
      <c r="O63" s="29"/>
    </row>
    <row r="64" customFormat="false" ht="54" hidden="false" customHeight="true" outlineLevel="0" collapsed="false">
      <c r="A64" s="30" t="s">
        <v>367</v>
      </c>
      <c r="B64" s="31" t="s">
        <v>366</v>
      </c>
      <c r="C64" s="31" t="s">
        <v>368</v>
      </c>
      <c r="D64" s="31" t="s">
        <v>369</v>
      </c>
      <c r="E64" s="31" t="s">
        <v>370</v>
      </c>
      <c r="F64" s="32" t="s">
        <v>71</v>
      </c>
      <c r="G64" s="33" t="s">
        <v>371</v>
      </c>
      <c r="H64" s="32" t="n">
        <v>2</v>
      </c>
      <c r="I64" s="32" t="n">
        <v>3</v>
      </c>
      <c r="J64" s="32" t="s">
        <v>71</v>
      </c>
      <c r="K64" s="34" t="n">
        <f aca="false">IF(OR(A64="",F64="N/A",H64=""),"",H64*I64)</f>
        <v>6</v>
      </c>
      <c r="L64" s="34" t="n">
        <f aca="false">IF(OR(A64="",F64="N/A",H64=""),"",3*I64)</f>
        <v>9</v>
      </c>
      <c r="M64" s="34" t="str">
        <f aca="false">IF(AND(J64="Yes",OR(F64="No",AND(F64&lt;&gt;"N/A",H64&lt;&gt;"",N(H64)&lt;=1))),"RED FLAG","")</f>
        <v/>
      </c>
      <c r="N64" s="35" t="str">
        <f aca="false">IF(A64="","",IF(F64="","Awaiting answer",IF(AND(F64&lt;&gt;"N/A",H64=""),"Score it",IF(AND(OR(F64="Yes",F64="Partial"),G64=""),"Evidence missing",IF(AND(F64="N/A",J64="Yes"),"Critical N/A - justify",IF(AND(F64="Yes",H64&lt;&gt;"",N(H64)&lt;=1),"Claim not supported","OK"))))))</f>
        <v>OK</v>
      </c>
      <c r="O64" s="33"/>
    </row>
    <row r="65" customFormat="false" ht="54" hidden="false" customHeight="true" outlineLevel="0" collapsed="false">
      <c r="A65" s="30" t="s">
        <v>372</v>
      </c>
      <c r="B65" s="31" t="s">
        <v>366</v>
      </c>
      <c r="C65" s="31" t="s">
        <v>373</v>
      </c>
      <c r="D65" s="31" t="s">
        <v>374</v>
      </c>
      <c r="E65" s="31" t="s">
        <v>375</v>
      </c>
      <c r="F65" s="32" t="s">
        <v>71</v>
      </c>
      <c r="G65" s="33" t="s">
        <v>376</v>
      </c>
      <c r="H65" s="32" t="n">
        <v>3</v>
      </c>
      <c r="I65" s="32" t="n">
        <v>2</v>
      </c>
      <c r="J65" s="32" t="s">
        <v>73</v>
      </c>
      <c r="K65" s="34" t="n">
        <f aca="false">IF(OR(A65="",F65="N/A",H65=""),"",H65*I65)</f>
        <v>6</v>
      </c>
      <c r="L65" s="34" t="n">
        <f aca="false">IF(OR(A65="",F65="N/A",H65=""),"",3*I65)</f>
        <v>6</v>
      </c>
      <c r="M65" s="34" t="str">
        <f aca="false">IF(AND(J65="Yes",OR(F65="No",AND(F65&lt;&gt;"N/A",H65&lt;&gt;"",N(H65)&lt;=1))),"RED FLAG","")</f>
        <v/>
      </c>
      <c r="N65" s="35" t="str">
        <f aca="false">IF(A65="","",IF(F65="","Awaiting answer",IF(AND(F65&lt;&gt;"N/A",H65=""),"Score it",IF(AND(OR(F65="Yes",F65="Partial"),G65=""),"Evidence missing",IF(AND(F65="N/A",J65="Yes"),"Critical N/A - justify",IF(AND(F65="Yes",H65&lt;&gt;"",N(H65)&lt;=1),"Claim not supported","OK"))))))</f>
        <v>OK</v>
      </c>
      <c r="O65" s="33"/>
    </row>
    <row r="66" customFormat="false" ht="54" hidden="false" customHeight="true" outlineLevel="0" collapsed="false">
      <c r="A66" s="30" t="s">
        <v>377</v>
      </c>
      <c r="B66" s="31" t="s">
        <v>366</v>
      </c>
      <c r="C66" s="31" t="s">
        <v>378</v>
      </c>
      <c r="D66" s="31" t="s">
        <v>379</v>
      </c>
      <c r="E66" s="31" t="s">
        <v>380</v>
      </c>
      <c r="F66" s="32" t="s">
        <v>134</v>
      </c>
      <c r="G66" s="33" t="s">
        <v>381</v>
      </c>
      <c r="H66" s="32" t="n">
        <v>2</v>
      </c>
      <c r="I66" s="32" t="n">
        <v>2</v>
      </c>
      <c r="J66" s="32" t="s">
        <v>73</v>
      </c>
      <c r="K66" s="34" t="n">
        <f aca="false">IF(OR(A66="",F66="N/A",H66=""),"",H66*I66)</f>
        <v>4</v>
      </c>
      <c r="L66" s="34" t="n">
        <f aca="false">IF(OR(A66="",F66="N/A",H66=""),"",3*I66)</f>
        <v>6</v>
      </c>
      <c r="M66" s="34" t="str">
        <f aca="false">IF(AND(J66="Yes",OR(F66="No",AND(F66&lt;&gt;"N/A",H66&lt;&gt;"",N(H66)&lt;=1))),"RED FLAG","")</f>
        <v/>
      </c>
      <c r="N66" s="35" t="str">
        <f aca="false">IF(A66="","",IF(F66="","Awaiting answer",IF(AND(F66&lt;&gt;"N/A",H66=""),"Score it",IF(AND(OR(F66="Yes",F66="Partial"),G66=""),"Evidence missing",IF(AND(F66="N/A",J66="Yes"),"Critical N/A - justify",IF(AND(F66="Yes",H66&lt;&gt;"",N(H66)&lt;=1),"Claim not supported","OK"))))))</f>
        <v>OK</v>
      </c>
      <c r="O66" s="33"/>
    </row>
    <row r="67" customFormat="false" ht="54" hidden="false" customHeight="true" outlineLevel="0" collapsed="false">
      <c r="A67" s="30" t="s">
        <v>382</v>
      </c>
      <c r="B67" s="31" t="s">
        <v>366</v>
      </c>
      <c r="C67" s="31" t="s">
        <v>383</v>
      </c>
      <c r="D67" s="31" t="s">
        <v>384</v>
      </c>
      <c r="E67" s="31" t="s">
        <v>385</v>
      </c>
      <c r="F67" s="32" t="s">
        <v>71</v>
      </c>
      <c r="G67" s="33" t="s">
        <v>386</v>
      </c>
      <c r="H67" s="32" t="n">
        <v>2</v>
      </c>
      <c r="I67" s="32" t="n">
        <v>2</v>
      </c>
      <c r="J67" s="32" t="s">
        <v>73</v>
      </c>
      <c r="K67" s="34" t="n">
        <f aca="false">IF(OR(A67="",F67="N/A",H67=""),"",H67*I67)</f>
        <v>4</v>
      </c>
      <c r="L67" s="34" t="n">
        <f aca="false">IF(OR(A67="",F67="N/A",H67=""),"",3*I67)</f>
        <v>6</v>
      </c>
      <c r="M67" s="34" t="str">
        <f aca="false">IF(AND(J67="Yes",OR(F67="No",AND(F67&lt;&gt;"N/A",H67&lt;&gt;"",N(H67)&lt;=1))),"RED FLAG","")</f>
        <v/>
      </c>
      <c r="N67" s="35" t="str">
        <f aca="false">IF(A67="","",IF(F67="","Awaiting answer",IF(AND(F67&lt;&gt;"N/A",H67=""),"Score it",IF(AND(OR(F67="Yes",F67="Partial"),G67=""),"Evidence missing",IF(AND(F67="N/A",J67="Yes"),"Critical N/A - justify",IF(AND(F67="Yes",H67&lt;&gt;"",N(H67)&lt;=1),"Claim not supported","OK"))))))</f>
        <v>OK</v>
      </c>
      <c r="O67" s="33"/>
    </row>
    <row r="68" customFormat="false" ht="54" hidden="false" customHeight="true" outlineLevel="0" collapsed="false">
      <c r="A68" s="30" t="s">
        <v>387</v>
      </c>
      <c r="B68" s="31" t="s">
        <v>366</v>
      </c>
      <c r="C68" s="31" t="s">
        <v>388</v>
      </c>
      <c r="D68" s="31" t="s">
        <v>389</v>
      </c>
      <c r="E68" s="31" t="s">
        <v>390</v>
      </c>
      <c r="F68" s="32" t="s">
        <v>71</v>
      </c>
      <c r="G68" s="33"/>
      <c r="H68" s="32" t="n">
        <v>1</v>
      </c>
      <c r="I68" s="32" t="n">
        <v>1</v>
      </c>
      <c r="J68" s="32" t="s">
        <v>73</v>
      </c>
      <c r="K68" s="34" t="n">
        <f aca="false">IF(OR(A68="",F68="N/A",H68=""),"",H68*I68)</f>
        <v>1</v>
      </c>
      <c r="L68" s="34" t="n">
        <f aca="false">IF(OR(A68="",F68="N/A",H68=""),"",3*I68)</f>
        <v>3</v>
      </c>
      <c r="M68" s="34" t="str">
        <f aca="false">IF(AND(J68="Yes",OR(F68="No",AND(F68&lt;&gt;"N/A",H68&lt;&gt;"",N(H68)&lt;=1))),"RED FLAG","")</f>
        <v/>
      </c>
      <c r="N68" s="35" t="str">
        <f aca="false">IF(A68="","",IF(F68="","Awaiting answer",IF(AND(F68&lt;&gt;"N/A",H68=""),"Score it",IF(AND(OR(F68="Yes",F68="Partial"),G68=""),"Evidence missing",IF(AND(F68="N/A",J68="Yes"),"Critical N/A - justify",IF(AND(F68="Yes",H68&lt;&gt;"",N(H68)&lt;=1),"Claim not supported","OK"))))))</f>
        <v>Evidence missing</v>
      </c>
      <c r="O68" s="33"/>
    </row>
    <row r="69" customFormat="false" ht="18" hidden="false" customHeight="true" outlineLevel="0" collapsed="false">
      <c r="A69" s="28" t="s">
        <v>391</v>
      </c>
      <c r="B69" s="29"/>
      <c r="C69" s="29"/>
      <c r="D69" s="29"/>
      <c r="E69" s="29"/>
      <c r="F69" s="29"/>
      <c r="G69" s="29"/>
      <c r="H69" s="29"/>
      <c r="I69" s="29"/>
      <c r="J69" s="29"/>
      <c r="K69" s="29"/>
      <c r="L69" s="29"/>
      <c r="M69" s="29"/>
      <c r="N69" s="29"/>
      <c r="O69" s="29"/>
    </row>
    <row r="70" customFormat="false" ht="54" hidden="false" customHeight="true" outlineLevel="0" collapsed="false">
      <c r="A70" s="30" t="s">
        <v>392</v>
      </c>
      <c r="B70" s="31" t="s">
        <v>391</v>
      </c>
      <c r="C70" s="31" t="s">
        <v>393</v>
      </c>
      <c r="D70" s="31" t="s">
        <v>394</v>
      </c>
      <c r="E70" s="31" t="s">
        <v>395</v>
      </c>
      <c r="F70" s="32" t="s">
        <v>71</v>
      </c>
      <c r="G70" s="33" t="s">
        <v>396</v>
      </c>
      <c r="H70" s="32" t="n">
        <v>3</v>
      </c>
      <c r="I70" s="32" t="n">
        <v>3</v>
      </c>
      <c r="J70" s="32" t="s">
        <v>71</v>
      </c>
      <c r="K70" s="34" t="n">
        <f aca="false">IF(OR(A70="",F70="N/A",H70=""),"",H70*I70)</f>
        <v>9</v>
      </c>
      <c r="L70" s="34" t="n">
        <f aca="false">IF(OR(A70="",F70="N/A",H70=""),"",3*I70)</f>
        <v>9</v>
      </c>
      <c r="M70" s="34" t="str">
        <f aca="false">IF(AND(J70="Yes",OR(F70="No",AND(F70&lt;&gt;"N/A",H70&lt;&gt;"",N(H70)&lt;=1))),"RED FLAG","")</f>
        <v/>
      </c>
      <c r="N70" s="35" t="str">
        <f aca="false">IF(A70="","",IF(F70="","Awaiting answer",IF(AND(F70&lt;&gt;"N/A",H70=""),"Score it",IF(AND(OR(F70="Yes",F70="Partial"),G70=""),"Evidence missing",IF(AND(F70="N/A",J70="Yes"),"Critical N/A - justify",IF(AND(F70="Yes",H70&lt;&gt;"",N(H70)&lt;=1),"Claim not supported","OK"))))))</f>
        <v>OK</v>
      </c>
      <c r="O70" s="33"/>
    </row>
    <row r="71" customFormat="false" ht="54" hidden="false" customHeight="true" outlineLevel="0" collapsed="false">
      <c r="A71" s="30" t="s">
        <v>397</v>
      </c>
      <c r="B71" s="31" t="s">
        <v>391</v>
      </c>
      <c r="C71" s="31" t="s">
        <v>398</v>
      </c>
      <c r="D71" s="31" t="s">
        <v>399</v>
      </c>
      <c r="E71" s="31" t="s">
        <v>400</v>
      </c>
      <c r="F71" s="32" t="s">
        <v>134</v>
      </c>
      <c r="G71" s="33" t="s">
        <v>401</v>
      </c>
      <c r="H71" s="32" t="n">
        <v>1</v>
      </c>
      <c r="I71" s="32" t="n">
        <v>3</v>
      </c>
      <c r="J71" s="32" t="s">
        <v>73</v>
      </c>
      <c r="K71" s="34" t="n">
        <f aca="false">IF(OR(A71="",F71="N/A",H71=""),"",H71*I71)</f>
        <v>3</v>
      </c>
      <c r="L71" s="34" t="n">
        <f aca="false">IF(OR(A71="",F71="N/A",H71=""),"",3*I71)</f>
        <v>9</v>
      </c>
      <c r="M71" s="34" t="str">
        <f aca="false">IF(AND(J71="Yes",OR(F71="No",AND(F71&lt;&gt;"N/A",H71&lt;&gt;"",N(H71)&lt;=1))),"RED FLAG","")</f>
        <v/>
      </c>
      <c r="N71" s="35" t="str">
        <f aca="false">IF(A71="","",IF(F71="","Awaiting answer",IF(AND(F71&lt;&gt;"N/A",H71=""),"Score it",IF(AND(OR(F71="Yes",F71="Partial"),G71=""),"Evidence missing",IF(AND(F71="N/A",J71="Yes"),"Critical N/A - justify",IF(AND(F71="Yes",H71&lt;&gt;"",N(H71)&lt;=1),"Claim not supported","OK"))))))</f>
        <v>OK</v>
      </c>
      <c r="O71" s="33"/>
    </row>
    <row r="72" customFormat="false" ht="54" hidden="false" customHeight="true" outlineLevel="0" collapsed="false">
      <c r="A72" s="30" t="s">
        <v>402</v>
      </c>
      <c r="B72" s="31" t="s">
        <v>391</v>
      </c>
      <c r="C72" s="31" t="s">
        <v>403</v>
      </c>
      <c r="D72" s="31" t="s">
        <v>404</v>
      </c>
      <c r="E72" s="31" t="s">
        <v>405</v>
      </c>
      <c r="F72" s="32" t="s">
        <v>71</v>
      </c>
      <c r="G72" s="33" t="s">
        <v>406</v>
      </c>
      <c r="H72" s="32" t="n">
        <v>2</v>
      </c>
      <c r="I72" s="32" t="n">
        <v>2</v>
      </c>
      <c r="J72" s="32" t="s">
        <v>73</v>
      </c>
      <c r="K72" s="34" t="n">
        <f aca="false">IF(OR(A72="",F72="N/A",H72=""),"",H72*I72)</f>
        <v>4</v>
      </c>
      <c r="L72" s="34" t="n">
        <f aca="false">IF(OR(A72="",F72="N/A",H72=""),"",3*I72)</f>
        <v>6</v>
      </c>
      <c r="M72" s="34" t="str">
        <f aca="false">IF(AND(J72="Yes",OR(F72="No",AND(F72&lt;&gt;"N/A",H72&lt;&gt;"",N(H72)&lt;=1))),"RED FLAG","")</f>
        <v/>
      </c>
      <c r="N72" s="35" t="str">
        <f aca="false">IF(A72="","",IF(F72="","Awaiting answer",IF(AND(F72&lt;&gt;"N/A",H72=""),"Score it",IF(AND(OR(F72="Yes",F72="Partial"),G72=""),"Evidence missing",IF(AND(F72="N/A",J72="Yes"),"Critical N/A - justify",IF(AND(F72="Yes",H72&lt;&gt;"",N(H72)&lt;=1),"Claim not supported","OK"))))))</f>
        <v>OK</v>
      </c>
      <c r="O72" s="33"/>
    </row>
    <row r="73" customFormat="false" ht="54" hidden="false" customHeight="true" outlineLevel="0" collapsed="false">
      <c r="A73" s="30" t="s">
        <v>407</v>
      </c>
      <c r="B73" s="31" t="s">
        <v>391</v>
      </c>
      <c r="C73" s="31" t="s">
        <v>408</v>
      </c>
      <c r="D73" s="31" t="s">
        <v>409</v>
      </c>
      <c r="E73" s="31" t="s">
        <v>410</v>
      </c>
      <c r="F73" s="32" t="s">
        <v>71</v>
      </c>
      <c r="G73" s="33" t="s">
        <v>411</v>
      </c>
      <c r="H73" s="32" t="n">
        <v>2</v>
      </c>
      <c r="I73" s="32" t="n">
        <v>2</v>
      </c>
      <c r="J73" s="32" t="s">
        <v>73</v>
      </c>
      <c r="K73" s="34" t="n">
        <f aca="false">IF(OR(A73="",F73="N/A",H73=""),"",H73*I73)</f>
        <v>4</v>
      </c>
      <c r="L73" s="34" t="n">
        <f aca="false">IF(OR(A73="",F73="N/A",H73=""),"",3*I73)</f>
        <v>6</v>
      </c>
      <c r="M73" s="34" t="str">
        <f aca="false">IF(AND(J73="Yes",OR(F73="No",AND(F73&lt;&gt;"N/A",H73&lt;&gt;"",N(H73)&lt;=1))),"RED FLAG","")</f>
        <v/>
      </c>
      <c r="N73" s="35" t="str">
        <f aca="false">IF(A73="","",IF(F73="","Awaiting answer",IF(AND(F73&lt;&gt;"N/A",H73=""),"Score it",IF(AND(OR(F73="Yes",F73="Partial"),G73=""),"Evidence missing",IF(AND(F73="N/A",J73="Yes"),"Critical N/A - justify",IF(AND(F73="Yes",H73&lt;&gt;"",N(H73)&lt;=1),"Claim not supported","OK"))))))</f>
        <v>OK</v>
      </c>
      <c r="O73" s="33"/>
    </row>
    <row r="74" customFormat="false" ht="54" hidden="false" customHeight="true" outlineLevel="0" collapsed="false">
      <c r="A74" s="30" t="s">
        <v>412</v>
      </c>
      <c r="B74" s="31" t="s">
        <v>391</v>
      </c>
      <c r="C74" s="31" t="s">
        <v>413</v>
      </c>
      <c r="D74" s="31" t="s">
        <v>414</v>
      </c>
      <c r="E74" s="31" t="s">
        <v>415</v>
      </c>
      <c r="F74" s="32" t="s">
        <v>71</v>
      </c>
      <c r="G74" s="33" t="s">
        <v>416</v>
      </c>
      <c r="H74" s="32" t="n">
        <v>3</v>
      </c>
      <c r="I74" s="32" t="n">
        <v>2</v>
      </c>
      <c r="J74" s="32" t="s">
        <v>73</v>
      </c>
      <c r="K74" s="34" t="n">
        <f aca="false">IF(OR(A74="",F74="N/A",H74=""),"",H74*I74)</f>
        <v>6</v>
      </c>
      <c r="L74" s="34" t="n">
        <f aca="false">IF(OR(A74="",F74="N/A",H74=""),"",3*I74)</f>
        <v>6</v>
      </c>
      <c r="M74" s="34" t="str">
        <f aca="false">IF(AND(J74="Yes",OR(F74="No",AND(F74&lt;&gt;"N/A",H74&lt;&gt;"",N(H74)&lt;=1))),"RED FLAG","")</f>
        <v/>
      </c>
      <c r="N74" s="35" t="str">
        <f aca="false">IF(A74="","",IF(F74="","Awaiting answer",IF(AND(F74&lt;&gt;"N/A",H74=""),"Score it",IF(AND(OR(F74="Yes",F74="Partial"),G74=""),"Evidence missing",IF(AND(F74="N/A",J74="Yes"),"Critical N/A - justify",IF(AND(F74="Yes",H74&lt;&gt;"",N(H74)&lt;=1),"Claim not supported","OK"))))))</f>
        <v>OK</v>
      </c>
      <c r="O74" s="33"/>
    </row>
    <row r="75" customFormat="false" ht="18" hidden="false" customHeight="true" outlineLevel="0" collapsed="false">
      <c r="A75" s="28" t="s">
        <v>417</v>
      </c>
      <c r="B75" s="29"/>
      <c r="C75" s="29"/>
      <c r="D75" s="29"/>
      <c r="E75" s="29"/>
      <c r="F75" s="29"/>
      <c r="G75" s="29"/>
      <c r="H75" s="29"/>
      <c r="I75" s="29"/>
      <c r="J75" s="29"/>
      <c r="K75" s="29"/>
      <c r="L75" s="29"/>
      <c r="M75" s="29"/>
      <c r="N75" s="29"/>
      <c r="O75" s="29"/>
    </row>
    <row r="76" customFormat="false" ht="54" hidden="false" customHeight="true" outlineLevel="0" collapsed="false">
      <c r="A76" s="30" t="s">
        <v>418</v>
      </c>
      <c r="B76" s="31" t="s">
        <v>417</v>
      </c>
      <c r="C76" s="31" t="s">
        <v>419</v>
      </c>
      <c r="D76" s="31" t="s">
        <v>420</v>
      </c>
      <c r="E76" s="31" t="s">
        <v>421</v>
      </c>
      <c r="F76" s="32" t="s">
        <v>71</v>
      </c>
      <c r="G76" s="33" t="s">
        <v>422</v>
      </c>
      <c r="H76" s="32" t="n">
        <v>2</v>
      </c>
      <c r="I76" s="32" t="n">
        <v>3</v>
      </c>
      <c r="J76" s="32" t="s">
        <v>73</v>
      </c>
      <c r="K76" s="34" t="n">
        <f aca="false">IF(OR(A76="",F76="N/A",H76=""),"",H76*I76)</f>
        <v>6</v>
      </c>
      <c r="L76" s="34" t="n">
        <f aca="false">IF(OR(A76="",F76="N/A",H76=""),"",3*I76)</f>
        <v>9</v>
      </c>
      <c r="M76" s="34" t="str">
        <f aca="false">IF(AND(J76="Yes",OR(F76="No",AND(F76&lt;&gt;"N/A",H76&lt;&gt;"",N(H76)&lt;=1))),"RED FLAG","")</f>
        <v/>
      </c>
      <c r="N76" s="35" t="str">
        <f aca="false">IF(A76="","",IF(F76="","Awaiting answer",IF(AND(F76&lt;&gt;"N/A",H76=""),"Score it",IF(AND(OR(F76="Yes",F76="Partial"),G76=""),"Evidence missing",IF(AND(F76="N/A",J76="Yes"),"Critical N/A - justify",IF(AND(F76="Yes",H76&lt;&gt;"",N(H76)&lt;=1),"Claim not supported","OK"))))))</f>
        <v>OK</v>
      </c>
      <c r="O76" s="33"/>
    </row>
    <row r="77" customFormat="false" ht="54" hidden="false" customHeight="true" outlineLevel="0" collapsed="false">
      <c r="A77" s="30" t="s">
        <v>423</v>
      </c>
      <c r="B77" s="31" t="s">
        <v>417</v>
      </c>
      <c r="C77" s="31" t="s">
        <v>424</v>
      </c>
      <c r="D77" s="31" t="s">
        <v>425</v>
      </c>
      <c r="E77" s="31" t="s">
        <v>426</v>
      </c>
      <c r="F77" s="32" t="s">
        <v>134</v>
      </c>
      <c r="G77" s="33" t="s">
        <v>427</v>
      </c>
      <c r="H77" s="32" t="n">
        <v>2</v>
      </c>
      <c r="I77" s="32" t="n">
        <v>2</v>
      </c>
      <c r="J77" s="32" t="s">
        <v>73</v>
      </c>
      <c r="K77" s="34" t="n">
        <f aca="false">IF(OR(A77="",F77="N/A",H77=""),"",H77*I77)</f>
        <v>4</v>
      </c>
      <c r="L77" s="34" t="n">
        <f aca="false">IF(OR(A77="",F77="N/A",H77=""),"",3*I77)</f>
        <v>6</v>
      </c>
      <c r="M77" s="34" t="str">
        <f aca="false">IF(AND(J77="Yes",OR(F77="No",AND(F77&lt;&gt;"N/A",H77&lt;&gt;"",N(H77)&lt;=1))),"RED FLAG","")</f>
        <v/>
      </c>
      <c r="N77" s="35" t="str">
        <f aca="false">IF(A77="","",IF(F77="","Awaiting answer",IF(AND(F77&lt;&gt;"N/A",H77=""),"Score it",IF(AND(OR(F77="Yes",F77="Partial"),G77=""),"Evidence missing",IF(AND(F77="N/A",J77="Yes"),"Critical N/A - justify",IF(AND(F77="Yes",H77&lt;&gt;"",N(H77)&lt;=1),"Claim not supported","OK"))))))</f>
        <v>OK</v>
      </c>
      <c r="O77" s="33"/>
    </row>
    <row r="78" customFormat="false" ht="54" hidden="false" customHeight="true" outlineLevel="0" collapsed="false">
      <c r="A78" s="30" t="s">
        <v>428</v>
      </c>
      <c r="B78" s="31" t="s">
        <v>417</v>
      </c>
      <c r="C78" s="31" t="s">
        <v>429</v>
      </c>
      <c r="D78" s="31" t="s">
        <v>430</v>
      </c>
      <c r="E78" s="31" t="s">
        <v>431</v>
      </c>
      <c r="F78" s="32" t="s">
        <v>432</v>
      </c>
      <c r="G78" s="33" t="s">
        <v>433</v>
      </c>
      <c r="H78" s="32"/>
      <c r="I78" s="32" t="n">
        <v>2</v>
      </c>
      <c r="J78" s="32" t="s">
        <v>73</v>
      </c>
      <c r="K78" s="34" t="str">
        <f aca="false">IF(OR(A78="",F78="N/A",H78=""),"",H78*I78)</f>
        <v/>
      </c>
      <c r="L78" s="34" t="str">
        <f aca="false">IF(OR(A78="",F78="N/A",H78=""),"",3*I78)</f>
        <v/>
      </c>
      <c r="M78" s="34" t="str">
        <f aca="false">IF(AND(J78="Yes",OR(F78="No",AND(F78&lt;&gt;"N/A",H78&lt;&gt;"",N(H78)&lt;=1))),"RED FLAG","")</f>
        <v/>
      </c>
      <c r="N78" s="35" t="str">
        <f aca="false">IF(A78="","",IF(F78="","Awaiting answer",IF(AND(F78&lt;&gt;"N/A",H78=""),"Score it",IF(AND(OR(F78="Yes",F78="Partial"),G78=""),"Evidence missing",IF(AND(F78="N/A",J78="Yes"),"Critical N/A - justify",IF(AND(F78="Yes",H78&lt;&gt;"",N(H78)&lt;=1),"Claim not supported","OK"))))))</f>
        <v>OK</v>
      </c>
      <c r="O78" s="33"/>
    </row>
    <row r="79" customFormat="false" ht="54" hidden="false" customHeight="true" outlineLevel="0" collapsed="false">
      <c r="A79" s="30" t="s">
        <v>434</v>
      </c>
      <c r="B79" s="31" t="s">
        <v>417</v>
      </c>
      <c r="C79" s="31" t="s">
        <v>435</v>
      </c>
      <c r="D79" s="31" t="s">
        <v>436</v>
      </c>
      <c r="E79" s="31" t="s">
        <v>437</v>
      </c>
      <c r="F79" s="32" t="s">
        <v>134</v>
      </c>
      <c r="G79" s="33" t="s">
        <v>438</v>
      </c>
      <c r="H79" s="32" t="n">
        <v>2</v>
      </c>
      <c r="I79" s="32" t="n">
        <v>2</v>
      </c>
      <c r="J79" s="32" t="s">
        <v>73</v>
      </c>
      <c r="K79" s="34" t="n">
        <f aca="false">IF(OR(A79="",F79="N/A",H79=""),"",H79*I79)</f>
        <v>4</v>
      </c>
      <c r="L79" s="34" t="n">
        <f aca="false">IF(OR(A79="",F79="N/A",H79=""),"",3*I79)</f>
        <v>6</v>
      </c>
      <c r="M79" s="34" t="str">
        <f aca="false">IF(AND(J79="Yes",OR(F79="No",AND(F79&lt;&gt;"N/A",H79&lt;&gt;"",N(H79)&lt;=1))),"RED FLAG","")</f>
        <v/>
      </c>
      <c r="N79" s="35" t="str">
        <f aca="false">IF(A79="","",IF(F79="","Awaiting answer",IF(AND(F79&lt;&gt;"N/A",H79=""),"Score it",IF(AND(OR(F79="Yes",F79="Partial"),G79=""),"Evidence missing",IF(AND(F79="N/A",J79="Yes"),"Critical N/A - justify",IF(AND(F79="Yes",H79&lt;&gt;"",N(H79)&lt;=1),"Claim not supported","OK"))))))</f>
        <v>OK</v>
      </c>
      <c r="O79" s="33"/>
    </row>
    <row r="80" customFormat="false" ht="54" hidden="false" customHeight="true" outlineLevel="0" collapsed="false">
      <c r="A80" s="30" t="s">
        <v>439</v>
      </c>
      <c r="B80" s="31" t="s">
        <v>417</v>
      </c>
      <c r="C80" s="31" t="s">
        <v>440</v>
      </c>
      <c r="D80" s="31" t="s">
        <v>441</v>
      </c>
      <c r="E80" s="31" t="s">
        <v>442</v>
      </c>
      <c r="F80" s="32" t="s">
        <v>71</v>
      </c>
      <c r="G80" s="33" t="s">
        <v>443</v>
      </c>
      <c r="H80" s="32" t="n">
        <v>3</v>
      </c>
      <c r="I80" s="32" t="n">
        <v>3</v>
      </c>
      <c r="J80" s="32" t="s">
        <v>71</v>
      </c>
      <c r="K80" s="34" t="n">
        <f aca="false">IF(OR(A80="",F80="N/A",H80=""),"",H80*I80)</f>
        <v>9</v>
      </c>
      <c r="L80" s="34" t="n">
        <f aca="false">IF(OR(A80="",F80="N/A",H80=""),"",3*I80)</f>
        <v>9</v>
      </c>
      <c r="M80" s="34" t="str">
        <f aca="false">IF(AND(J80="Yes",OR(F80="No",AND(F80&lt;&gt;"N/A",H80&lt;&gt;"",N(H80)&lt;=1))),"RED FLAG","")</f>
        <v/>
      </c>
      <c r="N80" s="35" t="str">
        <f aca="false">IF(A80="","",IF(F80="","Awaiting answer",IF(AND(F80&lt;&gt;"N/A",H80=""),"Score it",IF(AND(OR(F80="Yes",F80="Partial"),G80=""),"Evidence missing",IF(AND(F80="N/A",J80="Yes"),"Critical N/A - justify",IF(AND(F80="Yes",H80&lt;&gt;"",N(H80)&lt;=1),"Claim not supported","OK"))))))</f>
        <v>OK</v>
      </c>
      <c r="O80" s="33"/>
    </row>
    <row r="81" customFormat="false" ht="54" hidden="false" customHeight="true" outlineLevel="0" collapsed="false">
      <c r="A81" s="30" t="s">
        <v>444</v>
      </c>
      <c r="B81" s="31" t="s">
        <v>417</v>
      </c>
      <c r="C81" s="31" t="s">
        <v>445</v>
      </c>
      <c r="D81" s="31" t="s">
        <v>446</v>
      </c>
      <c r="E81" s="31" t="s">
        <v>447</v>
      </c>
      <c r="F81" s="32" t="s">
        <v>134</v>
      </c>
      <c r="G81" s="33" t="s">
        <v>448</v>
      </c>
      <c r="H81" s="32" t="n">
        <v>2</v>
      </c>
      <c r="I81" s="32" t="n">
        <v>2</v>
      </c>
      <c r="J81" s="32" t="s">
        <v>73</v>
      </c>
      <c r="K81" s="34" t="n">
        <f aca="false">IF(OR(A81="",F81="N/A",H81=""),"",H81*I81)</f>
        <v>4</v>
      </c>
      <c r="L81" s="34" t="n">
        <f aca="false">IF(OR(A81="",F81="N/A",H81=""),"",3*I81)</f>
        <v>6</v>
      </c>
      <c r="M81" s="34" t="str">
        <f aca="false">IF(AND(J81="Yes",OR(F81="No",AND(F81&lt;&gt;"N/A",H81&lt;&gt;"",N(H81)&lt;=1))),"RED FLAG","")</f>
        <v/>
      </c>
      <c r="N81" s="35" t="str">
        <f aca="false">IF(A81="","",IF(F81="","Awaiting answer",IF(AND(F81&lt;&gt;"N/A",H81=""),"Score it",IF(AND(OR(F81="Yes",F81="Partial"),G81=""),"Evidence missing",IF(AND(F81="N/A",J81="Yes"),"Critical N/A - justify",IF(AND(F81="Yes",H81&lt;&gt;"",N(H81)&lt;=1),"Claim not supported","OK"))))))</f>
        <v>OK</v>
      </c>
      <c r="O81" s="33"/>
    </row>
    <row r="82" customFormat="false" ht="54" hidden="false" customHeight="true" outlineLevel="0" collapsed="false">
      <c r="A82" s="30" t="s">
        <v>449</v>
      </c>
      <c r="B82" s="31" t="s">
        <v>417</v>
      </c>
      <c r="C82" s="31" t="s">
        <v>450</v>
      </c>
      <c r="D82" s="31" t="s">
        <v>451</v>
      </c>
      <c r="E82" s="31" t="s">
        <v>452</v>
      </c>
      <c r="F82" s="32" t="s">
        <v>71</v>
      </c>
      <c r="G82" s="33" t="s">
        <v>453</v>
      </c>
      <c r="H82" s="32" t="n">
        <v>3</v>
      </c>
      <c r="I82" s="32" t="n">
        <v>2</v>
      </c>
      <c r="J82" s="32" t="s">
        <v>73</v>
      </c>
      <c r="K82" s="34" t="n">
        <f aca="false">IF(OR(A82="",F82="N/A",H82=""),"",H82*I82)</f>
        <v>6</v>
      </c>
      <c r="L82" s="34" t="n">
        <f aca="false">IF(OR(A82="",F82="N/A",H82=""),"",3*I82)</f>
        <v>6</v>
      </c>
      <c r="M82" s="34" t="str">
        <f aca="false">IF(AND(J82="Yes",OR(F82="No",AND(F82&lt;&gt;"N/A",H82&lt;&gt;"",N(H82)&lt;=1))),"RED FLAG","")</f>
        <v/>
      </c>
      <c r="N82" s="35" t="str">
        <f aca="false">IF(A82="","",IF(F82="","Awaiting answer",IF(AND(F82&lt;&gt;"N/A",H82=""),"Score it",IF(AND(OR(F82="Yes",F82="Partial"),G82=""),"Evidence missing",IF(AND(F82="N/A",J82="Yes"),"Critical N/A - justify",IF(AND(F82="Yes",H82&lt;&gt;"",N(H82)&lt;=1),"Claim not supported","OK"))))))</f>
        <v>OK</v>
      </c>
      <c r="O82" s="33"/>
    </row>
    <row r="83" customFormat="false" ht="18" hidden="false" customHeight="true" outlineLevel="0" collapsed="false">
      <c r="A83" s="28" t="s">
        <v>454</v>
      </c>
      <c r="B83" s="29"/>
      <c r="C83" s="29"/>
      <c r="D83" s="29"/>
      <c r="E83" s="29"/>
      <c r="F83" s="29"/>
      <c r="G83" s="29"/>
      <c r="H83" s="29"/>
      <c r="I83" s="29"/>
      <c r="J83" s="29"/>
      <c r="K83" s="29"/>
      <c r="L83" s="29"/>
      <c r="M83" s="29"/>
      <c r="N83" s="29"/>
      <c r="O83" s="29"/>
    </row>
    <row r="84" customFormat="false" ht="54" hidden="false" customHeight="true" outlineLevel="0" collapsed="false">
      <c r="A84" s="30" t="s">
        <v>455</v>
      </c>
      <c r="B84" s="31" t="s">
        <v>454</v>
      </c>
      <c r="C84" s="31" t="s">
        <v>456</v>
      </c>
      <c r="D84" s="31" t="s">
        <v>457</v>
      </c>
      <c r="E84" s="31" t="s">
        <v>458</v>
      </c>
      <c r="F84" s="32" t="s">
        <v>71</v>
      </c>
      <c r="G84" s="33" t="s">
        <v>459</v>
      </c>
      <c r="H84" s="32" t="n">
        <v>3</v>
      </c>
      <c r="I84" s="32" t="n">
        <v>2</v>
      </c>
      <c r="J84" s="32" t="s">
        <v>73</v>
      </c>
      <c r="K84" s="34" t="n">
        <f aca="false">IF(OR(A84="",F84="N/A",H84=""),"",H84*I84)</f>
        <v>6</v>
      </c>
      <c r="L84" s="34" t="n">
        <f aca="false">IF(OR(A84="",F84="N/A",H84=""),"",3*I84)</f>
        <v>6</v>
      </c>
      <c r="M84" s="34" t="str">
        <f aca="false">IF(AND(J84="Yes",OR(F84="No",AND(F84&lt;&gt;"N/A",H84&lt;&gt;"",N(H84)&lt;=1))),"RED FLAG","")</f>
        <v/>
      </c>
      <c r="N84" s="35" t="str">
        <f aca="false">IF(A84="","",IF(F84="","Awaiting answer",IF(AND(F84&lt;&gt;"N/A",H84=""),"Score it",IF(AND(OR(F84="Yes",F84="Partial"),G84=""),"Evidence missing",IF(AND(F84="N/A",J84="Yes"),"Critical N/A - justify",IF(AND(F84="Yes",H84&lt;&gt;"",N(H84)&lt;=1),"Claim not supported","OK"))))))</f>
        <v>OK</v>
      </c>
      <c r="O84" s="33"/>
    </row>
    <row r="85" customFormat="false" ht="54" hidden="false" customHeight="true" outlineLevel="0" collapsed="false">
      <c r="A85" s="30" t="s">
        <v>460</v>
      </c>
      <c r="B85" s="31" t="s">
        <v>454</v>
      </c>
      <c r="C85" s="31" t="s">
        <v>461</v>
      </c>
      <c r="D85" s="31" t="s">
        <v>462</v>
      </c>
      <c r="E85" s="31" t="s">
        <v>463</v>
      </c>
      <c r="F85" s="32" t="s">
        <v>134</v>
      </c>
      <c r="G85" s="33" t="s">
        <v>464</v>
      </c>
      <c r="H85" s="32" t="n">
        <v>2</v>
      </c>
      <c r="I85" s="32" t="n">
        <v>3</v>
      </c>
      <c r="J85" s="32" t="s">
        <v>73</v>
      </c>
      <c r="K85" s="34" t="n">
        <f aca="false">IF(OR(A85="",F85="N/A",H85=""),"",H85*I85)</f>
        <v>6</v>
      </c>
      <c r="L85" s="34" t="n">
        <f aca="false">IF(OR(A85="",F85="N/A",H85=""),"",3*I85)</f>
        <v>9</v>
      </c>
      <c r="M85" s="34" t="str">
        <f aca="false">IF(AND(J85="Yes",OR(F85="No",AND(F85&lt;&gt;"N/A",H85&lt;&gt;"",N(H85)&lt;=1))),"RED FLAG","")</f>
        <v/>
      </c>
      <c r="N85" s="35" t="str">
        <f aca="false">IF(A85="","",IF(F85="","Awaiting answer",IF(AND(F85&lt;&gt;"N/A",H85=""),"Score it",IF(AND(OR(F85="Yes",F85="Partial"),G85=""),"Evidence missing",IF(AND(F85="N/A",J85="Yes"),"Critical N/A - justify",IF(AND(F85="Yes",H85&lt;&gt;"",N(H85)&lt;=1),"Claim not supported","OK"))))))</f>
        <v>OK</v>
      </c>
      <c r="O85" s="33"/>
    </row>
    <row r="86" customFormat="false" ht="54" hidden="false" customHeight="true" outlineLevel="0" collapsed="false">
      <c r="A86" s="30" t="s">
        <v>465</v>
      </c>
      <c r="B86" s="31" t="s">
        <v>454</v>
      </c>
      <c r="C86" s="31" t="s">
        <v>466</v>
      </c>
      <c r="D86" s="31" t="s">
        <v>467</v>
      </c>
      <c r="E86" s="31" t="s">
        <v>468</v>
      </c>
      <c r="F86" s="32" t="s">
        <v>134</v>
      </c>
      <c r="G86" s="33" t="s">
        <v>469</v>
      </c>
      <c r="H86" s="32" t="n">
        <v>1</v>
      </c>
      <c r="I86" s="32" t="n">
        <v>2</v>
      </c>
      <c r="J86" s="32" t="s">
        <v>73</v>
      </c>
      <c r="K86" s="34" t="n">
        <f aca="false">IF(OR(A86="",F86="N/A",H86=""),"",H86*I86)</f>
        <v>2</v>
      </c>
      <c r="L86" s="34" t="n">
        <f aca="false">IF(OR(A86="",F86="N/A",H86=""),"",3*I86)</f>
        <v>6</v>
      </c>
      <c r="M86" s="34" t="str">
        <f aca="false">IF(AND(J86="Yes",OR(F86="No",AND(F86&lt;&gt;"N/A",H86&lt;&gt;"",N(H86)&lt;=1))),"RED FLAG","")</f>
        <v/>
      </c>
      <c r="N86" s="35" t="str">
        <f aca="false">IF(A86="","",IF(F86="","Awaiting answer",IF(AND(F86&lt;&gt;"N/A",H86=""),"Score it",IF(AND(OR(F86="Yes",F86="Partial"),G86=""),"Evidence missing",IF(AND(F86="N/A",J86="Yes"),"Critical N/A - justify",IF(AND(F86="Yes",H86&lt;&gt;"",N(H86)&lt;=1),"Claim not supported","OK"))))))</f>
        <v>OK</v>
      </c>
      <c r="O86" s="33"/>
    </row>
    <row r="87" customFormat="false" ht="54" hidden="false" customHeight="true" outlineLevel="0" collapsed="false">
      <c r="A87" s="30" t="s">
        <v>470</v>
      </c>
      <c r="B87" s="31" t="s">
        <v>454</v>
      </c>
      <c r="C87" s="31" t="s">
        <v>471</v>
      </c>
      <c r="D87" s="31" t="s">
        <v>472</v>
      </c>
      <c r="E87" s="31" t="s">
        <v>473</v>
      </c>
      <c r="F87" s="32" t="s">
        <v>71</v>
      </c>
      <c r="G87" s="33" t="s">
        <v>474</v>
      </c>
      <c r="H87" s="32" t="n">
        <v>3</v>
      </c>
      <c r="I87" s="32" t="n">
        <v>2</v>
      </c>
      <c r="J87" s="32" t="s">
        <v>73</v>
      </c>
      <c r="K87" s="34" t="n">
        <f aca="false">IF(OR(A87="",F87="N/A",H87=""),"",H87*I87)</f>
        <v>6</v>
      </c>
      <c r="L87" s="34" t="n">
        <f aca="false">IF(OR(A87="",F87="N/A",H87=""),"",3*I87)</f>
        <v>6</v>
      </c>
      <c r="M87" s="34" t="str">
        <f aca="false">IF(AND(J87="Yes",OR(F87="No",AND(F87&lt;&gt;"N/A",H87&lt;&gt;"",N(H87)&lt;=1))),"RED FLAG","")</f>
        <v/>
      </c>
      <c r="N87" s="35" t="str">
        <f aca="false">IF(A87="","",IF(F87="","Awaiting answer",IF(AND(F87&lt;&gt;"N/A",H87=""),"Score it",IF(AND(OR(F87="Yes",F87="Partial"),G87=""),"Evidence missing",IF(AND(F87="N/A",J87="Yes"),"Critical N/A - justify",IF(AND(F87="Yes",H87&lt;&gt;"",N(H87)&lt;=1),"Claim not supported","OK"))))))</f>
        <v>OK</v>
      </c>
      <c r="O87" s="33"/>
    </row>
    <row r="88" customFormat="false" ht="18" hidden="false" customHeight="true" outlineLevel="0" collapsed="false">
      <c r="A88" s="28" t="s">
        <v>475</v>
      </c>
      <c r="B88" s="29"/>
      <c r="C88" s="29"/>
      <c r="D88" s="29"/>
      <c r="E88" s="29"/>
      <c r="F88" s="29"/>
      <c r="G88" s="29"/>
      <c r="H88" s="29"/>
      <c r="I88" s="29"/>
      <c r="J88" s="29"/>
      <c r="K88" s="29"/>
      <c r="L88" s="29"/>
      <c r="M88" s="29"/>
      <c r="N88" s="29"/>
      <c r="O88" s="29"/>
    </row>
    <row r="89" customFormat="false" ht="54" hidden="false" customHeight="true" outlineLevel="0" collapsed="false">
      <c r="A89" s="30" t="s">
        <v>476</v>
      </c>
      <c r="B89" s="31" t="s">
        <v>475</v>
      </c>
      <c r="C89" s="31" t="s">
        <v>477</v>
      </c>
      <c r="D89" s="31" t="s">
        <v>478</v>
      </c>
      <c r="E89" s="31" t="s">
        <v>479</v>
      </c>
      <c r="F89" s="32" t="s">
        <v>134</v>
      </c>
      <c r="G89" s="33" t="s">
        <v>480</v>
      </c>
      <c r="H89" s="32" t="n">
        <v>2</v>
      </c>
      <c r="I89" s="32" t="n">
        <v>3</v>
      </c>
      <c r="J89" s="32" t="s">
        <v>73</v>
      </c>
      <c r="K89" s="34" t="n">
        <f aca="false">IF(OR(A89="",F89="N/A",H89=""),"",H89*I89)</f>
        <v>6</v>
      </c>
      <c r="L89" s="34" t="n">
        <f aca="false">IF(OR(A89="",F89="N/A",H89=""),"",3*I89)</f>
        <v>9</v>
      </c>
      <c r="M89" s="34" t="str">
        <f aca="false">IF(AND(J89="Yes",OR(F89="No",AND(F89&lt;&gt;"N/A",H89&lt;&gt;"",N(H89)&lt;=1))),"RED FLAG","")</f>
        <v/>
      </c>
      <c r="N89" s="35" t="str">
        <f aca="false">IF(A89="","",IF(F89="","Awaiting answer",IF(AND(F89&lt;&gt;"N/A",H89=""),"Score it",IF(AND(OR(F89="Yes",F89="Partial"),G89=""),"Evidence missing",IF(AND(F89="N/A",J89="Yes"),"Critical N/A - justify",IF(AND(F89="Yes",H89&lt;&gt;"",N(H89)&lt;=1),"Claim not supported","OK"))))))</f>
        <v>OK</v>
      </c>
      <c r="O89" s="33"/>
    </row>
    <row r="90" customFormat="false" ht="42" hidden="false" customHeight="true" outlineLevel="0" collapsed="false">
      <c r="A90" s="30" t="s">
        <v>481</v>
      </c>
      <c r="B90" s="31" t="s">
        <v>475</v>
      </c>
      <c r="C90" s="31" t="s">
        <v>482</v>
      </c>
      <c r="D90" s="31" t="s">
        <v>483</v>
      </c>
      <c r="E90" s="31" t="s">
        <v>484</v>
      </c>
      <c r="F90" s="32" t="s">
        <v>71</v>
      </c>
      <c r="G90" s="33" t="s">
        <v>485</v>
      </c>
      <c r="H90" s="32" t="n">
        <v>3</v>
      </c>
      <c r="I90" s="32" t="n">
        <v>3</v>
      </c>
      <c r="J90" s="32" t="s">
        <v>71</v>
      </c>
      <c r="K90" s="34" t="n">
        <f aca="false">IF(OR(A90="",F90="N/A",H90=""),"",H90*I90)</f>
        <v>9</v>
      </c>
      <c r="L90" s="34" t="n">
        <f aca="false">IF(OR(A90="",F90="N/A",H90=""),"",3*I90)</f>
        <v>9</v>
      </c>
      <c r="M90" s="34" t="str">
        <f aca="false">IF(AND(J90="Yes",OR(F90="No",AND(F90&lt;&gt;"N/A",H90&lt;&gt;"",N(H90)&lt;=1))),"RED FLAG","")</f>
        <v/>
      </c>
      <c r="N90" s="35" t="str">
        <f aca="false">IF(A90="","",IF(F90="","Awaiting answer",IF(AND(F90&lt;&gt;"N/A",H90=""),"Score it",IF(AND(OR(F90="Yes",F90="Partial"),G90=""),"Evidence missing",IF(AND(F90="N/A",J90="Yes"),"Critical N/A - justify",IF(AND(F90="Yes",H90&lt;&gt;"",N(H90)&lt;=1),"Claim not supported","OK"))))))</f>
        <v>OK</v>
      </c>
      <c r="O90" s="33"/>
    </row>
    <row r="91" customFormat="false" ht="42" hidden="false" customHeight="true" outlineLevel="0" collapsed="false">
      <c r="A91" s="30" t="s">
        <v>486</v>
      </c>
      <c r="B91" s="31" t="s">
        <v>475</v>
      </c>
      <c r="C91" s="31" t="s">
        <v>487</v>
      </c>
      <c r="D91" s="31" t="s">
        <v>488</v>
      </c>
      <c r="E91" s="31" t="s">
        <v>489</v>
      </c>
      <c r="F91" s="32" t="s">
        <v>134</v>
      </c>
      <c r="G91" s="33" t="s">
        <v>490</v>
      </c>
      <c r="H91" s="32" t="n">
        <v>1</v>
      </c>
      <c r="I91" s="32" t="n">
        <v>2</v>
      </c>
      <c r="J91" s="32" t="s">
        <v>73</v>
      </c>
      <c r="K91" s="34" t="n">
        <f aca="false">IF(OR(A91="",F91="N/A",H91=""),"",H91*I91)</f>
        <v>2</v>
      </c>
      <c r="L91" s="34" t="n">
        <f aca="false">IF(OR(A91="",F91="N/A",H91=""),"",3*I91)</f>
        <v>6</v>
      </c>
      <c r="M91" s="34" t="str">
        <f aca="false">IF(AND(J91="Yes",OR(F91="No",AND(F91&lt;&gt;"N/A",H91&lt;&gt;"",N(H91)&lt;=1))),"RED FLAG","")</f>
        <v/>
      </c>
      <c r="N91" s="35" t="str">
        <f aca="false">IF(A91="","",IF(F91="","Awaiting answer",IF(AND(F91&lt;&gt;"N/A",H91=""),"Score it",IF(AND(OR(F91="Yes",F91="Partial"),G91=""),"Evidence missing",IF(AND(F91="N/A",J91="Yes"),"Critical N/A - justify",IF(AND(F91="Yes",H91&lt;&gt;"",N(H91)&lt;=1),"Claim not supported","OK"))))))</f>
        <v>OK</v>
      </c>
      <c r="O91" s="33"/>
    </row>
    <row r="92" customFormat="false" ht="42" hidden="false" customHeight="true" outlineLevel="0" collapsed="false">
      <c r="A92" s="30" t="s">
        <v>491</v>
      </c>
      <c r="B92" s="31" t="s">
        <v>475</v>
      </c>
      <c r="C92" s="31" t="s">
        <v>492</v>
      </c>
      <c r="D92" s="31" t="s">
        <v>493</v>
      </c>
      <c r="E92" s="31" t="s">
        <v>494</v>
      </c>
      <c r="F92" s="32" t="s">
        <v>134</v>
      </c>
      <c r="G92" s="33" t="s">
        <v>495</v>
      </c>
      <c r="H92" s="32" t="n">
        <v>2</v>
      </c>
      <c r="I92" s="32" t="n">
        <v>2</v>
      </c>
      <c r="J92" s="32" t="s">
        <v>73</v>
      </c>
      <c r="K92" s="34" t="n">
        <f aca="false">IF(OR(A92="",F92="N/A",H92=""),"",H92*I92)</f>
        <v>4</v>
      </c>
      <c r="L92" s="34" t="n">
        <f aca="false">IF(OR(A92="",F92="N/A",H92=""),"",3*I92)</f>
        <v>6</v>
      </c>
      <c r="M92" s="34" t="str">
        <f aca="false">IF(AND(J92="Yes",OR(F92="No",AND(F92&lt;&gt;"N/A",H92&lt;&gt;"",N(H92)&lt;=1))),"RED FLAG","")</f>
        <v/>
      </c>
      <c r="N92" s="35" t="str">
        <f aca="false">IF(A92="","",IF(F92="","Awaiting answer",IF(AND(F92&lt;&gt;"N/A",H92=""),"Score it",IF(AND(OR(F92="Yes",F92="Partial"),G92=""),"Evidence missing",IF(AND(F92="N/A",J92="Yes"),"Critical N/A - justify",IF(AND(F92="Yes",H92&lt;&gt;"",N(H92)&lt;=1),"Claim not supported","OK"))))))</f>
        <v>OK</v>
      </c>
      <c r="O92" s="33"/>
    </row>
    <row r="93" customFormat="false" ht="42" hidden="false" customHeight="true" outlineLevel="0" collapsed="false">
      <c r="A93" s="30" t="s">
        <v>496</v>
      </c>
      <c r="B93" s="31" t="s">
        <v>475</v>
      </c>
      <c r="C93" s="31" t="s">
        <v>497</v>
      </c>
      <c r="D93" s="31" t="s">
        <v>498</v>
      </c>
      <c r="E93" s="31" t="s">
        <v>499</v>
      </c>
      <c r="F93" s="32" t="s">
        <v>71</v>
      </c>
      <c r="G93" s="33" t="s">
        <v>500</v>
      </c>
      <c r="H93" s="32" t="n">
        <v>2</v>
      </c>
      <c r="I93" s="32" t="n">
        <v>1</v>
      </c>
      <c r="J93" s="32" t="s">
        <v>73</v>
      </c>
      <c r="K93" s="34" t="n">
        <f aca="false">IF(OR(A93="",F93="N/A",H93=""),"",H93*I93)</f>
        <v>2</v>
      </c>
      <c r="L93" s="34" t="n">
        <f aca="false">IF(OR(A93="",F93="N/A",H93=""),"",3*I93)</f>
        <v>3</v>
      </c>
      <c r="M93" s="34" t="str">
        <f aca="false">IF(AND(J93="Yes",OR(F93="No",AND(F93&lt;&gt;"N/A",H93&lt;&gt;"",N(H93)&lt;=1))),"RED FLAG","")</f>
        <v/>
      </c>
      <c r="N93" s="35" t="str">
        <f aca="false">IF(A93="","",IF(F93="","Awaiting answer",IF(AND(F93&lt;&gt;"N/A",H93=""),"Score it",IF(AND(OR(F93="Yes",F93="Partial"),G93=""),"Evidence missing",IF(AND(F93="N/A",J93="Yes"),"Critical N/A - justify",IF(AND(F93="Yes",H93&lt;&gt;"",N(H93)&lt;=1),"Claim not supported","OK"))))))</f>
        <v>OK</v>
      </c>
      <c r="O93" s="33"/>
    </row>
  </sheetData>
  <autoFilter ref="A5:O93"/>
  <conditionalFormatting sqref="M6:M93">
    <cfRule type="cellIs" priority="2" operator="equal" aboveAverage="0" equalAverage="0" bottom="0" percent="0" rank="0" text="" dxfId="3">
      <formula>"RED FLAG"</formula>
    </cfRule>
  </conditionalFormatting>
  <conditionalFormatting sqref="N6:N93">
    <cfRule type="expression" priority="3" aboveAverage="0" equalAverage="0" bottom="0" percent="0" rank="0" text="" dxfId="1">
      <formula>AND(N6&lt;&gt;"",N6&lt;&gt;"OK")</formula>
    </cfRule>
    <cfRule type="cellIs" priority="4" operator="equal" aboveAverage="0" equalAverage="0" bottom="0" percent="0" rank="0" text="" dxfId="0">
      <formula>"OK"</formula>
    </cfRule>
  </conditionalFormatting>
  <conditionalFormatting sqref="F6:F93">
    <cfRule type="cellIs" priority="5" operator="equal" aboveAverage="0" equalAverage="0" bottom="0" percent="0" rank="0" text="" dxfId="15">
      <formula>"No"</formula>
    </cfRule>
  </conditionalFormatting>
  <dataValidations count="4">
    <dataValidation allowBlank="true" error="Pick a value from the list" errorStyle="stop" errorTitle="Not in list" operator="between" showDropDown="false" showErrorMessage="false" showInputMessage="false" sqref="F6:F93" type="list">
      <formula1>Lists!$A$6:$A$9</formula1>
      <formula2>0</formula2>
    </dataValidation>
    <dataValidation allowBlank="true" error="Pick a value from the list" errorStyle="stop" errorTitle="Not in list" operator="between" showDropDown="false" showErrorMessage="false" showInputMessage="false" sqref="H6:H93" type="list">
      <formula1>Lists!$B$6:$B$9</formula1>
      <formula2>0</formula2>
    </dataValidation>
    <dataValidation allowBlank="true" error="Pick a value from the list" errorStyle="stop" errorTitle="Not in list" operator="between" showDropDown="false" showErrorMessage="false" showInputMessage="false" sqref="I6:I93" type="list">
      <formula1>Lists!$C$6:$C$8</formula1>
      <formula2>0</formula2>
    </dataValidation>
    <dataValidation allowBlank="true" error="Pick a value from the list" errorStyle="stop" errorTitle="Not in list" operator="between" showDropDown="false" showErrorMessage="false" showInputMessage="false" sqref="J6:J93" type="list">
      <formula1>Lists!$D$6:$D$7</formula1>
      <formula2>0</formula2>
    </dataValidation>
  </dataValidation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4" min="3" style="0" width="11"/>
    <col collapsed="false" customWidth="true" hidden="false" outlineLevel="0" max="5" min="5" style="0" width="9"/>
    <col collapsed="false" customWidth="true" hidden="false" outlineLevel="0" max="6" min="6" style="0" width="10"/>
    <col collapsed="false" customWidth="true" hidden="false" outlineLevel="0" max="9" min="7" style="0" width="11"/>
    <col collapsed="false" customWidth="true" hidden="false" outlineLevel="0" max="10" min="10" style="0" width="13"/>
    <col collapsed="false" customWidth="true" hidden="false" outlineLevel="0" max="11" min="11" style="0" width="10"/>
    <col collapsed="false" customWidth="true" hidden="false" outlineLevel="0" max="12" min="12" style="0" width="11"/>
  </cols>
  <sheetData>
    <row r="1" customFormat="false" ht="48" hidden="false" customHeight="true" outlineLevel="0" collapsed="false">
      <c r="B1" s="1" t="s">
        <v>501</v>
      </c>
    </row>
    <row r="2" customFormat="false" ht="18" hidden="false" customHeight="true" outlineLevel="0" collapsed="false">
      <c r="B2" s="2" t="s">
        <v>1</v>
      </c>
    </row>
    <row r="3" customFormat="false" ht="3.75" hidden="false" customHeight="true" outlineLevel="0" collapsed="false">
      <c r="A3" s="3"/>
      <c r="B3" s="3"/>
      <c r="C3" s="3"/>
      <c r="D3" s="3"/>
      <c r="E3" s="3"/>
      <c r="F3" s="3"/>
      <c r="G3" s="3"/>
      <c r="H3" s="3"/>
      <c r="I3" s="3"/>
      <c r="J3" s="3"/>
      <c r="K3" s="3"/>
      <c r="L3" s="3"/>
    </row>
    <row r="5" customFormat="false" ht="31.5" hidden="false" customHeight="true" outlineLevel="0" collapsed="false">
      <c r="B5" s="6" t="s">
        <v>23</v>
      </c>
      <c r="C5" s="6" t="s">
        <v>502</v>
      </c>
      <c r="D5" s="6" t="s">
        <v>503</v>
      </c>
      <c r="E5" s="6" t="s">
        <v>432</v>
      </c>
      <c r="F5" s="6" t="s">
        <v>504</v>
      </c>
      <c r="G5" s="6" t="s">
        <v>114</v>
      </c>
      <c r="H5" s="6" t="s">
        <v>115</v>
      </c>
      <c r="I5" s="6" t="s">
        <v>24</v>
      </c>
      <c r="J5" s="6" t="s">
        <v>505</v>
      </c>
      <c r="K5" s="6" t="s">
        <v>25</v>
      </c>
      <c r="L5" s="6" t="s">
        <v>506</v>
      </c>
    </row>
    <row r="6" customFormat="false" ht="15" hidden="false" customHeight="false" outlineLevel="0" collapsed="false">
      <c r="B6" s="36" t="s">
        <v>119</v>
      </c>
      <c r="C6" s="37" t="n">
        <f aca="false">COUNTIF(Questionnaire!$B$6:$B$93,B6)</f>
        <v>5</v>
      </c>
      <c r="D6" s="37" t="n">
        <f aca="false">COUNTIFS(Questionnaire!$B$6:$B$93,B6,Questionnaire!$F$6:$F$93,"&lt;&gt;")</f>
        <v>5</v>
      </c>
      <c r="E6" s="37" t="n">
        <f aca="false">COUNTIFS(Questionnaire!$B$6:$B$93,B6,Questionnaire!$F$6:$F$93,"N/A")</f>
        <v>0</v>
      </c>
      <c r="F6" s="37" t="n">
        <f aca="false">COUNTIFS(Questionnaire!$B$6:$B$93,B6,Questionnaire!$K$6:$K$93,"&gt;=0")</f>
        <v>5</v>
      </c>
      <c r="G6" s="37" t="n">
        <f aca="false">SUMIFS(Questionnaire!$K$6:$K$93,Questionnaire!$B$6:$B$93,B6)</f>
        <v>27</v>
      </c>
      <c r="H6" s="37" t="n">
        <f aca="false">SUMIFS(Questionnaire!$L$6:$L$93,Questionnaire!$B$6:$B$93,B6)</f>
        <v>36</v>
      </c>
      <c r="I6" s="38" t="n">
        <f aca="false">IF(H6=0,"",G6/H6)</f>
        <v>0.75</v>
      </c>
      <c r="J6" s="37" t="str">
        <f aca="false">IF(I6="","Not scored",IF(I6&gt;=$C$24,"Strong",IF(I6&gt;=$C$25,"Adequate",IF(I6&gt;=$C$26,"Weak","Poor"))))</f>
        <v>Adequate</v>
      </c>
      <c r="K6" s="37" t="n">
        <f aca="false">COUNTIFS(Questionnaire!$B$6:$B$93,B6,Questionnaire!$M$6:$M$93,"RED FLAG")</f>
        <v>0</v>
      </c>
      <c r="L6" s="37" t="n">
        <f aca="false">COUNTIFS(Questionnaire!$B$6:$B$93,B6,Questionnaire!$J$6:$J$93,"Yes")</f>
        <v>2</v>
      </c>
    </row>
    <row r="7" customFormat="false" ht="15" hidden="false" customHeight="false" outlineLevel="0" collapsed="false">
      <c r="B7" s="36" t="s">
        <v>146</v>
      </c>
      <c r="C7" s="37" t="n">
        <f aca="false">COUNTIF(Questionnaire!$B$6:$B$93,B7)</f>
        <v>5</v>
      </c>
      <c r="D7" s="37" t="n">
        <f aca="false">COUNTIFS(Questionnaire!$B$6:$B$93,B7,Questionnaire!$F$6:$F$93,"&lt;&gt;")</f>
        <v>5</v>
      </c>
      <c r="E7" s="37" t="n">
        <f aca="false">COUNTIFS(Questionnaire!$B$6:$B$93,B7,Questionnaire!$F$6:$F$93,"N/A")</f>
        <v>0</v>
      </c>
      <c r="F7" s="37" t="n">
        <f aca="false">COUNTIFS(Questionnaire!$B$6:$B$93,B7,Questionnaire!$K$6:$K$93,"&gt;=0")</f>
        <v>5</v>
      </c>
      <c r="G7" s="37" t="n">
        <f aca="false">SUMIFS(Questionnaire!$K$6:$K$93,Questionnaire!$B$6:$B$93,B7)</f>
        <v>22</v>
      </c>
      <c r="H7" s="37" t="n">
        <f aca="false">SUMIFS(Questionnaire!$L$6:$L$93,Questionnaire!$B$6:$B$93,B7)</f>
        <v>33</v>
      </c>
      <c r="I7" s="38" t="n">
        <f aca="false">IF(H7=0,"",G7/H7)</f>
        <v>0.666666666666667</v>
      </c>
      <c r="J7" s="37" t="str">
        <f aca="false">IF(I7="","Not scored",IF(I7&gt;=$C$24,"Strong",IF(I7&gt;=$C$25,"Adequate",IF(I7&gt;=$C$26,"Weak","Poor"))))</f>
        <v>Adequate</v>
      </c>
      <c r="K7" s="37" t="n">
        <f aca="false">COUNTIFS(Questionnaire!$B$6:$B$93,B7,Questionnaire!$M$6:$M$93,"RED FLAG")</f>
        <v>0</v>
      </c>
      <c r="L7" s="37" t="n">
        <f aca="false">COUNTIFS(Questionnaire!$B$6:$B$93,B7,Questionnaire!$J$6:$J$93,"Yes")</f>
        <v>1</v>
      </c>
    </row>
    <row r="8" customFormat="false" ht="15" hidden="false" customHeight="false" outlineLevel="0" collapsed="false">
      <c r="B8" s="36" t="s">
        <v>172</v>
      </c>
      <c r="C8" s="37" t="n">
        <f aca="false">COUNTIF(Questionnaire!$B$6:$B$93,B8)</f>
        <v>5</v>
      </c>
      <c r="D8" s="37" t="n">
        <f aca="false">COUNTIFS(Questionnaire!$B$6:$B$93,B8,Questionnaire!$F$6:$F$93,"&lt;&gt;")</f>
        <v>5</v>
      </c>
      <c r="E8" s="37" t="n">
        <f aca="false">COUNTIFS(Questionnaire!$B$6:$B$93,B8,Questionnaire!$F$6:$F$93,"N/A")</f>
        <v>0</v>
      </c>
      <c r="F8" s="37" t="n">
        <f aca="false">COUNTIFS(Questionnaire!$B$6:$B$93,B8,Questionnaire!$K$6:$K$93,"&gt;=0")</f>
        <v>5</v>
      </c>
      <c r="G8" s="37" t="n">
        <f aca="false">SUMIFS(Questionnaire!$K$6:$K$93,Questionnaire!$B$6:$B$93,B8)</f>
        <v>34</v>
      </c>
      <c r="H8" s="37" t="n">
        <f aca="false">SUMIFS(Questionnaire!$L$6:$L$93,Questionnaire!$B$6:$B$93,B8)</f>
        <v>39</v>
      </c>
      <c r="I8" s="38" t="n">
        <f aca="false">IF(H8=0,"",G8/H8)</f>
        <v>0.871794871794872</v>
      </c>
      <c r="J8" s="37" t="str">
        <f aca="false">IF(I8="","Not scored",IF(I8&gt;=$C$24,"Strong",IF(I8&gt;=$C$25,"Adequate",IF(I8&gt;=$C$26,"Weak","Poor"))))</f>
        <v>Strong</v>
      </c>
      <c r="K8" s="37" t="n">
        <f aca="false">COUNTIFS(Questionnaire!$B$6:$B$93,B8,Questionnaire!$M$6:$M$93,"RED FLAG")</f>
        <v>0</v>
      </c>
      <c r="L8" s="37" t="n">
        <f aca="false">COUNTIFS(Questionnaire!$B$6:$B$93,B8,Questionnaire!$J$6:$J$93,"Yes")</f>
        <v>1</v>
      </c>
    </row>
    <row r="9" customFormat="false" ht="15" hidden="false" customHeight="false" outlineLevel="0" collapsed="false">
      <c r="B9" s="36" t="s">
        <v>198</v>
      </c>
      <c r="C9" s="37" t="n">
        <f aca="false">COUNTIF(Questionnaire!$B$6:$B$93,B9)</f>
        <v>7</v>
      </c>
      <c r="D9" s="37" t="n">
        <f aca="false">COUNTIFS(Questionnaire!$B$6:$B$93,B9,Questionnaire!$F$6:$F$93,"&lt;&gt;")</f>
        <v>7</v>
      </c>
      <c r="E9" s="37" t="n">
        <f aca="false">COUNTIFS(Questionnaire!$B$6:$B$93,B9,Questionnaire!$F$6:$F$93,"N/A")</f>
        <v>0</v>
      </c>
      <c r="F9" s="37" t="n">
        <f aca="false">COUNTIFS(Questionnaire!$B$6:$B$93,B9,Questionnaire!$K$6:$K$93,"&gt;=0")</f>
        <v>7</v>
      </c>
      <c r="G9" s="37" t="n">
        <f aca="false">SUMIFS(Questionnaire!$K$6:$K$93,Questionnaire!$B$6:$B$93,B9)</f>
        <v>39</v>
      </c>
      <c r="H9" s="37" t="n">
        <f aca="false">SUMIFS(Questionnaire!$L$6:$L$93,Questionnaire!$B$6:$B$93,B9)</f>
        <v>51</v>
      </c>
      <c r="I9" s="38" t="n">
        <f aca="false">IF(H9=0,"",G9/H9)</f>
        <v>0.764705882352941</v>
      </c>
      <c r="J9" s="37" t="str">
        <f aca="false">IF(I9="","Not scored",IF(I9&gt;=$C$24,"Strong",IF(I9&gt;=$C$25,"Adequate",IF(I9&gt;=$C$26,"Weak","Poor"))))</f>
        <v>Adequate</v>
      </c>
      <c r="K9" s="37" t="n">
        <f aca="false">COUNTIFS(Questionnaire!$B$6:$B$93,B9,Questionnaire!$M$6:$M$93,"RED FLAG")</f>
        <v>0</v>
      </c>
      <c r="L9" s="37" t="n">
        <f aca="false">COUNTIFS(Questionnaire!$B$6:$B$93,B9,Questionnaire!$J$6:$J$93,"Yes")</f>
        <v>2</v>
      </c>
    </row>
    <row r="10" customFormat="false" ht="15" hidden="false" customHeight="false" outlineLevel="0" collapsed="false">
      <c r="B10" s="36" t="s">
        <v>234</v>
      </c>
      <c r="C10" s="37" t="n">
        <f aca="false">COUNTIF(Questionnaire!$B$6:$B$93,B10)</f>
        <v>5</v>
      </c>
      <c r="D10" s="37" t="n">
        <f aca="false">COUNTIFS(Questionnaire!$B$6:$B$93,B10,Questionnaire!$F$6:$F$93,"&lt;&gt;")</f>
        <v>5</v>
      </c>
      <c r="E10" s="37" t="n">
        <f aca="false">COUNTIFS(Questionnaire!$B$6:$B$93,B10,Questionnaire!$F$6:$F$93,"N/A")</f>
        <v>0</v>
      </c>
      <c r="F10" s="37" t="n">
        <f aca="false">COUNTIFS(Questionnaire!$B$6:$B$93,B10,Questionnaire!$K$6:$K$93,"&gt;=0")</f>
        <v>5</v>
      </c>
      <c r="G10" s="37" t="n">
        <f aca="false">SUMIFS(Questionnaire!$K$6:$K$93,Questionnaire!$B$6:$B$93,B10)</f>
        <v>15</v>
      </c>
      <c r="H10" s="37" t="n">
        <f aca="false">SUMIFS(Questionnaire!$L$6:$L$93,Questionnaire!$B$6:$B$93,B10)</f>
        <v>33</v>
      </c>
      <c r="I10" s="38" t="n">
        <f aca="false">IF(H10=0,"",G10/H10)</f>
        <v>0.454545454545455</v>
      </c>
      <c r="J10" s="37" t="str">
        <f aca="false">IF(I10="","Not scored",IF(I10&gt;=$C$24,"Strong",IF(I10&gt;=$C$25,"Adequate",IF(I10&gt;=$C$26,"Weak","Poor"))))</f>
        <v>Poor</v>
      </c>
      <c r="K10" s="37" t="n">
        <f aca="false">COUNTIFS(Questionnaire!$B$6:$B$93,B10,Questionnaire!$M$6:$M$93,"RED FLAG")</f>
        <v>1</v>
      </c>
      <c r="L10" s="37" t="n">
        <f aca="false">COUNTIFS(Questionnaire!$B$6:$B$93,B10,Questionnaire!$J$6:$J$93,"Yes")</f>
        <v>1</v>
      </c>
    </row>
    <row r="11" customFormat="false" ht="15" hidden="false" customHeight="false" outlineLevel="0" collapsed="false">
      <c r="B11" s="36" t="s">
        <v>259</v>
      </c>
      <c r="C11" s="37" t="n">
        <f aca="false">COUNTIF(Questionnaire!$B$6:$B$93,B11)</f>
        <v>6</v>
      </c>
      <c r="D11" s="37" t="n">
        <f aca="false">COUNTIFS(Questionnaire!$B$6:$B$93,B11,Questionnaire!$F$6:$F$93,"&lt;&gt;")</f>
        <v>6</v>
      </c>
      <c r="E11" s="37" t="n">
        <f aca="false">COUNTIFS(Questionnaire!$B$6:$B$93,B11,Questionnaire!$F$6:$F$93,"N/A")</f>
        <v>0</v>
      </c>
      <c r="F11" s="37" t="n">
        <f aca="false">COUNTIFS(Questionnaire!$B$6:$B$93,B11,Questionnaire!$K$6:$K$93,"&gt;=0")</f>
        <v>6</v>
      </c>
      <c r="G11" s="37" t="n">
        <f aca="false">SUMIFS(Questionnaire!$K$6:$K$93,Questionnaire!$B$6:$B$93,B11)</f>
        <v>30</v>
      </c>
      <c r="H11" s="37" t="n">
        <f aca="false">SUMIFS(Questionnaire!$L$6:$L$93,Questionnaire!$B$6:$B$93,B11)</f>
        <v>45</v>
      </c>
      <c r="I11" s="38" t="n">
        <f aca="false">IF(H11=0,"",G11/H11)</f>
        <v>0.666666666666667</v>
      </c>
      <c r="J11" s="37" t="str">
        <f aca="false">IF(I11="","Not scored",IF(I11&gt;=$C$24,"Strong",IF(I11&gt;=$C$25,"Adequate",IF(I11&gt;=$C$26,"Weak","Poor"))))</f>
        <v>Adequate</v>
      </c>
      <c r="K11" s="37" t="n">
        <f aca="false">COUNTIFS(Questionnaire!$B$6:$B$93,B11,Questionnaire!$M$6:$M$93,"RED FLAG")</f>
        <v>0</v>
      </c>
      <c r="L11" s="37" t="n">
        <f aca="false">COUNTIFS(Questionnaire!$B$6:$B$93,B11,Questionnaire!$J$6:$J$93,"Yes")</f>
        <v>1</v>
      </c>
    </row>
    <row r="12" customFormat="false" ht="15" hidden="false" customHeight="false" outlineLevel="0" collapsed="false">
      <c r="B12" s="36" t="s">
        <v>290</v>
      </c>
      <c r="C12" s="37" t="n">
        <f aca="false">COUNTIF(Questionnaire!$B$6:$B$93,B12)</f>
        <v>6</v>
      </c>
      <c r="D12" s="37" t="n">
        <f aca="false">COUNTIFS(Questionnaire!$B$6:$B$93,B12,Questionnaire!$F$6:$F$93,"&lt;&gt;")</f>
        <v>6</v>
      </c>
      <c r="E12" s="37" t="n">
        <f aca="false">COUNTIFS(Questionnaire!$B$6:$B$93,B12,Questionnaire!$F$6:$F$93,"N/A")</f>
        <v>0</v>
      </c>
      <c r="F12" s="37" t="n">
        <f aca="false">COUNTIFS(Questionnaire!$B$6:$B$93,B12,Questionnaire!$K$6:$K$93,"&gt;=0")</f>
        <v>6</v>
      </c>
      <c r="G12" s="37" t="n">
        <f aca="false">SUMIFS(Questionnaire!$K$6:$K$93,Questionnaire!$B$6:$B$93,B12)</f>
        <v>38</v>
      </c>
      <c r="H12" s="37" t="n">
        <f aca="false">SUMIFS(Questionnaire!$L$6:$L$93,Questionnaire!$B$6:$B$93,B12)</f>
        <v>45</v>
      </c>
      <c r="I12" s="38" t="n">
        <f aca="false">IF(H12=0,"",G12/H12)</f>
        <v>0.844444444444444</v>
      </c>
      <c r="J12" s="37" t="str">
        <f aca="false">IF(I12="","Not scored",IF(I12&gt;=$C$24,"Strong",IF(I12&gt;=$C$25,"Adequate",IF(I12&gt;=$C$26,"Weak","Poor"))))</f>
        <v>Strong</v>
      </c>
      <c r="K12" s="37" t="n">
        <f aca="false">COUNTIFS(Questionnaire!$B$6:$B$93,B12,Questionnaire!$M$6:$M$93,"RED FLAG")</f>
        <v>0</v>
      </c>
      <c r="L12" s="37" t="n">
        <f aca="false">COUNTIFS(Questionnaire!$B$6:$B$93,B12,Questionnaire!$J$6:$J$93,"Yes")</f>
        <v>2</v>
      </c>
    </row>
    <row r="13" customFormat="false" ht="15" hidden="false" customHeight="false" outlineLevel="0" collapsed="false">
      <c r="B13" s="36" t="s">
        <v>321</v>
      </c>
      <c r="C13" s="37" t="n">
        <f aca="false">COUNTIF(Questionnaire!$B$6:$B$93,B13)</f>
        <v>5</v>
      </c>
      <c r="D13" s="37" t="n">
        <f aca="false">COUNTIFS(Questionnaire!$B$6:$B$93,B13,Questionnaire!$F$6:$F$93,"&lt;&gt;")</f>
        <v>5</v>
      </c>
      <c r="E13" s="37" t="n">
        <f aca="false">COUNTIFS(Questionnaire!$B$6:$B$93,B13,Questionnaire!$F$6:$F$93,"N/A")</f>
        <v>0</v>
      </c>
      <c r="F13" s="37" t="n">
        <f aca="false">COUNTIFS(Questionnaire!$B$6:$B$93,B13,Questionnaire!$K$6:$K$93,"&gt;=0")</f>
        <v>5</v>
      </c>
      <c r="G13" s="37" t="n">
        <f aca="false">SUMIFS(Questionnaire!$K$6:$K$93,Questionnaire!$B$6:$B$93,B13)</f>
        <v>27</v>
      </c>
      <c r="H13" s="37" t="n">
        <f aca="false">SUMIFS(Questionnaire!$L$6:$L$93,Questionnaire!$B$6:$B$93,B13)</f>
        <v>36</v>
      </c>
      <c r="I13" s="38" t="n">
        <f aca="false">IF(H13=0,"",G13/H13)</f>
        <v>0.75</v>
      </c>
      <c r="J13" s="37" t="str">
        <f aca="false">IF(I13="","Not scored",IF(I13&gt;=$C$24,"Strong",IF(I13&gt;=$C$25,"Adequate",IF(I13&gt;=$C$26,"Weak","Poor"))))</f>
        <v>Adequate</v>
      </c>
      <c r="K13" s="37" t="n">
        <f aca="false">COUNTIFS(Questionnaire!$B$6:$B$93,B13,Questionnaire!$M$6:$M$93,"RED FLAG")</f>
        <v>0</v>
      </c>
      <c r="L13" s="37" t="n">
        <f aca="false">COUNTIFS(Questionnaire!$B$6:$B$93,B13,Questionnaire!$J$6:$J$93,"Yes")</f>
        <v>1</v>
      </c>
    </row>
    <row r="14" customFormat="false" ht="15" hidden="false" customHeight="false" outlineLevel="0" collapsed="false">
      <c r="B14" s="36" t="s">
        <v>346</v>
      </c>
      <c r="C14" s="37" t="n">
        <f aca="false">COUNTIF(Questionnaire!$B$6:$B$93,B14)</f>
        <v>4</v>
      </c>
      <c r="D14" s="37" t="n">
        <f aca="false">COUNTIFS(Questionnaire!$B$6:$B$93,B14,Questionnaire!$F$6:$F$93,"&lt;&gt;")</f>
        <v>4</v>
      </c>
      <c r="E14" s="37" t="n">
        <f aca="false">COUNTIFS(Questionnaire!$B$6:$B$93,B14,Questionnaire!$F$6:$F$93,"N/A")</f>
        <v>0</v>
      </c>
      <c r="F14" s="37" t="n">
        <f aca="false">COUNTIFS(Questionnaire!$B$6:$B$93,B14,Questionnaire!$K$6:$K$93,"&gt;=0")</f>
        <v>4</v>
      </c>
      <c r="G14" s="37" t="n">
        <f aca="false">SUMIFS(Questionnaire!$K$6:$K$93,Questionnaire!$B$6:$B$93,B14)</f>
        <v>26</v>
      </c>
      <c r="H14" s="37" t="n">
        <f aca="false">SUMIFS(Questionnaire!$L$6:$L$93,Questionnaire!$B$6:$B$93,B14)</f>
        <v>30</v>
      </c>
      <c r="I14" s="38" t="n">
        <f aca="false">IF(H14=0,"",G14/H14)</f>
        <v>0.866666666666667</v>
      </c>
      <c r="J14" s="37" t="str">
        <f aca="false">IF(I14="","Not scored",IF(I14&gt;=$C$24,"Strong",IF(I14&gt;=$C$25,"Adequate",IF(I14&gt;=$C$26,"Weak","Poor"))))</f>
        <v>Strong</v>
      </c>
      <c r="K14" s="37" t="n">
        <f aca="false">COUNTIFS(Questionnaire!$B$6:$B$93,B14,Questionnaire!$M$6:$M$93,"RED FLAG")</f>
        <v>0</v>
      </c>
      <c r="L14" s="37" t="n">
        <f aca="false">COUNTIFS(Questionnaire!$B$6:$B$93,B14,Questionnaire!$J$6:$J$93,"Yes")</f>
        <v>1</v>
      </c>
    </row>
    <row r="15" customFormat="false" ht="15" hidden="false" customHeight="false" outlineLevel="0" collapsed="false">
      <c r="B15" s="36" t="s">
        <v>366</v>
      </c>
      <c r="C15" s="37" t="n">
        <f aca="false">COUNTIF(Questionnaire!$B$6:$B$93,B15)</f>
        <v>5</v>
      </c>
      <c r="D15" s="37" t="n">
        <f aca="false">COUNTIFS(Questionnaire!$B$6:$B$93,B15,Questionnaire!$F$6:$F$93,"&lt;&gt;")</f>
        <v>5</v>
      </c>
      <c r="E15" s="37" t="n">
        <f aca="false">COUNTIFS(Questionnaire!$B$6:$B$93,B15,Questionnaire!$F$6:$F$93,"N/A")</f>
        <v>0</v>
      </c>
      <c r="F15" s="37" t="n">
        <f aca="false">COUNTIFS(Questionnaire!$B$6:$B$93,B15,Questionnaire!$K$6:$K$93,"&gt;=0")</f>
        <v>5</v>
      </c>
      <c r="G15" s="37" t="n">
        <f aca="false">SUMIFS(Questionnaire!$K$6:$K$93,Questionnaire!$B$6:$B$93,B15)</f>
        <v>21</v>
      </c>
      <c r="H15" s="37" t="n">
        <f aca="false">SUMIFS(Questionnaire!$L$6:$L$93,Questionnaire!$B$6:$B$93,B15)</f>
        <v>30</v>
      </c>
      <c r="I15" s="38" t="n">
        <f aca="false">IF(H15=0,"",G15/H15)</f>
        <v>0.7</v>
      </c>
      <c r="J15" s="37" t="str">
        <f aca="false">IF(I15="","Not scored",IF(I15&gt;=$C$24,"Strong",IF(I15&gt;=$C$25,"Adequate",IF(I15&gt;=$C$26,"Weak","Poor"))))</f>
        <v>Adequate</v>
      </c>
      <c r="K15" s="37" t="n">
        <f aca="false">COUNTIFS(Questionnaire!$B$6:$B$93,B15,Questionnaire!$M$6:$M$93,"RED FLAG")</f>
        <v>0</v>
      </c>
      <c r="L15" s="37" t="n">
        <f aca="false">COUNTIFS(Questionnaire!$B$6:$B$93,B15,Questionnaire!$J$6:$J$93,"Yes")</f>
        <v>1</v>
      </c>
    </row>
    <row r="16" customFormat="false" ht="15" hidden="false" customHeight="false" outlineLevel="0" collapsed="false">
      <c r="B16" s="36" t="s">
        <v>391</v>
      </c>
      <c r="C16" s="37" t="n">
        <f aca="false">COUNTIF(Questionnaire!$B$6:$B$93,B16)</f>
        <v>5</v>
      </c>
      <c r="D16" s="37" t="n">
        <f aca="false">COUNTIFS(Questionnaire!$B$6:$B$93,B16,Questionnaire!$F$6:$F$93,"&lt;&gt;")</f>
        <v>5</v>
      </c>
      <c r="E16" s="37" t="n">
        <f aca="false">COUNTIFS(Questionnaire!$B$6:$B$93,B16,Questionnaire!$F$6:$F$93,"N/A")</f>
        <v>0</v>
      </c>
      <c r="F16" s="37" t="n">
        <f aca="false">COUNTIFS(Questionnaire!$B$6:$B$93,B16,Questionnaire!$K$6:$K$93,"&gt;=0")</f>
        <v>5</v>
      </c>
      <c r="G16" s="37" t="n">
        <f aca="false">SUMIFS(Questionnaire!$K$6:$K$93,Questionnaire!$B$6:$B$93,B16)</f>
        <v>26</v>
      </c>
      <c r="H16" s="37" t="n">
        <f aca="false">SUMIFS(Questionnaire!$L$6:$L$93,Questionnaire!$B$6:$B$93,B16)</f>
        <v>36</v>
      </c>
      <c r="I16" s="38" t="n">
        <f aca="false">IF(H16=0,"",G16/H16)</f>
        <v>0.722222222222222</v>
      </c>
      <c r="J16" s="37" t="str">
        <f aca="false">IF(I16="","Not scored",IF(I16&gt;=$C$24,"Strong",IF(I16&gt;=$C$25,"Adequate",IF(I16&gt;=$C$26,"Weak","Poor"))))</f>
        <v>Adequate</v>
      </c>
      <c r="K16" s="37" t="n">
        <f aca="false">COUNTIFS(Questionnaire!$B$6:$B$93,B16,Questionnaire!$M$6:$M$93,"RED FLAG")</f>
        <v>0</v>
      </c>
      <c r="L16" s="37" t="n">
        <f aca="false">COUNTIFS(Questionnaire!$B$6:$B$93,B16,Questionnaire!$J$6:$J$93,"Yes")</f>
        <v>1</v>
      </c>
    </row>
    <row r="17" customFormat="false" ht="15" hidden="false" customHeight="false" outlineLevel="0" collapsed="false">
      <c r="B17" s="36" t="s">
        <v>417</v>
      </c>
      <c r="C17" s="37" t="n">
        <f aca="false">COUNTIF(Questionnaire!$B$6:$B$93,B17)</f>
        <v>7</v>
      </c>
      <c r="D17" s="37" t="n">
        <f aca="false">COUNTIFS(Questionnaire!$B$6:$B$93,B17,Questionnaire!$F$6:$F$93,"&lt;&gt;")</f>
        <v>7</v>
      </c>
      <c r="E17" s="37" t="n">
        <f aca="false">COUNTIFS(Questionnaire!$B$6:$B$93,B17,Questionnaire!$F$6:$F$93,"N/A")</f>
        <v>1</v>
      </c>
      <c r="F17" s="37" t="n">
        <f aca="false">COUNTIFS(Questionnaire!$B$6:$B$93,B17,Questionnaire!$K$6:$K$93,"&gt;=0")</f>
        <v>6</v>
      </c>
      <c r="G17" s="37" t="n">
        <f aca="false">SUMIFS(Questionnaire!$K$6:$K$93,Questionnaire!$B$6:$B$93,B17)</f>
        <v>33</v>
      </c>
      <c r="H17" s="37" t="n">
        <f aca="false">SUMIFS(Questionnaire!$L$6:$L$93,Questionnaire!$B$6:$B$93,B17)</f>
        <v>42</v>
      </c>
      <c r="I17" s="38" t="n">
        <f aca="false">IF(H17=0,"",G17/H17)</f>
        <v>0.785714285714286</v>
      </c>
      <c r="J17" s="37" t="str">
        <f aca="false">IF(I17="","Not scored",IF(I17&gt;=$C$24,"Strong",IF(I17&gt;=$C$25,"Adequate",IF(I17&gt;=$C$26,"Weak","Poor"))))</f>
        <v>Adequate</v>
      </c>
      <c r="K17" s="37" t="n">
        <f aca="false">COUNTIFS(Questionnaire!$B$6:$B$93,B17,Questionnaire!$M$6:$M$93,"RED FLAG")</f>
        <v>0</v>
      </c>
      <c r="L17" s="37" t="n">
        <f aca="false">COUNTIFS(Questionnaire!$B$6:$B$93,B17,Questionnaire!$J$6:$J$93,"Yes")</f>
        <v>1</v>
      </c>
    </row>
    <row r="18" customFormat="false" ht="15" hidden="false" customHeight="false" outlineLevel="0" collapsed="false">
      <c r="B18" s="36" t="s">
        <v>454</v>
      </c>
      <c r="C18" s="37" t="n">
        <f aca="false">COUNTIF(Questionnaire!$B$6:$B$93,B18)</f>
        <v>4</v>
      </c>
      <c r="D18" s="37" t="n">
        <f aca="false">COUNTIFS(Questionnaire!$B$6:$B$93,B18,Questionnaire!$F$6:$F$93,"&lt;&gt;")</f>
        <v>4</v>
      </c>
      <c r="E18" s="37" t="n">
        <f aca="false">COUNTIFS(Questionnaire!$B$6:$B$93,B18,Questionnaire!$F$6:$F$93,"N/A")</f>
        <v>0</v>
      </c>
      <c r="F18" s="37" t="n">
        <f aca="false">COUNTIFS(Questionnaire!$B$6:$B$93,B18,Questionnaire!$K$6:$K$93,"&gt;=0")</f>
        <v>4</v>
      </c>
      <c r="G18" s="37" t="n">
        <f aca="false">SUMIFS(Questionnaire!$K$6:$K$93,Questionnaire!$B$6:$B$93,B18)</f>
        <v>20</v>
      </c>
      <c r="H18" s="37" t="n">
        <f aca="false">SUMIFS(Questionnaire!$L$6:$L$93,Questionnaire!$B$6:$B$93,B18)</f>
        <v>27</v>
      </c>
      <c r="I18" s="38" t="n">
        <f aca="false">IF(H18=0,"",G18/H18)</f>
        <v>0.740740740740741</v>
      </c>
      <c r="J18" s="37" t="str">
        <f aca="false">IF(I18="","Not scored",IF(I18&gt;=$C$24,"Strong",IF(I18&gt;=$C$25,"Adequate",IF(I18&gt;=$C$26,"Weak","Poor"))))</f>
        <v>Adequate</v>
      </c>
      <c r="K18" s="37" t="n">
        <f aca="false">COUNTIFS(Questionnaire!$B$6:$B$93,B18,Questionnaire!$M$6:$M$93,"RED FLAG")</f>
        <v>0</v>
      </c>
      <c r="L18" s="37" t="n">
        <f aca="false">COUNTIFS(Questionnaire!$B$6:$B$93,B18,Questionnaire!$J$6:$J$93,"Yes")</f>
        <v>0</v>
      </c>
    </row>
    <row r="19" customFormat="false" ht="15" hidden="false" customHeight="false" outlineLevel="0" collapsed="false">
      <c r="B19" s="36" t="s">
        <v>475</v>
      </c>
      <c r="C19" s="37" t="n">
        <f aca="false">COUNTIF(Questionnaire!$B$6:$B$93,B19)</f>
        <v>5</v>
      </c>
      <c r="D19" s="37" t="n">
        <f aca="false">COUNTIFS(Questionnaire!$B$6:$B$93,B19,Questionnaire!$F$6:$F$93,"&lt;&gt;")</f>
        <v>5</v>
      </c>
      <c r="E19" s="37" t="n">
        <f aca="false">COUNTIFS(Questionnaire!$B$6:$B$93,B19,Questionnaire!$F$6:$F$93,"N/A")</f>
        <v>0</v>
      </c>
      <c r="F19" s="37" t="n">
        <f aca="false">COUNTIFS(Questionnaire!$B$6:$B$93,B19,Questionnaire!$K$6:$K$93,"&gt;=0")</f>
        <v>5</v>
      </c>
      <c r="G19" s="37" t="n">
        <f aca="false">SUMIFS(Questionnaire!$K$6:$K$93,Questionnaire!$B$6:$B$93,B19)</f>
        <v>23</v>
      </c>
      <c r="H19" s="37" t="n">
        <f aca="false">SUMIFS(Questionnaire!$L$6:$L$93,Questionnaire!$B$6:$B$93,B19)</f>
        <v>33</v>
      </c>
      <c r="I19" s="38" t="n">
        <f aca="false">IF(H19=0,"",G19/H19)</f>
        <v>0.696969696969697</v>
      </c>
      <c r="J19" s="37" t="str">
        <f aca="false">IF(I19="","Not scored",IF(I19&gt;=$C$24,"Strong",IF(I19&gt;=$C$25,"Adequate",IF(I19&gt;=$C$26,"Weak","Poor"))))</f>
        <v>Adequate</v>
      </c>
      <c r="K19" s="37" t="n">
        <f aca="false">COUNTIFS(Questionnaire!$B$6:$B$93,B19,Questionnaire!$M$6:$M$93,"RED FLAG")</f>
        <v>0</v>
      </c>
      <c r="L19" s="37" t="n">
        <f aca="false">COUNTIFS(Questionnaire!$B$6:$B$93,B19,Questionnaire!$J$6:$J$93,"Yes")</f>
        <v>1</v>
      </c>
    </row>
    <row r="20" customFormat="false" ht="15" hidden="false" customHeight="false" outlineLevel="0" collapsed="false">
      <c r="B20" s="39" t="s">
        <v>507</v>
      </c>
      <c r="C20" s="40" t="n">
        <f aca="false">SUM(C6:C19)</f>
        <v>74</v>
      </c>
      <c r="D20" s="40" t="n">
        <f aca="false">SUM(D6:D19)</f>
        <v>74</v>
      </c>
      <c r="E20" s="40" t="n">
        <f aca="false">SUM(E6:E19)</f>
        <v>1</v>
      </c>
      <c r="F20" s="40" t="n">
        <f aca="false">SUM(F6:F19)</f>
        <v>73</v>
      </c>
      <c r="G20" s="40" t="n">
        <f aca="false">SUM(G6:G19)</f>
        <v>381</v>
      </c>
      <c r="H20" s="40" t="n">
        <f aca="false">SUM(H6:H19)</f>
        <v>516</v>
      </c>
      <c r="I20" s="41" t="n">
        <f aca="false">IF(H20=0,"",G20/H20)</f>
        <v>0.738372093023256</v>
      </c>
      <c r="J20" s="42" t="str">
        <f aca="false">IF(I20="","Not scored",IF(I20&gt;=$C$24,"Strong",IF(I20&gt;=$C$25,"Adequate",IF(I20&gt;=$C$26,"Weak","Poor"))))</f>
        <v>Adequate</v>
      </c>
      <c r="K20" s="40" t="n">
        <f aca="false">SUM(K6:K19)</f>
        <v>1</v>
      </c>
      <c r="L20" s="40" t="n">
        <f aca="false">SUM(L6:L19)</f>
        <v>16</v>
      </c>
    </row>
    <row r="23" customFormat="false" ht="15" hidden="false" customHeight="false" outlineLevel="0" collapsed="false">
      <c r="B23" s="43" t="s">
        <v>508</v>
      </c>
      <c r="E23" s="43" t="s">
        <v>509</v>
      </c>
    </row>
    <row r="24" customFormat="false" ht="18" hidden="false" customHeight="true" outlineLevel="0" collapsed="false">
      <c r="B24" s="26" t="s">
        <v>510</v>
      </c>
      <c r="C24" s="44" t="n">
        <v>0.8</v>
      </c>
      <c r="E24" s="26" t="s">
        <v>32</v>
      </c>
      <c r="F24" s="26"/>
      <c r="G24" s="26"/>
      <c r="H24" s="26"/>
      <c r="I24" s="26"/>
      <c r="J24" s="45" t="n">
        <f aca="false">I20</f>
        <v>0.738372093023256</v>
      </c>
      <c r="K24" s="45"/>
      <c r="L24" s="45"/>
    </row>
    <row r="25" customFormat="false" ht="18" hidden="false" customHeight="true" outlineLevel="0" collapsed="false">
      <c r="B25" s="26" t="s">
        <v>511</v>
      </c>
      <c r="C25" s="44" t="n">
        <v>0.65</v>
      </c>
      <c r="E25" s="26" t="s">
        <v>33</v>
      </c>
      <c r="F25" s="26"/>
      <c r="G25" s="26"/>
      <c r="H25" s="26"/>
      <c r="I25" s="26"/>
      <c r="J25" s="46" t="str">
        <f aca="false">J20</f>
        <v>Adequate</v>
      </c>
      <c r="K25" s="46"/>
      <c r="L25" s="46"/>
    </row>
    <row r="26" customFormat="false" ht="18" hidden="false" customHeight="true" outlineLevel="0" collapsed="false">
      <c r="B26" s="26" t="s">
        <v>512</v>
      </c>
      <c r="C26" s="44" t="n">
        <v>0.5</v>
      </c>
      <c r="E26" s="26" t="s">
        <v>513</v>
      </c>
      <c r="F26" s="26"/>
      <c r="G26" s="26"/>
      <c r="H26" s="26"/>
      <c r="I26" s="26"/>
      <c r="J26" s="47" t="n">
        <f aca="false">K20</f>
        <v>1</v>
      </c>
      <c r="K26" s="47"/>
      <c r="L26" s="47"/>
    </row>
    <row r="27" customFormat="false" ht="18" hidden="false" customHeight="true" outlineLevel="0" collapsed="false">
      <c r="B27" s="26" t="s">
        <v>514</v>
      </c>
      <c r="C27" s="44" t="n">
        <v>0.8</v>
      </c>
      <c r="E27" s="26" t="s">
        <v>34</v>
      </c>
      <c r="F27" s="26"/>
      <c r="G27" s="26"/>
      <c r="H27" s="26"/>
      <c r="I27" s="26"/>
      <c r="J27" s="45" t="n">
        <f aca="false">IF(COUNT(I6:I19)=0,"",MIN(I6:I19))</f>
        <v>0.454545454545455</v>
      </c>
      <c r="K27" s="45"/>
      <c r="L27" s="45"/>
    </row>
    <row r="28" customFormat="false" ht="18" hidden="false" customHeight="true" outlineLevel="0" collapsed="false">
      <c r="B28" s="26" t="s">
        <v>515</v>
      </c>
      <c r="C28" s="44" t="n">
        <v>0.65</v>
      </c>
      <c r="E28" s="26" t="s">
        <v>516</v>
      </c>
      <c r="F28" s="26"/>
      <c r="G28" s="26"/>
      <c r="H28" s="26"/>
      <c r="I28" s="26"/>
      <c r="J28" s="47" t="n">
        <f aca="false">COUNTIF(Questionnaire!$N$6:$N$93,"Awaiting answer")+COUNTIF(Questionnaire!$N$6:$N$93,"Score it")</f>
        <v>0</v>
      </c>
      <c r="K28" s="47"/>
      <c r="L28" s="47"/>
    </row>
    <row r="29" customFormat="false" ht="18" hidden="false" customHeight="true" outlineLevel="0" collapsed="false">
      <c r="B29" s="26" t="s">
        <v>517</v>
      </c>
      <c r="C29" s="44" t="n">
        <v>0.65</v>
      </c>
      <c r="E29" s="26" t="s">
        <v>31</v>
      </c>
      <c r="F29" s="26"/>
      <c r="G29" s="26"/>
      <c r="H29" s="26"/>
      <c r="I29" s="26"/>
      <c r="J29" s="46" t="str">
        <f aca="false">IF($J$24="","Not scored",IF(OR($J$26&gt;=$C$31,$J$24&lt;$C$30),"Reject",IF(OR($J$26&gt;0,$J$24&lt;$C$29),"Escalate",IF(AND($J$24&gt;=$C$27,$J$27&gt;=$C$28),"Approve","Approve with conditions"))))</f>
        <v>Escalate</v>
      </c>
      <c r="K29" s="46"/>
      <c r="L29" s="46"/>
    </row>
    <row r="30" customFormat="false" ht="18" hidden="false" customHeight="true" outlineLevel="0" collapsed="false">
      <c r="B30" s="26" t="s">
        <v>518</v>
      </c>
      <c r="C30" s="44" t="n">
        <v>0.5</v>
      </c>
      <c r="E30" s="48" t="s">
        <v>30</v>
      </c>
      <c r="F30" s="48"/>
      <c r="G30" s="48"/>
      <c r="H30" s="48"/>
      <c r="I30" s="48"/>
      <c r="J30" s="49" t="str">
        <f aca="false">IF($J$24="","Not scored",IF($J$28&gt;0,"Incomplete - finish answers and scoring",$J$29))</f>
        <v>Escalate</v>
      </c>
      <c r="K30" s="49"/>
      <c r="L30" s="49"/>
    </row>
    <row r="31" customFormat="false" ht="15" hidden="false" customHeight="false" outlineLevel="0" collapsed="false">
      <c r="B31" s="26" t="s">
        <v>519</v>
      </c>
      <c r="C31" s="50" t="n">
        <v>3</v>
      </c>
    </row>
    <row r="33" customFormat="false" ht="15" hidden="false" customHeight="false" outlineLevel="0" collapsed="false">
      <c r="B33" s="43" t="s">
        <v>520</v>
      </c>
    </row>
    <row r="34" customFormat="false" ht="15.75" hidden="false" customHeight="true" outlineLevel="0" collapsed="false">
      <c r="B34" s="51" t="s">
        <v>521</v>
      </c>
      <c r="C34" s="51"/>
      <c r="D34" s="51"/>
      <c r="E34" s="51"/>
      <c r="F34" s="51"/>
      <c r="G34" s="51"/>
      <c r="H34" s="51"/>
      <c r="I34" s="51"/>
      <c r="J34" s="51"/>
      <c r="K34" s="51"/>
      <c r="L34" s="51"/>
    </row>
    <row r="35" customFormat="false" ht="27.75" hidden="false" customHeight="true" outlineLevel="0" collapsed="false">
      <c r="B35" s="51" t="s">
        <v>522</v>
      </c>
      <c r="C35" s="51"/>
      <c r="D35" s="51"/>
      <c r="E35" s="51"/>
      <c r="F35" s="51"/>
      <c r="G35" s="51"/>
      <c r="H35" s="51"/>
      <c r="I35" s="51"/>
      <c r="J35" s="51"/>
      <c r="K35" s="51"/>
      <c r="L35" s="51"/>
    </row>
    <row r="36" customFormat="false" ht="15.75" hidden="false" customHeight="true" outlineLevel="0" collapsed="false">
      <c r="B36" s="51" t="s">
        <v>523</v>
      </c>
      <c r="C36" s="51"/>
      <c r="D36" s="51"/>
      <c r="E36" s="51"/>
      <c r="F36" s="51"/>
      <c r="G36" s="51"/>
      <c r="H36" s="51"/>
      <c r="I36" s="51"/>
      <c r="J36" s="51"/>
      <c r="K36" s="51"/>
      <c r="L36" s="51"/>
    </row>
    <row r="37" customFormat="false" ht="27.75" hidden="false" customHeight="true" outlineLevel="0" collapsed="false">
      <c r="B37" s="51" t="s">
        <v>524</v>
      </c>
      <c r="C37" s="51"/>
      <c r="D37" s="51"/>
      <c r="E37" s="51"/>
      <c r="F37" s="51"/>
      <c r="G37" s="51"/>
      <c r="H37" s="51"/>
      <c r="I37" s="51"/>
      <c r="J37" s="51"/>
      <c r="K37" s="51"/>
      <c r="L37" s="51"/>
    </row>
    <row r="38" customFormat="false" ht="27.75" hidden="false" customHeight="true" outlineLevel="0" collapsed="false">
      <c r="B38" s="51" t="s">
        <v>525</v>
      </c>
      <c r="C38" s="51"/>
      <c r="D38" s="51"/>
      <c r="E38" s="51"/>
      <c r="F38" s="51"/>
      <c r="G38" s="51"/>
      <c r="H38" s="51"/>
      <c r="I38" s="51"/>
      <c r="J38" s="51"/>
      <c r="K38" s="51"/>
      <c r="L38" s="51"/>
    </row>
    <row r="39" customFormat="false" ht="15.75" hidden="false" customHeight="true" outlineLevel="0" collapsed="false">
      <c r="B39" s="51" t="s">
        <v>526</v>
      </c>
      <c r="C39" s="51"/>
      <c r="D39" s="51"/>
      <c r="E39" s="51"/>
      <c r="F39" s="51"/>
      <c r="G39" s="51"/>
      <c r="H39" s="51"/>
      <c r="I39" s="51"/>
      <c r="J39" s="51"/>
      <c r="K39" s="51"/>
      <c r="L39" s="51"/>
    </row>
  </sheetData>
  <mergeCells count="20">
    <mergeCell ref="E24:I24"/>
    <mergeCell ref="J24:L24"/>
    <mergeCell ref="E25:I25"/>
    <mergeCell ref="J25:L25"/>
    <mergeCell ref="E26:I26"/>
    <mergeCell ref="J26:L26"/>
    <mergeCell ref="E27:I27"/>
    <mergeCell ref="J27:L27"/>
    <mergeCell ref="E28:I28"/>
    <mergeCell ref="J28:L28"/>
    <mergeCell ref="E29:I29"/>
    <mergeCell ref="J29:L29"/>
    <mergeCell ref="E30:I30"/>
    <mergeCell ref="J30:L30"/>
    <mergeCell ref="B34:L34"/>
    <mergeCell ref="B35:L35"/>
    <mergeCell ref="B36:L36"/>
    <mergeCell ref="B37:L37"/>
    <mergeCell ref="B38:L38"/>
    <mergeCell ref="B39:L39"/>
  </mergeCells>
  <conditionalFormatting sqref="J29">
    <cfRule type="cellIs" priority="2" operator="equal" aboveAverage="0" equalAverage="0" bottom="0" percent="0" rank="0" text="" dxfId="0">
      <formula>"Approve"</formula>
    </cfRule>
    <cfRule type="cellIs" priority="3" operator="equal" aboveAverage="0" equalAverage="0" bottom="0" percent="0" rank="0" text="" dxfId="1">
      <formula>"Approve with conditions"</formula>
    </cfRule>
    <cfRule type="cellIs" priority="4" operator="equal" aboveAverage="0" equalAverage="0" bottom="0" percent="0" rank="0" text="" dxfId="2">
      <formula>"Escalate"</formula>
    </cfRule>
    <cfRule type="cellIs" priority="5" operator="equal" aboveAverage="0" equalAverage="0" bottom="0" percent="0" rank="0" text="" dxfId="3">
      <formula>"Reject"</formula>
    </cfRule>
  </conditionalFormatting>
  <conditionalFormatting sqref="J30">
    <cfRule type="cellIs" priority="6" operator="equal" aboveAverage="0" equalAverage="0" bottom="0" percent="0" rank="0" text="" dxfId="0">
      <formula>"Approve"</formula>
    </cfRule>
    <cfRule type="cellIs" priority="7" operator="equal" aboveAverage="0" equalAverage="0" bottom="0" percent="0" rank="0" text="" dxfId="1">
      <formula>"Approve with conditions"</formula>
    </cfRule>
    <cfRule type="cellIs" priority="8" operator="equal" aboveAverage="0" equalAverage="0" bottom="0" percent="0" rank="0" text="" dxfId="2">
      <formula>"Escalate"</formula>
    </cfRule>
    <cfRule type="cellIs" priority="9" operator="equal" aboveAverage="0" equalAverage="0" bottom="0" percent="0" rank="0" text="" dxfId="3">
      <formula>"Reject"</formula>
    </cfRule>
  </conditionalFormatting>
  <conditionalFormatting sqref="J6:J20">
    <cfRule type="cellIs" priority="10" operator="equal" aboveAverage="0" equalAverage="0" bottom="0" percent="0" rank="0" text="" dxfId="0">
      <formula>"Strong"</formula>
    </cfRule>
    <cfRule type="cellIs" priority="11" operator="equal" aboveAverage="0" equalAverage="0" bottom="0" percent="0" rank="0" text="" dxfId="16">
      <formula>"Adequate"</formula>
    </cfRule>
    <cfRule type="cellIs" priority="12" operator="equal" aboveAverage="0" equalAverage="0" bottom="0" percent="0" rank="0" text="" dxfId="1">
      <formula>"Weak"</formula>
    </cfRule>
    <cfRule type="cellIs" priority="13" operator="equal" aboveAverage="0" equalAverage="0" bottom="0" percent="0" rank="0" text="" dxfId="3">
      <formula>"Poor"</formula>
    </cfRule>
  </conditionalFormatting>
  <conditionalFormatting sqref="K6:K19">
    <cfRule type="cellIs" priority="14" operator="greaterThan" aboveAverage="0" equalAverage="0" bottom="0" percent="0" rank="0" text="" dxfId="3">
      <formula>0</formula>
    </cfRule>
  </conditionalFormatting>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2"/>
    <col collapsed="false" customWidth="true" hidden="false" outlineLevel="0" max="4" min="4" style="0" width="40"/>
    <col collapsed="false" customWidth="true" hidden="false" outlineLevel="0" max="6" min="5" style="0" width="32"/>
    <col collapsed="false" customWidth="true" hidden="false" outlineLevel="0" max="7" min="7" style="0" width="18"/>
    <col collapsed="false" customWidth="true" hidden="false" outlineLevel="0" max="9" min="8" style="0" width="16"/>
    <col collapsed="false" customWidth="true" hidden="false" outlineLevel="0" max="13" min="10" style="0" width="12"/>
    <col collapsed="false" customWidth="true" hidden="false" outlineLevel="0" max="15" min="14" style="0" width="10"/>
    <col collapsed="false" customWidth="true" hidden="false" outlineLevel="0" max="16" min="16" style="0" width="9"/>
  </cols>
  <sheetData>
    <row r="1" customFormat="false" ht="48" hidden="false" customHeight="true" outlineLevel="0" collapsed="false">
      <c r="B1" s="1" t="s">
        <v>527</v>
      </c>
    </row>
    <row r="2" customFormat="false" ht="18" hidden="false" customHeight="true" outlineLevel="0" collapsed="false">
      <c r="B2" s="2" t="s">
        <v>1</v>
      </c>
    </row>
    <row r="3" customFormat="false" ht="3.75" hidden="false" customHeight="true" outlineLevel="0" collapsed="false">
      <c r="A3" s="3"/>
      <c r="B3" s="3"/>
      <c r="C3" s="3"/>
      <c r="D3" s="3"/>
      <c r="E3" s="3"/>
      <c r="F3" s="3"/>
      <c r="G3" s="3"/>
      <c r="H3" s="3"/>
      <c r="I3" s="3"/>
      <c r="J3" s="3"/>
      <c r="K3" s="3"/>
      <c r="L3" s="3"/>
      <c r="M3" s="3"/>
      <c r="N3" s="3"/>
      <c r="O3" s="3"/>
      <c r="P3" s="3"/>
    </row>
    <row r="5" customFormat="false" ht="33.75" hidden="false" customHeight="true" outlineLevel="0" collapsed="false">
      <c r="A5" s="6" t="s">
        <v>528</v>
      </c>
      <c r="B5" s="6" t="s">
        <v>529</v>
      </c>
      <c r="C5" s="6" t="s">
        <v>23</v>
      </c>
      <c r="D5" s="6" t="s">
        <v>106</v>
      </c>
      <c r="E5" s="6" t="s">
        <v>530</v>
      </c>
      <c r="F5" s="6" t="s">
        <v>531</v>
      </c>
      <c r="G5" s="6" t="s">
        <v>532</v>
      </c>
      <c r="H5" s="6" t="s">
        <v>533</v>
      </c>
      <c r="I5" s="6" t="s">
        <v>534</v>
      </c>
      <c r="J5" s="6" t="s">
        <v>535</v>
      </c>
      <c r="K5" s="6" t="s">
        <v>536</v>
      </c>
      <c r="L5" s="6" t="s">
        <v>537</v>
      </c>
      <c r="M5" s="6" t="s">
        <v>538</v>
      </c>
      <c r="N5" s="6" t="s">
        <v>539</v>
      </c>
      <c r="O5" s="6" t="s">
        <v>540</v>
      </c>
      <c r="P5" s="6" t="s">
        <v>541</v>
      </c>
    </row>
    <row r="6" customFormat="false" ht="49.5" hidden="false" customHeight="true" outlineLevel="0" collapsed="false">
      <c r="A6" s="33" t="s">
        <v>542</v>
      </c>
      <c r="B6" s="33" t="s">
        <v>235</v>
      </c>
      <c r="C6" s="35" t="str">
        <f aca="false">IF(B6="","",IFERROR(INDEX(Questionnaire!$B$6:$B$93,MATCH(B6,Questionnaire!$A$6:$A$93,0)),"ID not in questionnaire"))</f>
        <v>5. Model change management</v>
      </c>
      <c r="D6" s="35" t="str">
        <f aca="false">IF(B6="","",IFERROR(INDEX(Questionnaire!$C$6:$C$93,MATCH(B6,Questionnaire!$A$6:$A$93,0)),""))</f>
        <v>Will the vendor notify us in advance of changes to the underlying model, model version, provider, system prompt or safety settings that can change output behaviour - and with how much notice?</v>
      </c>
      <c r="E6" s="33" t="s">
        <v>543</v>
      </c>
      <c r="F6" s="33" t="s">
        <v>544</v>
      </c>
      <c r="G6" s="33" t="s">
        <v>545</v>
      </c>
      <c r="H6" s="33" t="s">
        <v>546</v>
      </c>
      <c r="I6" s="33" t="s">
        <v>547</v>
      </c>
      <c r="J6" s="52" t="n">
        <v>46315</v>
      </c>
      <c r="K6" s="52" t="n">
        <v>46356</v>
      </c>
      <c r="L6" s="33" t="s">
        <v>548</v>
      </c>
      <c r="M6" s="52"/>
      <c r="N6" s="33" t="s">
        <v>71</v>
      </c>
      <c r="O6" s="35" t="str">
        <f aca="true">IF(OR(K6="",L6="Closed",L6="Risk accepted"),"",IF(K6&lt;TODAY(),"OVERDUE",""))</f>
        <v/>
      </c>
      <c r="P6" s="35" t="n">
        <f aca="true">IF(J6="","",IF(M6&lt;&gt;"",M6-J6,TODAY()-J6))</f>
        <v>7</v>
      </c>
    </row>
    <row r="7" customFormat="false" ht="49.5" hidden="false" customHeight="true" outlineLevel="0" collapsed="false">
      <c r="A7" s="33" t="s">
        <v>549</v>
      </c>
      <c r="B7" s="33" t="s">
        <v>152</v>
      </c>
      <c r="C7" s="35" t="str">
        <f aca="false">IF(B7="","",IFERROR(INDEX(Questionnaire!$B$6:$B$93,MATCH(B7,Questionnaire!$A$6:$A$93,0)),"ID not in questionnaire"))</f>
        <v>2. Retention of prompts, outputs and logs</v>
      </c>
      <c r="D7" s="35" t="str">
        <f aca="false">IF(B7="","",IFERROR(INDEX(Questionnaire!$C$6:$C$93,MATCH(B7,Questionnaire!$A$6:$A$93,0)),""))</f>
        <v>Does the model provider keep prompts or outputs (for example for abuse monitoring), for how long, and is a zero-data-retention or equivalent arrangement contracted for our tenant?</v>
      </c>
      <c r="E7" s="33" t="s">
        <v>550</v>
      </c>
      <c r="F7" s="33" t="s">
        <v>551</v>
      </c>
      <c r="G7" s="33" t="s">
        <v>552</v>
      </c>
      <c r="H7" s="33" t="s">
        <v>90</v>
      </c>
      <c r="I7" s="33" t="s">
        <v>553</v>
      </c>
      <c r="J7" s="52" t="n">
        <v>46301</v>
      </c>
      <c r="K7" s="52" t="n">
        <v>46319</v>
      </c>
      <c r="L7" s="33" t="s">
        <v>554</v>
      </c>
      <c r="M7" s="52"/>
      <c r="N7" s="33" t="s">
        <v>71</v>
      </c>
      <c r="O7" s="35" t="str">
        <f aca="true">IF(OR(K7="",L7="Closed",L7="Risk accepted"),"",IF(K7&lt;TODAY(),"OVERDUE",""))</f>
        <v>OVERDUE</v>
      </c>
      <c r="P7" s="35" t="n">
        <f aca="true">IF(J7="","",IF(M7&lt;&gt;"",M7-J7,TODAY()-J7))</f>
        <v>21</v>
      </c>
    </row>
    <row r="8" customFormat="false" ht="24" hidden="false" customHeight="true" outlineLevel="0" collapsed="false">
      <c r="A8" s="33"/>
      <c r="B8" s="33"/>
      <c r="C8" s="35" t="str">
        <f aca="false">IF(B8="","",IFERROR(INDEX(Questionnaire!$B$6:$B$93,MATCH(B8,Questionnaire!$A$6:$A$93,0)),"ID not in questionnaire"))</f>
        <v/>
      </c>
      <c r="D8" s="35" t="str">
        <f aca="false">IF(B8="","",IFERROR(INDEX(Questionnaire!$C$6:$C$93,MATCH(B8,Questionnaire!$A$6:$A$93,0)),""))</f>
        <v/>
      </c>
      <c r="E8" s="33"/>
      <c r="F8" s="33"/>
      <c r="G8" s="33"/>
      <c r="H8" s="33"/>
      <c r="I8" s="33"/>
      <c r="J8" s="52"/>
      <c r="K8" s="52"/>
      <c r="L8" s="33"/>
      <c r="M8" s="52"/>
      <c r="N8" s="33"/>
      <c r="O8" s="35" t="str">
        <f aca="true">IF(OR(K8="",L8="Closed",L8="Risk accepted"),"",IF(K8&lt;TODAY(),"OVERDUE",""))</f>
        <v/>
      </c>
      <c r="P8" s="35" t="str">
        <f aca="true">IF(J8="","",IF(M8&lt;&gt;"",M8-J8,TODAY()-J8))</f>
        <v/>
      </c>
    </row>
    <row r="9" customFormat="false" ht="24" hidden="false" customHeight="true" outlineLevel="0" collapsed="false">
      <c r="A9" s="33"/>
      <c r="B9" s="33"/>
      <c r="C9" s="35" t="str">
        <f aca="false">IF(B9="","",IFERROR(INDEX(Questionnaire!$B$6:$B$93,MATCH(B9,Questionnaire!$A$6:$A$93,0)),"ID not in questionnaire"))</f>
        <v/>
      </c>
      <c r="D9" s="35" t="str">
        <f aca="false">IF(B9="","",IFERROR(INDEX(Questionnaire!$C$6:$C$93,MATCH(B9,Questionnaire!$A$6:$A$93,0)),""))</f>
        <v/>
      </c>
      <c r="E9" s="33"/>
      <c r="F9" s="33"/>
      <c r="G9" s="33"/>
      <c r="H9" s="33"/>
      <c r="I9" s="33"/>
      <c r="J9" s="52"/>
      <c r="K9" s="52"/>
      <c r="L9" s="33"/>
      <c r="M9" s="52"/>
      <c r="N9" s="33"/>
      <c r="O9" s="35" t="str">
        <f aca="true">IF(OR(K9="",L9="Closed",L9="Risk accepted"),"",IF(K9&lt;TODAY(),"OVERDUE",""))</f>
        <v/>
      </c>
      <c r="P9" s="35" t="str">
        <f aca="true">IF(J9="","",IF(M9&lt;&gt;"",M9-J9,TODAY()-J9))</f>
        <v/>
      </c>
    </row>
    <row r="10" customFormat="false" ht="24" hidden="false" customHeight="true" outlineLevel="0" collapsed="false">
      <c r="A10" s="33"/>
      <c r="B10" s="33"/>
      <c r="C10" s="35" t="str">
        <f aca="false">IF(B10="","",IFERROR(INDEX(Questionnaire!$B$6:$B$93,MATCH(B10,Questionnaire!$A$6:$A$93,0)),"ID not in questionnaire"))</f>
        <v/>
      </c>
      <c r="D10" s="35" t="str">
        <f aca="false">IF(B10="","",IFERROR(INDEX(Questionnaire!$C$6:$C$93,MATCH(B10,Questionnaire!$A$6:$A$93,0)),""))</f>
        <v/>
      </c>
      <c r="E10" s="33"/>
      <c r="F10" s="33"/>
      <c r="G10" s="33"/>
      <c r="H10" s="33"/>
      <c r="I10" s="33"/>
      <c r="J10" s="52"/>
      <c r="K10" s="52"/>
      <c r="L10" s="33"/>
      <c r="M10" s="52"/>
      <c r="N10" s="33"/>
      <c r="O10" s="35" t="str">
        <f aca="true">IF(OR(K10="",L10="Closed",L10="Risk accepted"),"",IF(K10&lt;TODAY(),"OVERDUE",""))</f>
        <v/>
      </c>
      <c r="P10" s="35" t="str">
        <f aca="true">IF(J10="","",IF(M10&lt;&gt;"",M10-J10,TODAY()-J10))</f>
        <v/>
      </c>
    </row>
    <row r="11" customFormat="false" ht="24" hidden="false" customHeight="true" outlineLevel="0" collapsed="false">
      <c r="A11" s="33"/>
      <c r="B11" s="33"/>
      <c r="C11" s="35" t="str">
        <f aca="false">IF(B11="","",IFERROR(INDEX(Questionnaire!$B$6:$B$93,MATCH(B11,Questionnaire!$A$6:$A$93,0)),"ID not in questionnaire"))</f>
        <v/>
      </c>
      <c r="D11" s="35" t="str">
        <f aca="false">IF(B11="","",IFERROR(INDEX(Questionnaire!$C$6:$C$93,MATCH(B11,Questionnaire!$A$6:$A$93,0)),""))</f>
        <v/>
      </c>
      <c r="E11" s="33"/>
      <c r="F11" s="33"/>
      <c r="G11" s="33"/>
      <c r="H11" s="33"/>
      <c r="I11" s="33"/>
      <c r="J11" s="52"/>
      <c r="K11" s="52"/>
      <c r="L11" s="33"/>
      <c r="M11" s="52"/>
      <c r="N11" s="33"/>
      <c r="O11" s="35" t="str">
        <f aca="true">IF(OR(K11="",L11="Closed",L11="Risk accepted"),"",IF(K11&lt;TODAY(),"OVERDUE",""))</f>
        <v/>
      </c>
      <c r="P11" s="35" t="str">
        <f aca="true">IF(J11="","",IF(M11&lt;&gt;"",M11-J11,TODAY()-J11))</f>
        <v/>
      </c>
    </row>
    <row r="12" customFormat="false" ht="24" hidden="false" customHeight="true" outlineLevel="0" collapsed="false">
      <c r="A12" s="33"/>
      <c r="B12" s="33"/>
      <c r="C12" s="35" t="str">
        <f aca="false">IF(B12="","",IFERROR(INDEX(Questionnaire!$B$6:$B$93,MATCH(B12,Questionnaire!$A$6:$A$93,0)),"ID not in questionnaire"))</f>
        <v/>
      </c>
      <c r="D12" s="35" t="str">
        <f aca="false">IF(B12="","",IFERROR(INDEX(Questionnaire!$C$6:$C$93,MATCH(B12,Questionnaire!$A$6:$A$93,0)),""))</f>
        <v/>
      </c>
      <c r="E12" s="33"/>
      <c r="F12" s="33"/>
      <c r="G12" s="33"/>
      <c r="H12" s="33"/>
      <c r="I12" s="33"/>
      <c r="J12" s="52"/>
      <c r="K12" s="52"/>
      <c r="L12" s="33"/>
      <c r="M12" s="52"/>
      <c r="N12" s="33"/>
      <c r="O12" s="35" t="str">
        <f aca="true">IF(OR(K12="",L12="Closed",L12="Risk accepted"),"",IF(K12&lt;TODAY(),"OVERDUE",""))</f>
        <v/>
      </c>
      <c r="P12" s="35" t="str">
        <f aca="true">IF(J12="","",IF(M12&lt;&gt;"",M12-J12,TODAY()-J12))</f>
        <v/>
      </c>
    </row>
    <row r="13" customFormat="false" ht="24" hidden="false" customHeight="true" outlineLevel="0" collapsed="false">
      <c r="A13" s="33"/>
      <c r="B13" s="33"/>
      <c r="C13" s="35" t="str">
        <f aca="false">IF(B13="","",IFERROR(INDEX(Questionnaire!$B$6:$B$93,MATCH(B13,Questionnaire!$A$6:$A$93,0)),"ID not in questionnaire"))</f>
        <v/>
      </c>
      <c r="D13" s="35" t="str">
        <f aca="false">IF(B13="","",IFERROR(INDEX(Questionnaire!$C$6:$C$93,MATCH(B13,Questionnaire!$A$6:$A$93,0)),""))</f>
        <v/>
      </c>
      <c r="E13" s="33"/>
      <c r="F13" s="33"/>
      <c r="G13" s="33"/>
      <c r="H13" s="33"/>
      <c r="I13" s="33"/>
      <c r="J13" s="52"/>
      <c r="K13" s="52"/>
      <c r="L13" s="33"/>
      <c r="M13" s="52"/>
      <c r="N13" s="33"/>
      <c r="O13" s="35" t="str">
        <f aca="true">IF(OR(K13="",L13="Closed",L13="Risk accepted"),"",IF(K13&lt;TODAY(),"OVERDUE",""))</f>
        <v/>
      </c>
      <c r="P13" s="35" t="str">
        <f aca="true">IF(J13="","",IF(M13&lt;&gt;"",M13-J13,TODAY()-J13))</f>
        <v/>
      </c>
    </row>
    <row r="14" customFormat="false" ht="24" hidden="false" customHeight="true" outlineLevel="0" collapsed="false">
      <c r="A14" s="33"/>
      <c r="B14" s="33"/>
      <c r="C14" s="35" t="str">
        <f aca="false">IF(B14="","",IFERROR(INDEX(Questionnaire!$B$6:$B$93,MATCH(B14,Questionnaire!$A$6:$A$93,0)),"ID not in questionnaire"))</f>
        <v/>
      </c>
      <c r="D14" s="35" t="str">
        <f aca="false">IF(B14="","",IFERROR(INDEX(Questionnaire!$C$6:$C$93,MATCH(B14,Questionnaire!$A$6:$A$93,0)),""))</f>
        <v/>
      </c>
      <c r="E14" s="33"/>
      <c r="F14" s="33"/>
      <c r="G14" s="33"/>
      <c r="H14" s="33"/>
      <c r="I14" s="33"/>
      <c r="J14" s="52"/>
      <c r="K14" s="52"/>
      <c r="L14" s="33"/>
      <c r="M14" s="52"/>
      <c r="N14" s="33"/>
      <c r="O14" s="35" t="str">
        <f aca="true">IF(OR(K14="",L14="Closed",L14="Risk accepted"),"",IF(K14&lt;TODAY(),"OVERDUE",""))</f>
        <v/>
      </c>
      <c r="P14" s="35" t="str">
        <f aca="true">IF(J14="","",IF(M14&lt;&gt;"",M14-J14,TODAY()-J14))</f>
        <v/>
      </c>
    </row>
    <row r="15" customFormat="false" ht="24" hidden="false" customHeight="true" outlineLevel="0" collapsed="false">
      <c r="A15" s="33"/>
      <c r="B15" s="33"/>
      <c r="C15" s="35" t="str">
        <f aca="false">IF(B15="","",IFERROR(INDEX(Questionnaire!$B$6:$B$93,MATCH(B15,Questionnaire!$A$6:$A$93,0)),"ID not in questionnaire"))</f>
        <v/>
      </c>
      <c r="D15" s="35" t="str">
        <f aca="false">IF(B15="","",IFERROR(INDEX(Questionnaire!$C$6:$C$93,MATCH(B15,Questionnaire!$A$6:$A$93,0)),""))</f>
        <v/>
      </c>
      <c r="E15" s="33"/>
      <c r="F15" s="33"/>
      <c r="G15" s="33"/>
      <c r="H15" s="33"/>
      <c r="I15" s="33"/>
      <c r="J15" s="52"/>
      <c r="K15" s="52"/>
      <c r="L15" s="33"/>
      <c r="M15" s="52"/>
      <c r="N15" s="33"/>
      <c r="O15" s="35" t="str">
        <f aca="true">IF(OR(K15="",L15="Closed",L15="Risk accepted"),"",IF(K15&lt;TODAY(),"OVERDUE",""))</f>
        <v/>
      </c>
      <c r="P15" s="35" t="str">
        <f aca="true">IF(J15="","",IF(M15&lt;&gt;"",M15-J15,TODAY()-J15))</f>
        <v/>
      </c>
    </row>
    <row r="16" customFormat="false" ht="24" hidden="false" customHeight="true" outlineLevel="0" collapsed="false">
      <c r="A16" s="33"/>
      <c r="B16" s="33"/>
      <c r="C16" s="35" t="str">
        <f aca="false">IF(B16="","",IFERROR(INDEX(Questionnaire!$B$6:$B$93,MATCH(B16,Questionnaire!$A$6:$A$93,0)),"ID not in questionnaire"))</f>
        <v/>
      </c>
      <c r="D16" s="35" t="str">
        <f aca="false">IF(B16="","",IFERROR(INDEX(Questionnaire!$C$6:$C$93,MATCH(B16,Questionnaire!$A$6:$A$93,0)),""))</f>
        <v/>
      </c>
      <c r="E16" s="33"/>
      <c r="F16" s="33"/>
      <c r="G16" s="33"/>
      <c r="H16" s="33"/>
      <c r="I16" s="33"/>
      <c r="J16" s="52"/>
      <c r="K16" s="52"/>
      <c r="L16" s="33"/>
      <c r="M16" s="52"/>
      <c r="N16" s="33"/>
      <c r="O16" s="35" t="str">
        <f aca="true">IF(OR(K16="",L16="Closed",L16="Risk accepted"),"",IF(K16&lt;TODAY(),"OVERDUE",""))</f>
        <v/>
      </c>
      <c r="P16" s="35" t="str">
        <f aca="true">IF(J16="","",IF(M16&lt;&gt;"",M16-J16,TODAY()-J16))</f>
        <v/>
      </c>
    </row>
    <row r="17" customFormat="false" ht="24" hidden="false" customHeight="true" outlineLevel="0" collapsed="false">
      <c r="A17" s="33"/>
      <c r="B17" s="33"/>
      <c r="C17" s="35" t="str">
        <f aca="false">IF(B17="","",IFERROR(INDEX(Questionnaire!$B$6:$B$93,MATCH(B17,Questionnaire!$A$6:$A$93,0)),"ID not in questionnaire"))</f>
        <v/>
      </c>
      <c r="D17" s="35" t="str">
        <f aca="false">IF(B17="","",IFERROR(INDEX(Questionnaire!$C$6:$C$93,MATCH(B17,Questionnaire!$A$6:$A$93,0)),""))</f>
        <v/>
      </c>
      <c r="E17" s="33"/>
      <c r="F17" s="33"/>
      <c r="G17" s="33"/>
      <c r="H17" s="33"/>
      <c r="I17" s="33"/>
      <c r="J17" s="52"/>
      <c r="K17" s="52"/>
      <c r="L17" s="33"/>
      <c r="M17" s="52"/>
      <c r="N17" s="33"/>
      <c r="O17" s="35" t="str">
        <f aca="true">IF(OR(K17="",L17="Closed",L17="Risk accepted"),"",IF(K17&lt;TODAY(),"OVERDUE",""))</f>
        <v/>
      </c>
      <c r="P17" s="35" t="str">
        <f aca="true">IF(J17="","",IF(M17&lt;&gt;"",M17-J17,TODAY()-J17))</f>
        <v/>
      </c>
    </row>
    <row r="18" customFormat="false" ht="24" hidden="false" customHeight="true" outlineLevel="0" collapsed="false">
      <c r="A18" s="33"/>
      <c r="B18" s="33"/>
      <c r="C18" s="35" t="str">
        <f aca="false">IF(B18="","",IFERROR(INDEX(Questionnaire!$B$6:$B$93,MATCH(B18,Questionnaire!$A$6:$A$93,0)),"ID not in questionnaire"))</f>
        <v/>
      </c>
      <c r="D18" s="35" t="str">
        <f aca="false">IF(B18="","",IFERROR(INDEX(Questionnaire!$C$6:$C$93,MATCH(B18,Questionnaire!$A$6:$A$93,0)),""))</f>
        <v/>
      </c>
      <c r="E18" s="33"/>
      <c r="F18" s="33"/>
      <c r="G18" s="33"/>
      <c r="H18" s="33"/>
      <c r="I18" s="33"/>
      <c r="J18" s="52"/>
      <c r="K18" s="52"/>
      <c r="L18" s="33"/>
      <c r="M18" s="52"/>
      <c r="N18" s="33"/>
      <c r="O18" s="35" t="str">
        <f aca="true">IF(OR(K18="",L18="Closed",L18="Risk accepted"),"",IF(K18&lt;TODAY(),"OVERDUE",""))</f>
        <v/>
      </c>
      <c r="P18" s="35" t="str">
        <f aca="true">IF(J18="","",IF(M18&lt;&gt;"",M18-J18,TODAY()-J18))</f>
        <v/>
      </c>
    </row>
    <row r="19" customFormat="false" ht="24" hidden="false" customHeight="true" outlineLevel="0" collapsed="false">
      <c r="A19" s="33"/>
      <c r="B19" s="33"/>
      <c r="C19" s="35" t="str">
        <f aca="false">IF(B19="","",IFERROR(INDEX(Questionnaire!$B$6:$B$93,MATCH(B19,Questionnaire!$A$6:$A$93,0)),"ID not in questionnaire"))</f>
        <v/>
      </c>
      <c r="D19" s="35" t="str">
        <f aca="false">IF(B19="","",IFERROR(INDEX(Questionnaire!$C$6:$C$93,MATCH(B19,Questionnaire!$A$6:$A$93,0)),""))</f>
        <v/>
      </c>
      <c r="E19" s="33"/>
      <c r="F19" s="33"/>
      <c r="G19" s="33"/>
      <c r="H19" s="33"/>
      <c r="I19" s="33"/>
      <c r="J19" s="52"/>
      <c r="K19" s="52"/>
      <c r="L19" s="33"/>
      <c r="M19" s="52"/>
      <c r="N19" s="33"/>
      <c r="O19" s="35" t="str">
        <f aca="true">IF(OR(K19="",L19="Closed",L19="Risk accepted"),"",IF(K19&lt;TODAY(),"OVERDUE",""))</f>
        <v/>
      </c>
      <c r="P19" s="35" t="str">
        <f aca="true">IF(J19="","",IF(M19&lt;&gt;"",M19-J19,TODAY()-J19))</f>
        <v/>
      </c>
    </row>
    <row r="20" customFormat="false" ht="24" hidden="false" customHeight="true" outlineLevel="0" collapsed="false">
      <c r="A20" s="33"/>
      <c r="B20" s="33"/>
      <c r="C20" s="35" t="str">
        <f aca="false">IF(B20="","",IFERROR(INDEX(Questionnaire!$B$6:$B$93,MATCH(B20,Questionnaire!$A$6:$A$93,0)),"ID not in questionnaire"))</f>
        <v/>
      </c>
      <c r="D20" s="35" t="str">
        <f aca="false">IF(B20="","",IFERROR(INDEX(Questionnaire!$C$6:$C$93,MATCH(B20,Questionnaire!$A$6:$A$93,0)),""))</f>
        <v/>
      </c>
      <c r="E20" s="33"/>
      <c r="F20" s="33"/>
      <c r="G20" s="33"/>
      <c r="H20" s="33"/>
      <c r="I20" s="33"/>
      <c r="J20" s="52"/>
      <c r="K20" s="52"/>
      <c r="L20" s="33"/>
      <c r="M20" s="52"/>
      <c r="N20" s="33"/>
      <c r="O20" s="35" t="str">
        <f aca="true">IF(OR(K20="",L20="Closed",L20="Risk accepted"),"",IF(K20&lt;TODAY(),"OVERDUE",""))</f>
        <v/>
      </c>
      <c r="P20" s="35" t="str">
        <f aca="true">IF(J20="","",IF(M20&lt;&gt;"",M20-J20,TODAY()-J20))</f>
        <v/>
      </c>
    </row>
    <row r="21" customFormat="false" ht="24" hidden="false" customHeight="true" outlineLevel="0" collapsed="false">
      <c r="A21" s="33"/>
      <c r="B21" s="33"/>
      <c r="C21" s="35" t="str">
        <f aca="false">IF(B21="","",IFERROR(INDEX(Questionnaire!$B$6:$B$93,MATCH(B21,Questionnaire!$A$6:$A$93,0)),"ID not in questionnaire"))</f>
        <v/>
      </c>
      <c r="D21" s="35" t="str">
        <f aca="false">IF(B21="","",IFERROR(INDEX(Questionnaire!$C$6:$C$93,MATCH(B21,Questionnaire!$A$6:$A$93,0)),""))</f>
        <v/>
      </c>
      <c r="E21" s="33"/>
      <c r="F21" s="33"/>
      <c r="G21" s="33"/>
      <c r="H21" s="33"/>
      <c r="I21" s="33"/>
      <c r="J21" s="52"/>
      <c r="K21" s="52"/>
      <c r="L21" s="33"/>
      <c r="M21" s="52"/>
      <c r="N21" s="33"/>
      <c r="O21" s="35" t="str">
        <f aca="true">IF(OR(K21="",L21="Closed",L21="Risk accepted"),"",IF(K21&lt;TODAY(),"OVERDUE",""))</f>
        <v/>
      </c>
      <c r="P21" s="35" t="str">
        <f aca="true">IF(J21="","",IF(M21&lt;&gt;"",M21-J21,TODAY()-J21))</f>
        <v/>
      </c>
    </row>
    <row r="22" customFormat="false" ht="24" hidden="false" customHeight="true" outlineLevel="0" collapsed="false">
      <c r="A22" s="33"/>
      <c r="B22" s="33"/>
      <c r="C22" s="35" t="str">
        <f aca="false">IF(B22="","",IFERROR(INDEX(Questionnaire!$B$6:$B$93,MATCH(B22,Questionnaire!$A$6:$A$93,0)),"ID not in questionnaire"))</f>
        <v/>
      </c>
      <c r="D22" s="35" t="str">
        <f aca="false">IF(B22="","",IFERROR(INDEX(Questionnaire!$C$6:$C$93,MATCH(B22,Questionnaire!$A$6:$A$93,0)),""))</f>
        <v/>
      </c>
      <c r="E22" s="33"/>
      <c r="F22" s="33"/>
      <c r="G22" s="33"/>
      <c r="H22" s="33"/>
      <c r="I22" s="33"/>
      <c r="J22" s="52"/>
      <c r="K22" s="52"/>
      <c r="L22" s="33"/>
      <c r="M22" s="52"/>
      <c r="N22" s="33"/>
      <c r="O22" s="35" t="str">
        <f aca="true">IF(OR(K22="",L22="Closed",L22="Risk accepted"),"",IF(K22&lt;TODAY(),"OVERDUE",""))</f>
        <v/>
      </c>
      <c r="P22" s="35" t="str">
        <f aca="true">IF(J22="","",IF(M22&lt;&gt;"",M22-J22,TODAY()-J22))</f>
        <v/>
      </c>
    </row>
    <row r="23" customFormat="false" ht="24" hidden="false" customHeight="true" outlineLevel="0" collapsed="false">
      <c r="A23" s="33"/>
      <c r="B23" s="33"/>
      <c r="C23" s="35" t="str">
        <f aca="false">IF(B23="","",IFERROR(INDEX(Questionnaire!$B$6:$B$93,MATCH(B23,Questionnaire!$A$6:$A$93,0)),"ID not in questionnaire"))</f>
        <v/>
      </c>
      <c r="D23" s="35" t="str">
        <f aca="false">IF(B23="","",IFERROR(INDEX(Questionnaire!$C$6:$C$93,MATCH(B23,Questionnaire!$A$6:$A$93,0)),""))</f>
        <v/>
      </c>
      <c r="E23" s="33"/>
      <c r="F23" s="33"/>
      <c r="G23" s="33"/>
      <c r="H23" s="33"/>
      <c r="I23" s="33"/>
      <c r="J23" s="52"/>
      <c r="K23" s="52"/>
      <c r="L23" s="33"/>
      <c r="M23" s="52"/>
      <c r="N23" s="33"/>
      <c r="O23" s="35" t="str">
        <f aca="true">IF(OR(K23="",L23="Closed",L23="Risk accepted"),"",IF(K23&lt;TODAY(),"OVERDUE",""))</f>
        <v/>
      </c>
      <c r="P23" s="35" t="str">
        <f aca="true">IF(J23="","",IF(M23&lt;&gt;"",M23-J23,TODAY()-J23))</f>
        <v/>
      </c>
    </row>
    <row r="24" customFormat="false" ht="24" hidden="false" customHeight="true" outlineLevel="0" collapsed="false">
      <c r="A24" s="33"/>
      <c r="B24" s="33"/>
      <c r="C24" s="35" t="str">
        <f aca="false">IF(B24="","",IFERROR(INDEX(Questionnaire!$B$6:$B$93,MATCH(B24,Questionnaire!$A$6:$A$93,0)),"ID not in questionnaire"))</f>
        <v/>
      </c>
      <c r="D24" s="35" t="str">
        <f aca="false">IF(B24="","",IFERROR(INDEX(Questionnaire!$C$6:$C$93,MATCH(B24,Questionnaire!$A$6:$A$93,0)),""))</f>
        <v/>
      </c>
      <c r="E24" s="33"/>
      <c r="F24" s="33"/>
      <c r="G24" s="33"/>
      <c r="H24" s="33"/>
      <c r="I24" s="33"/>
      <c r="J24" s="52"/>
      <c r="K24" s="52"/>
      <c r="L24" s="33"/>
      <c r="M24" s="52"/>
      <c r="N24" s="33"/>
      <c r="O24" s="35" t="str">
        <f aca="true">IF(OR(K24="",L24="Closed",L24="Risk accepted"),"",IF(K24&lt;TODAY(),"OVERDUE",""))</f>
        <v/>
      </c>
      <c r="P24" s="35" t="str">
        <f aca="true">IF(J24="","",IF(M24&lt;&gt;"",M24-J24,TODAY()-J24))</f>
        <v/>
      </c>
    </row>
    <row r="25" customFormat="false" ht="24" hidden="false" customHeight="true" outlineLevel="0" collapsed="false">
      <c r="A25" s="33"/>
      <c r="B25" s="33"/>
      <c r="C25" s="35" t="str">
        <f aca="false">IF(B25="","",IFERROR(INDEX(Questionnaire!$B$6:$B$93,MATCH(B25,Questionnaire!$A$6:$A$93,0)),"ID not in questionnaire"))</f>
        <v/>
      </c>
      <c r="D25" s="35" t="str">
        <f aca="false">IF(B25="","",IFERROR(INDEX(Questionnaire!$C$6:$C$93,MATCH(B25,Questionnaire!$A$6:$A$93,0)),""))</f>
        <v/>
      </c>
      <c r="E25" s="33"/>
      <c r="F25" s="33"/>
      <c r="G25" s="33"/>
      <c r="H25" s="33"/>
      <c r="I25" s="33"/>
      <c r="J25" s="52"/>
      <c r="K25" s="52"/>
      <c r="L25" s="33"/>
      <c r="M25" s="52"/>
      <c r="N25" s="33"/>
      <c r="O25" s="35" t="str">
        <f aca="true">IF(OR(K25="",L25="Closed",L25="Risk accepted"),"",IF(K25&lt;TODAY(),"OVERDUE",""))</f>
        <v/>
      </c>
      <c r="P25" s="35" t="str">
        <f aca="true">IF(J25="","",IF(M25&lt;&gt;"",M25-J25,TODAY()-J25))</f>
        <v/>
      </c>
    </row>
    <row r="26" customFormat="false" ht="24" hidden="false" customHeight="true" outlineLevel="0" collapsed="false">
      <c r="A26" s="33"/>
      <c r="B26" s="33"/>
      <c r="C26" s="35" t="str">
        <f aca="false">IF(B26="","",IFERROR(INDEX(Questionnaire!$B$6:$B$93,MATCH(B26,Questionnaire!$A$6:$A$93,0)),"ID not in questionnaire"))</f>
        <v/>
      </c>
      <c r="D26" s="35" t="str">
        <f aca="false">IF(B26="","",IFERROR(INDEX(Questionnaire!$C$6:$C$93,MATCH(B26,Questionnaire!$A$6:$A$93,0)),""))</f>
        <v/>
      </c>
      <c r="E26" s="33"/>
      <c r="F26" s="33"/>
      <c r="G26" s="33"/>
      <c r="H26" s="33"/>
      <c r="I26" s="33"/>
      <c r="J26" s="52"/>
      <c r="K26" s="52"/>
      <c r="L26" s="33"/>
      <c r="M26" s="52"/>
      <c r="N26" s="33"/>
      <c r="O26" s="35" t="str">
        <f aca="true">IF(OR(K26="",L26="Closed",L26="Risk accepted"),"",IF(K26&lt;TODAY(),"OVERDUE",""))</f>
        <v/>
      </c>
      <c r="P26" s="35" t="str">
        <f aca="true">IF(J26="","",IF(M26&lt;&gt;"",M26-J26,TODAY()-J26))</f>
        <v/>
      </c>
    </row>
    <row r="27" customFormat="false" ht="24" hidden="false" customHeight="true" outlineLevel="0" collapsed="false">
      <c r="A27" s="33"/>
      <c r="B27" s="33"/>
      <c r="C27" s="35" t="str">
        <f aca="false">IF(B27="","",IFERROR(INDEX(Questionnaire!$B$6:$B$93,MATCH(B27,Questionnaire!$A$6:$A$93,0)),"ID not in questionnaire"))</f>
        <v/>
      </c>
      <c r="D27" s="35" t="str">
        <f aca="false">IF(B27="","",IFERROR(INDEX(Questionnaire!$C$6:$C$93,MATCH(B27,Questionnaire!$A$6:$A$93,0)),""))</f>
        <v/>
      </c>
      <c r="E27" s="33"/>
      <c r="F27" s="33"/>
      <c r="G27" s="33"/>
      <c r="H27" s="33"/>
      <c r="I27" s="33"/>
      <c r="J27" s="52"/>
      <c r="K27" s="52"/>
      <c r="L27" s="33"/>
      <c r="M27" s="52"/>
      <c r="N27" s="33"/>
      <c r="O27" s="35" t="str">
        <f aca="true">IF(OR(K27="",L27="Closed",L27="Risk accepted"),"",IF(K27&lt;TODAY(),"OVERDUE",""))</f>
        <v/>
      </c>
      <c r="P27" s="35" t="str">
        <f aca="true">IF(J27="","",IF(M27&lt;&gt;"",M27-J27,TODAY()-J27))</f>
        <v/>
      </c>
    </row>
    <row r="28" customFormat="false" ht="24" hidden="false" customHeight="true" outlineLevel="0" collapsed="false">
      <c r="A28" s="33"/>
      <c r="B28" s="33"/>
      <c r="C28" s="35" t="str">
        <f aca="false">IF(B28="","",IFERROR(INDEX(Questionnaire!$B$6:$B$93,MATCH(B28,Questionnaire!$A$6:$A$93,0)),"ID not in questionnaire"))</f>
        <v/>
      </c>
      <c r="D28" s="35" t="str">
        <f aca="false">IF(B28="","",IFERROR(INDEX(Questionnaire!$C$6:$C$93,MATCH(B28,Questionnaire!$A$6:$A$93,0)),""))</f>
        <v/>
      </c>
      <c r="E28" s="33"/>
      <c r="F28" s="33"/>
      <c r="G28" s="33"/>
      <c r="H28" s="33"/>
      <c r="I28" s="33"/>
      <c r="J28" s="52"/>
      <c r="K28" s="52"/>
      <c r="L28" s="33"/>
      <c r="M28" s="52"/>
      <c r="N28" s="33"/>
      <c r="O28" s="35" t="str">
        <f aca="true">IF(OR(K28="",L28="Closed",L28="Risk accepted"),"",IF(K28&lt;TODAY(),"OVERDUE",""))</f>
        <v/>
      </c>
      <c r="P28" s="35" t="str">
        <f aca="true">IF(J28="","",IF(M28&lt;&gt;"",M28-J28,TODAY()-J28))</f>
        <v/>
      </c>
    </row>
    <row r="29" customFormat="false" ht="24" hidden="false" customHeight="true" outlineLevel="0" collapsed="false">
      <c r="A29" s="33"/>
      <c r="B29" s="33"/>
      <c r="C29" s="35" t="str">
        <f aca="false">IF(B29="","",IFERROR(INDEX(Questionnaire!$B$6:$B$93,MATCH(B29,Questionnaire!$A$6:$A$93,0)),"ID not in questionnaire"))</f>
        <v/>
      </c>
      <c r="D29" s="35" t="str">
        <f aca="false">IF(B29="","",IFERROR(INDEX(Questionnaire!$C$6:$C$93,MATCH(B29,Questionnaire!$A$6:$A$93,0)),""))</f>
        <v/>
      </c>
      <c r="E29" s="33"/>
      <c r="F29" s="33"/>
      <c r="G29" s="33"/>
      <c r="H29" s="33"/>
      <c r="I29" s="33"/>
      <c r="J29" s="52"/>
      <c r="K29" s="52"/>
      <c r="L29" s="33"/>
      <c r="M29" s="52"/>
      <c r="N29" s="33"/>
      <c r="O29" s="35" t="str">
        <f aca="true">IF(OR(K29="",L29="Closed",L29="Risk accepted"),"",IF(K29&lt;TODAY(),"OVERDUE",""))</f>
        <v/>
      </c>
      <c r="P29" s="35" t="str">
        <f aca="true">IF(J29="","",IF(M29&lt;&gt;"",M29-J29,TODAY()-J29))</f>
        <v/>
      </c>
    </row>
    <row r="30" customFormat="false" ht="24" hidden="false" customHeight="true" outlineLevel="0" collapsed="false">
      <c r="A30" s="33"/>
      <c r="B30" s="33"/>
      <c r="C30" s="35" t="str">
        <f aca="false">IF(B30="","",IFERROR(INDEX(Questionnaire!$B$6:$B$93,MATCH(B30,Questionnaire!$A$6:$A$93,0)),"ID not in questionnaire"))</f>
        <v/>
      </c>
      <c r="D30" s="35" t="str">
        <f aca="false">IF(B30="","",IFERROR(INDEX(Questionnaire!$C$6:$C$93,MATCH(B30,Questionnaire!$A$6:$A$93,0)),""))</f>
        <v/>
      </c>
      <c r="E30" s="33"/>
      <c r="F30" s="33"/>
      <c r="G30" s="33"/>
      <c r="H30" s="33"/>
      <c r="I30" s="33"/>
      <c r="J30" s="52"/>
      <c r="K30" s="52"/>
      <c r="L30" s="33"/>
      <c r="M30" s="52"/>
      <c r="N30" s="33"/>
      <c r="O30" s="35" t="str">
        <f aca="true">IF(OR(K30="",L30="Closed",L30="Risk accepted"),"",IF(K30&lt;TODAY(),"OVERDUE",""))</f>
        <v/>
      </c>
      <c r="P30" s="35" t="str">
        <f aca="true">IF(J30="","",IF(M30&lt;&gt;"",M30-J30,TODAY()-J30))</f>
        <v/>
      </c>
    </row>
    <row r="31" customFormat="false" ht="24" hidden="false" customHeight="true" outlineLevel="0" collapsed="false">
      <c r="A31" s="33"/>
      <c r="B31" s="33"/>
      <c r="C31" s="35" t="str">
        <f aca="false">IF(B31="","",IFERROR(INDEX(Questionnaire!$B$6:$B$93,MATCH(B31,Questionnaire!$A$6:$A$93,0)),"ID not in questionnaire"))</f>
        <v/>
      </c>
      <c r="D31" s="35" t="str">
        <f aca="false">IF(B31="","",IFERROR(INDEX(Questionnaire!$C$6:$C$93,MATCH(B31,Questionnaire!$A$6:$A$93,0)),""))</f>
        <v/>
      </c>
      <c r="E31" s="33"/>
      <c r="F31" s="33"/>
      <c r="G31" s="33"/>
      <c r="H31" s="33"/>
      <c r="I31" s="33"/>
      <c r="J31" s="52"/>
      <c r="K31" s="52"/>
      <c r="L31" s="33"/>
      <c r="M31" s="52"/>
      <c r="N31" s="33"/>
      <c r="O31" s="35" t="str">
        <f aca="true">IF(OR(K31="",L31="Closed",L31="Risk accepted"),"",IF(K31&lt;TODAY(),"OVERDUE",""))</f>
        <v/>
      </c>
      <c r="P31" s="35" t="str">
        <f aca="true">IF(J31="","",IF(M31&lt;&gt;"",M31-J31,TODAY()-J31))</f>
        <v/>
      </c>
    </row>
    <row r="32" customFormat="false" ht="24" hidden="false" customHeight="true" outlineLevel="0" collapsed="false">
      <c r="A32" s="33"/>
      <c r="B32" s="33"/>
      <c r="C32" s="35" t="str">
        <f aca="false">IF(B32="","",IFERROR(INDEX(Questionnaire!$B$6:$B$93,MATCH(B32,Questionnaire!$A$6:$A$93,0)),"ID not in questionnaire"))</f>
        <v/>
      </c>
      <c r="D32" s="35" t="str">
        <f aca="false">IF(B32="","",IFERROR(INDEX(Questionnaire!$C$6:$C$93,MATCH(B32,Questionnaire!$A$6:$A$93,0)),""))</f>
        <v/>
      </c>
      <c r="E32" s="33"/>
      <c r="F32" s="33"/>
      <c r="G32" s="33"/>
      <c r="H32" s="33"/>
      <c r="I32" s="33"/>
      <c r="J32" s="52"/>
      <c r="K32" s="52"/>
      <c r="L32" s="33"/>
      <c r="M32" s="52"/>
      <c r="N32" s="33"/>
      <c r="O32" s="35" t="str">
        <f aca="true">IF(OR(K32="",L32="Closed",L32="Risk accepted"),"",IF(K32&lt;TODAY(),"OVERDUE",""))</f>
        <v/>
      </c>
      <c r="P32" s="35" t="str">
        <f aca="true">IF(J32="","",IF(M32&lt;&gt;"",M32-J32,TODAY()-J32))</f>
        <v/>
      </c>
    </row>
    <row r="33" customFormat="false" ht="24" hidden="false" customHeight="true" outlineLevel="0" collapsed="false">
      <c r="A33" s="33"/>
      <c r="B33" s="33"/>
      <c r="C33" s="35" t="str">
        <f aca="false">IF(B33="","",IFERROR(INDEX(Questionnaire!$B$6:$B$93,MATCH(B33,Questionnaire!$A$6:$A$93,0)),"ID not in questionnaire"))</f>
        <v/>
      </c>
      <c r="D33" s="35" t="str">
        <f aca="false">IF(B33="","",IFERROR(INDEX(Questionnaire!$C$6:$C$93,MATCH(B33,Questionnaire!$A$6:$A$93,0)),""))</f>
        <v/>
      </c>
      <c r="E33" s="33"/>
      <c r="F33" s="33"/>
      <c r="G33" s="33"/>
      <c r="H33" s="33"/>
      <c r="I33" s="33"/>
      <c r="J33" s="52"/>
      <c r="K33" s="52"/>
      <c r="L33" s="33"/>
      <c r="M33" s="52"/>
      <c r="N33" s="33"/>
      <c r="O33" s="35" t="str">
        <f aca="true">IF(OR(K33="",L33="Closed",L33="Risk accepted"),"",IF(K33&lt;TODAY(),"OVERDUE",""))</f>
        <v/>
      </c>
      <c r="P33" s="35" t="str">
        <f aca="true">IF(J33="","",IF(M33&lt;&gt;"",M33-J33,TODAY()-J33))</f>
        <v/>
      </c>
    </row>
    <row r="34" customFormat="false" ht="24" hidden="false" customHeight="true" outlineLevel="0" collapsed="false">
      <c r="A34" s="33"/>
      <c r="B34" s="33"/>
      <c r="C34" s="35" t="str">
        <f aca="false">IF(B34="","",IFERROR(INDEX(Questionnaire!$B$6:$B$93,MATCH(B34,Questionnaire!$A$6:$A$93,0)),"ID not in questionnaire"))</f>
        <v/>
      </c>
      <c r="D34" s="35" t="str">
        <f aca="false">IF(B34="","",IFERROR(INDEX(Questionnaire!$C$6:$C$93,MATCH(B34,Questionnaire!$A$6:$A$93,0)),""))</f>
        <v/>
      </c>
      <c r="E34" s="33"/>
      <c r="F34" s="33"/>
      <c r="G34" s="33"/>
      <c r="H34" s="33"/>
      <c r="I34" s="33"/>
      <c r="J34" s="52"/>
      <c r="K34" s="52"/>
      <c r="L34" s="33"/>
      <c r="M34" s="52"/>
      <c r="N34" s="33"/>
      <c r="O34" s="35" t="str">
        <f aca="true">IF(OR(K34="",L34="Closed",L34="Risk accepted"),"",IF(K34&lt;TODAY(),"OVERDUE",""))</f>
        <v/>
      </c>
      <c r="P34" s="35" t="str">
        <f aca="true">IF(J34="","",IF(M34&lt;&gt;"",M34-J34,TODAY()-J34))</f>
        <v/>
      </c>
    </row>
    <row r="35" customFormat="false" ht="24" hidden="false" customHeight="true" outlineLevel="0" collapsed="false">
      <c r="A35" s="33"/>
      <c r="B35" s="33"/>
      <c r="C35" s="35" t="str">
        <f aca="false">IF(B35="","",IFERROR(INDEX(Questionnaire!$B$6:$B$93,MATCH(B35,Questionnaire!$A$6:$A$93,0)),"ID not in questionnaire"))</f>
        <v/>
      </c>
      <c r="D35" s="35" t="str">
        <f aca="false">IF(B35="","",IFERROR(INDEX(Questionnaire!$C$6:$C$93,MATCH(B35,Questionnaire!$A$6:$A$93,0)),""))</f>
        <v/>
      </c>
      <c r="E35" s="33"/>
      <c r="F35" s="33"/>
      <c r="G35" s="33"/>
      <c r="H35" s="33"/>
      <c r="I35" s="33"/>
      <c r="J35" s="52"/>
      <c r="K35" s="52"/>
      <c r="L35" s="33"/>
      <c r="M35" s="52"/>
      <c r="N35" s="33"/>
      <c r="O35" s="35" t="str">
        <f aca="true">IF(OR(K35="",L35="Closed",L35="Risk accepted"),"",IF(K35&lt;TODAY(),"OVERDUE",""))</f>
        <v/>
      </c>
      <c r="P35" s="35" t="str">
        <f aca="true">IF(J35="","",IF(M35&lt;&gt;"",M35-J35,TODAY()-J35))</f>
        <v/>
      </c>
    </row>
    <row r="36" customFormat="false" ht="24" hidden="false" customHeight="true" outlineLevel="0" collapsed="false">
      <c r="A36" s="33"/>
      <c r="B36" s="33"/>
      <c r="C36" s="35" t="str">
        <f aca="false">IF(B36="","",IFERROR(INDEX(Questionnaire!$B$6:$B$93,MATCH(B36,Questionnaire!$A$6:$A$93,0)),"ID not in questionnaire"))</f>
        <v/>
      </c>
      <c r="D36" s="35" t="str">
        <f aca="false">IF(B36="","",IFERROR(INDEX(Questionnaire!$C$6:$C$93,MATCH(B36,Questionnaire!$A$6:$A$93,0)),""))</f>
        <v/>
      </c>
      <c r="E36" s="33"/>
      <c r="F36" s="33"/>
      <c r="G36" s="33"/>
      <c r="H36" s="33"/>
      <c r="I36" s="33"/>
      <c r="J36" s="52"/>
      <c r="K36" s="52"/>
      <c r="L36" s="33"/>
      <c r="M36" s="52"/>
      <c r="N36" s="33"/>
      <c r="O36" s="35" t="str">
        <f aca="true">IF(OR(K36="",L36="Closed",L36="Risk accepted"),"",IF(K36&lt;TODAY(),"OVERDUE",""))</f>
        <v/>
      </c>
      <c r="P36" s="35" t="str">
        <f aca="true">IF(J36="","",IF(M36&lt;&gt;"",M36-J36,TODAY()-J36))</f>
        <v/>
      </c>
    </row>
    <row r="37" customFormat="false" ht="24" hidden="false" customHeight="true" outlineLevel="0" collapsed="false">
      <c r="A37" s="33"/>
      <c r="B37" s="33"/>
      <c r="C37" s="35" t="str">
        <f aca="false">IF(B37="","",IFERROR(INDEX(Questionnaire!$B$6:$B$93,MATCH(B37,Questionnaire!$A$6:$A$93,0)),"ID not in questionnaire"))</f>
        <v/>
      </c>
      <c r="D37" s="35" t="str">
        <f aca="false">IF(B37="","",IFERROR(INDEX(Questionnaire!$C$6:$C$93,MATCH(B37,Questionnaire!$A$6:$A$93,0)),""))</f>
        <v/>
      </c>
      <c r="E37" s="33"/>
      <c r="F37" s="33"/>
      <c r="G37" s="33"/>
      <c r="H37" s="33"/>
      <c r="I37" s="33"/>
      <c r="J37" s="52"/>
      <c r="K37" s="52"/>
      <c r="L37" s="33"/>
      <c r="M37" s="52"/>
      <c r="N37" s="33"/>
      <c r="O37" s="35" t="str">
        <f aca="true">IF(OR(K37="",L37="Closed",L37="Risk accepted"),"",IF(K37&lt;TODAY(),"OVERDUE",""))</f>
        <v/>
      </c>
      <c r="P37" s="35" t="str">
        <f aca="true">IF(J37="","",IF(M37&lt;&gt;"",M37-J37,TODAY()-J37))</f>
        <v/>
      </c>
    </row>
    <row r="38" customFormat="false" ht="24" hidden="false" customHeight="true" outlineLevel="0" collapsed="false">
      <c r="A38" s="33"/>
      <c r="B38" s="33"/>
      <c r="C38" s="35" t="str">
        <f aca="false">IF(B38="","",IFERROR(INDEX(Questionnaire!$B$6:$B$93,MATCH(B38,Questionnaire!$A$6:$A$93,0)),"ID not in questionnaire"))</f>
        <v/>
      </c>
      <c r="D38" s="35" t="str">
        <f aca="false">IF(B38="","",IFERROR(INDEX(Questionnaire!$C$6:$C$93,MATCH(B38,Questionnaire!$A$6:$A$93,0)),""))</f>
        <v/>
      </c>
      <c r="E38" s="33"/>
      <c r="F38" s="33"/>
      <c r="G38" s="33"/>
      <c r="H38" s="33"/>
      <c r="I38" s="33"/>
      <c r="J38" s="52"/>
      <c r="K38" s="52"/>
      <c r="L38" s="33"/>
      <c r="M38" s="52"/>
      <c r="N38" s="33"/>
      <c r="O38" s="35" t="str">
        <f aca="true">IF(OR(K38="",L38="Closed",L38="Risk accepted"),"",IF(K38&lt;TODAY(),"OVERDUE",""))</f>
        <v/>
      </c>
      <c r="P38" s="35" t="str">
        <f aca="true">IF(J38="","",IF(M38&lt;&gt;"",M38-J38,TODAY()-J38))</f>
        <v/>
      </c>
    </row>
    <row r="39" customFormat="false" ht="24" hidden="false" customHeight="true" outlineLevel="0" collapsed="false">
      <c r="A39" s="33"/>
      <c r="B39" s="33"/>
      <c r="C39" s="35" t="str">
        <f aca="false">IF(B39="","",IFERROR(INDEX(Questionnaire!$B$6:$B$93,MATCH(B39,Questionnaire!$A$6:$A$93,0)),"ID not in questionnaire"))</f>
        <v/>
      </c>
      <c r="D39" s="35" t="str">
        <f aca="false">IF(B39="","",IFERROR(INDEX(Questionnaire!$C$6:$C$93,MATCH(B39,Questionnaire!$A$6:$A$93,0)),""))</f>
        <v/>
      </c>
      <c r="E39" s="33"/>
      <c r="F39" s="33"/>
      <c r="G39" s="33"/>
      <c r="H39" s="33"/>
      <c r="I39" s="33"/>
      <c r="J39" s="52"/>
      <c r="K39" s="52"/>
      <c r="L39" s="33"/>
      <c r="M39" s="52"/>
      <c r="N39" s="33"/>
      <c r="O39" s="35" t="str">
        <f aca="true">IF(OR(K39="",L39="Closed",L39="Risk accepted"),"",IF(K39&lt;TODAY(),"OVERDUE",""))</f>
        <v/>
      </c>
      <c r="P39" s="35" t="str">
        <f aca="true">IF(J39="","",IF(M39&lt;&gt;"",M39-J39,TODAY()-J39))</f>
        <v/>
      </c>
    </row>
    <row r="40" customFormat="false" ht="24" hidden="false" customHeight="true" outlineLevel="0" collapsed="false">
      <c r="A40" s="33"/>
      <c r="B40" s="33"/>
      <c r="C40" s="35" t="str">
        <f aca="false">IF(B40="","",IFERROR(INDEX(Questionnaire!$B$6:$B$93,MATCH(B40,Questionnaire!$A$6:$A$93,0)),"ID not in questionnaire"))</f>
        <v/>
      </c>
      <c r="D40" s="35" t="str">
        <f aca="false">IF(B40="","",IFERROR(INDEX(Questionnaire!$C$6:$C$93,MATCH(B40,Questionnaire!$A$6:$A$93,0)),""))</f>
        <v/>
      </c>
      <c r="E40" s="33"/>
      <c r="F40" s="33"/>
      <c r="G40" s="33"/>
      <c r="H40" s="33"/>
      <c r="I40" s="33"/>
      <c r="J40" s="52"/>
      <c r="K40" s="52"/>
      <c r="L40" s="33"/>
      <c r="M40" s="52"/>
      <c r="N40" s="33"/>
      <c r="O40" s="35" t="str">
        <f aca="true">IF(OR(K40="",L40="Closed",L40="Risk accepted"),"",IF(K40&lt;TODAY(),"OVERDUE",""))</f>
        <v/>
      </c>
      <c r="P40" s="35" t="str">
        <f aca="true">IF(J40="","",IF(M40&lt;&gt;"",M40-J40,TODAY()-J40))</f>
        <v/>
      </c>
    </row>
    <row r="41" customFormat="false" ht="24" hidden="false" customHeight="true" outlineLevel="0" collapsed="false">
      <c r="A41" s="33"/>
      <c r="B41" s="33"/>
      <c r="C41" s="35" t="str">
        <f aca="false">IF(B41="","",IFERROR(INDEX(Questionnaire!$B$6:$B$93,MATCH(B41,Questionnaire!$A$6:$A$93,0)),"ID not in questionnaire"))</f>
        <v/>
      </c>
      <c r="D41" s="35" t="str">
        <f aca="false">IF(B41="","",IFERROR(INDEX(Questionnaire!$C$6:$C$93,MATCH(B41,Questionnaire!$A$6:$A$93,0)),""))</f>
        <v/>
      </c>
      <c r="E41" s="33"/>
      <c r="F41" s="33"/>
      <c r="G41" s="33"/>
      <c r="H41" s="33"/>
      <c r="I41" s="33"/>
      <c r="J41" s="52"/>
      <c r="K41" s="52"/>
      <c r="L41" s="33"/>
      <c r="M41" s="52"/>
      <c r="N41" s="33"/>
      <c r="O41" s="35" t="str">
        <f aca="true">IF(OR(K41="",L41="Closed",L41="Risk accepted"),"",IF(K41&lt;TODAY(),"OVERDUE",""))</f>
        <v/>
      </c>
      <c r="P41" s="35" t="str">
        <f aca="true">IF(J41="","",IF(M41&lt;&gt;"",M41-J41,TODAY()-J41))</f>
        <v/>
      </c>
    </row>
    <row r="42" customFormat="false" ht="24" hidden="false" customHeight="true" outlineLevel="0" collapsed="false">
      <c r="A42" s="33"/>
      <c r="B42" s="33"/>
      <c r="C42" s="35" t="str">
        <f aca="false">IF(B42="","",IFERROR(INDEX(Questionnaire!$B$6:$B$93,MATCH(B42,Questionnaire!$A$6:$A$93,0)),"ID not in questionnaire"))</f>
        <v/>
      </c>
      <c r="D42" s="35" t="str">
        <f aca="false">IF(B42="","",IFERROR(INDEX(Questionnaire!$C$6:$C$93,MATCH(B42,Questionnaire!$A$6:$A$93,0)),""))</f>
        <v/>
      </c>
      <c r="E42" s="33"/>
      <c r="F42" s="33"/>
      <c r="G42" s="33"/>
      <c r="H42" s="33"/>
      <c r="I42" s="33"/>
      <c r="J42" s="52"/>
      <c r="K42" s="52"/>
      <c r="L42" s="33"/>
      <c r="M42" s="52"/>
      <c r="N42" s="33"/>
      <c r="O42" s="35" t="str">
        <f aca="true">IF(OR(K42="",L42="Closed",L42="Risk accepted"),"",IF(K42&lt;TODAY(),"OVERDUE",""))</f>
        <v/>
      </c>
      <c r="P42" s="35" t="str">
        <f aca="true">IF(J42="","",IF(M42&lt;&gt;"",M42-J42,TODAY()-J42))</f>
        <v/>
      </c>
    </row>
    <row r="43" customFormat="false" ht="24" hidden="false" customHeight="true" outlineLevel="0" collapsed="false">
      <c r="A43" s="33"/>
      <c r="B43" s="33"/>
      <c r="C43" s="35" t="str">
        <f aca="false">IF(B43="","",IFERROR(INDEX(Questionnaire!$B$6:$B$93,MATCH(B43,Questionnaire!$A$6:$A$93,0)),"ID not in questionnaire"))</f>
        <v/>
      </c>
      <c r="D43" s="35" t="str">
        <f aca="false">IF(B43="","",IFERROR(INDEX(Questionnaire!$C$6:$C$93,MATCH(B43,Questionnaire!$A$6:$A$93,0)),""))</f>
        <v/>
      </c>
      <c r="E43" s="33"/>
      <c r="F43" s="33"/>
      <c r="G43" s="33"/>
      <c r="H43" s="33"/>
      <c r="I43" s="33"/>
      <c r="J43" s="52"/>
      <c r="K43" s="52"/>
      <c r="L43" s="33"/>
      <c r="M43" s="52"/>
      <c r="N43" s="33"/>
      <c r="O43" s="35" t="str">
        <f aca="true">IF(OR(K43="",L43="Closed",L43="Risk accepted"),"",IF(K43&lt;TODAY(),"OVERDUE",""))</f>
        <v/>
      </c>
      <c r="P43" s="35" t="str">
        <f aca="true">IF(J43="","",IF(M43&lt;&gt;"",M43-J43,TODAY()-J43))</f>
        <v/>
      </c>
    </row>
    <row r="44" customFormat="false" ht="24" hidden="false" customHeight="true" outlineLevel="0" collapsed="false">
      <c r="A44" s="33"/>
      <c r="B44" s="33"/>
      <c r="C44" s="35" t="str">
        <f aca="false">IF(B44="","",IFERROR(INDEX(Questionnaire!$B$6:$B$93,MATCH(B44,Questionnaire!$A$6:$A$93,0)),"ID not in questionnaire"))</f>
        <v/>
      </c>
      <c r="D44" s="35" t="str">
        <f aca="false">IF(B44="","",IFERROR(INDEX(Questionnaire!$C$6:$C$93,MATCH(B44,Questionnaire!$A$6:$A$93,0)),""))</f>
        <v/>
      </c>
      <c r="E44" s="33"/>
      <c r="F44" s="33"/>
      <c r="G44" s="33"/>
      <c r="H44" s="33"/>
      <c r="I44" s="33"/>
      <c r="J44" s="52"/>
      <c r="K44" s="52"/>
      <c r="L44" s="33"/>
      <c r="M44" s="52"/>
      <c r="N44" s="33"/>
      <c r="O44" s="35" t="str">
        <f aca="true">IF(OR(K44="",L44="Closed",L44="Risk accepted"),"",IF(K44&lt;TODAY(),"OVERDUE",""))</f>
        <v/>
      </c>
      <c r="P44" s="35" t="str">
        <f aca="true">IF(J44="","",IF(M44&lt;&gt;"",M44-J44,TODAY()-J44))</f>
        <v/>
      </c>
    </row>
    <row r="45" customFormat="false" ht="24" hidden="false" customHeight="true" outlineLevel="0" collapsed="false">
      <c r="A45" s="33"/>
      <c r="B45" s="33"/>
      <c r="C45" s="35" t="str">
        <f aca="false">IF(B45="","",IFERROR(INDEX(Questionnaire!$B$6:$B$93,MATCH(B45,Questionnaire!$A$6:$A$93,0)),"ID not in questionnaire"))</f>
        <v/>
      </c>
      <c r="D45" s="35" t="str">
        <f aca="false">IF(B45="","",IFERROR(INDEX(Questionnaire!$C$6:$C$93,MATCH(B45,Questionnaire!$A$6:$A$93,0)),""))</f>
        <v/>
      </c>
      <c r="E45" s="33"/>
      <c r="F45" s="33"/>
      <c r="G45" s="33"/>
      <c r="H45" s="33"/>
      <c r="I45" s="33"/>
      <c r="J45" s="52"/>
      <c r="K45" s="52"/>
      <c r="L45" s="33"/>
      <c r="M45" s="52"/>
      <c r="N45" s="33"/>
      <c r="O45" s="35" t="str">
        <f aca="true">IF(OR(K45="",L45="Closed",L45="Risk accepted"),"",IF(K45&lt;TODAY(),"OVERDUE",""))</f>
        <v/>
      </c>
      <c r="P45" s="35" t="str">
        <f aca="true">IF(J45="","",IF(M45&lt;&gt;"",M45-J45,TODAY()-J45))</f>
        <v/>
      </c>
    </row>
    <row r="46" customFormat="false" ht="24" hidden="false" customHeight="true" outlineLevel="0" collapsed="false">
      <c r="A46" s="33"/>
      <c r="B46" s="33"/>
      <c r="C46" s="35" t="str">
        <f aca="false">IF(B46="","",IFERROR(INDEX(Questionnaire!$B$6:$B$93,MATCH(B46,Questionnaire!$A$6:$A$93,0)),"ID not in questionnaire"))</f>
        <v/>
      </c>
      <c r="D46" s="35" t="str">
        <f aca="false">IF(B46="","",IFERROR(INDEX(Questionnaire!$C$6:$C$93,MATCH(B46,Questionnaire!$A$6:$A$93,0)),""))</f>
        <v/>
      </c>
      <c r="E46" s="33"/>
      <c r="F46" s="33"/>
      <c r="G46" s="33"/>
      <c r="H46" s="33"/>
      <c r="I46" s="33"/>
      <c r="J46" s="52"/>
      <c r="K46" s="52"/>
      <c r="L46" s="33"/>
      <c r="M46" s="52"/>
      <c r="N46" s="33"/>
      <c r="O46" s="35" t="str">
        <f aca="true">IF(OR(K46="",L46="Closed",L46="Risk accepted"),"",IF(K46&lt;TODAY(),"OVERDUE",""))</f>
        <v/>
      </c>
      <c r="P46" s="35" t="str">
        <f aca="true">IF(J46="","",IF(M46&lt;&gt;"",M46-J46,TODAY()-J46))</f>
        <v/>
      </c>
    </row>
    <row r="47" customFormat="false" ht="24" hidden="false" customHeight="true" outlineLevel="0" collapsed="false">
      <c r="A47" s="33"/>
      <c r="B47" s="33"/>
      <c r="C47" s="35" t="str">
        <f aca="false">IF(B47="","",IFERROR(INDEX(Questionnaire!$B$6:$B$93,MATCH(B47,Questionnaire!$A$6:$A$93,0)),"ID not in questionnaire"))</f>
        <v/>
      </c>
      <c r="D47" s="35" t="str">
        <f aca="false">IF(B47="","",IFERROR(INDEX(Questionnaire!$C$6:$C$93,MATCH(B47,Questionnaire!$A$6:$A$93,0)),""))</f>
        <v/>
      </c>
      <c r="E47" s="33"/>
      <c r="F47" s="33"/>
      <c r="G47" s="33"/>
      <c r="H47" s="33"/>
      <c r="I47" s="33"/>
      <c r="J47" s="52"/>
      <c r="K47" s="52"/>
      <c r="L47" s="33"/>
      <c r="M47" s="52"/>
      <c r="N47" s="33"/>
      <c r="O47" s="35" t="str">
        <f aca="true">IF(OR(K47="",L47="Closed",L47="Risk accepted"),"",IF(K47&lt;TODAY(),"OVERDUE",""))</f>
        <v/>
      </c>
      <c r="P47" s="35" t="str">
        <f aca="true">IF(J47="","",IF(M47&lt;&gt;"",M47-J47,TODAY()-J47))</f>
        <v/>
      </c>
    </row>
    <row r="48" customFormat="false" ht="24" hidden="false" customHeight="true" outlineLevel="0" collapsed="false">
      <c r="A48" s="33"/>
      <c r="B48" s="33"/>
      <c r="C48" s="35" t="str">
        <f aca="false">IF(B48="","",IFERROR(INDEX(Questionnaire!$B$6:$B$93,MATCH(B48,Questionnaire!$A$6:$A$93,0)),"ID not in questionnaire"))</f>
        <v/>
      </c>
      <c r="D48" s="35" t="str">
        <f aca="false">IF(B48="","",IFERROR(INDEX(Questionnaire!$C$6:$C$93,MATCH(B48,Questionnaire!$A$6:$A$93,0)),""))</f>
        <v/>
      </c>
      <c r="E48" s="33"/>
      <c r="F48" s="33"/>
      <c r="G48" s="33"/>
      <c r="H48" s="33"/>
      <c r="I48" s="33"/>
      <c r="J48" s="52"/>
      <c r="K48" s="52"/>
      <c r="L48" s="33"/>
      <c r="M48" s="52"/>
      <c r="N48" s="33"/>
      <c r="O48" s="35" t="str">
        <f aca="true">IF(OR(K48="",L48="Closed",L48="Risk accepted"),"",IF(K48&lt;TODAY(),"OVERDUE",""))</f>
        <v/>
      </c>
      <c r="P48" s="35" t="str">
        <f aca="true">IF(J48="","",IF(M48&lt;&gt;"",M48-J48,TODAY()-J48))</f>
        <v/>
      </c>
    </row>
    <row r="49" customFormat="false" ht="24" hidden="false" customHeight="true" outlineLevel="0" collapsed="false">
      <c r="A49" s="33"/>
      <c r="B49" s="33"/>
      <c r="C49" s="35" t="str">
        <f aca="false">IF(B49="","",IFERROR(INDEX(Questionnaire!$B$6:$B$93,MATCH(B49,Questionnaire!$A$6:$A$93,0)),"ID not in questionnaire"))</f>
        <v/>
      </c>
      <c r="D49" s="35" t="str">
        <f aca="false">IF(B49="","",IFERROR(INDEX(Questionnaire!$C$6:$C$93,MATCH(B49,Questionnaire!$A$6:$A$93,0)),""))</f>
        <v/>
      </c>
      <c r="E49" s="33"/>
      <c r="F49" s="33"/>
      <c r="G49" s="33"/>
      <c r="H49" s="33"/>
      <c r="I49" s="33"/>
      <c r="J49" s="52"/>
      <c r="K49" s="52"/>
      <c r="L49" s="33"/>
      <c r="M49" s="52"/>
      <c r="N49" s="33"/>
      <c r="O49" s="35" t="str">
        <f aca="true">IF(OR(K49="",L49="Closed",L49="Risk accepted"),"",IF(K49&lt;TODAY(),"OVERDUE",""))</f>
        <v/>
      </c>
      <c r="P49" s="35" t="str">
        <f aca="true">IF(J49="","",IF(M49&lt;&gt;"",M49-J49,TODAY()-J49))</f>
        <v/>
      </c>
    </row>
    <row r="50" customFormat="false" ht="24" hidden="false" customHeight="true" outlineLevel="0" collapsed="false">
      <c r="A50" s="33"/>
      <c r="B50" s="33"/>
      <c r="C50" s="35" t="str">
        <f aca="false">IF(B50="","",IFERROR(INDEX(Questionnaire!$B$6:$B$93,MATCH(B50,Questionnaire!$A$6:$A$93,0)),"ID not in questionnaire"))</f>
        <v/>
      </c>
      <c r="D50" s="35" t="str">
        <f aca="false">IF(B50="","",IFERROR(INDEX(Questionnaire!$C$6:$C$93,MATCH(B50,Questionnaire!$A$6:$A$93,0)),""))</f>
        <v/>
      </c>
      <c r="E50" s="33"/>
      <c r="F50" s="33"/>
      <c r="G50" s="33"/>
      <c r="H50" s="33"/>
      <c r="I50" s="33"/>
      <c r="J50" s="52"/>
      <c r="K50" s="52"/>
      <c r="L50" s="33"/>
      <c r="M50" s="52"/>
      <c r="N50" s="33"/>
      <c r="O50" s="35" t="str">
        <f aca="true">IF(OR(K50="",L50="Closed",L50="Risk accepted"),"",IF(K50&lt;TODAY(),"OVERDUE",""))</f>
        <v/>
      </c>
      <c r="P50" s="35" t="str">
        <f aca="true">IF(J50="","",IF(M50&lt;&gt;"",M50-J50,TODAY()-J50))</f>
        <v/>
      </c>
    </row>
    <row r="51" customFormat="false" ht="24" hidden="false" customHeight="true" outlineLevel="0" collapsed="false">
      <c r="A51" s="33"/>
      <c r="B51" s="33"/>
      <c r="C51" s="35" t="str">
        <f aca="false">IF(B51="","",IFERROR(INDEX(Questionnaire!$B$6:$B$93,MATCH(B51,Questionnaire!$A$6:$A$93,0)),"ID not in questionnaire"))</f>
        <v/>
      </c>
      <c r="D51" s="35" t="str">
        <f aca="false">IF(B51="","",IFERROR(INDEX(Questionnaire!$C$6:$C$93,MATCH(B51,Questionnaire!$A$6:$A$93,0)),""))</f>
        <v/>
      </c>
      <c r="E51" s="33"/>
      <c r="F51" s="33"/>
      <c r="G51" s="33"/>
      <c r="H51" s="33"/>
      <c r="I51" s="33"/>
      <c r="J51" s="52"/>
      <c r="K51" s="52"/>
      <c r="L51" s="33"/>
      <c r="M51" s="52"/>
      <c r="N51" s="33"/>
      <c r="O51" s="35" t="str">
        <f aca="true">IF(OR(K51="",L51="Closed",L51="Risk accepted"),"",IF(K51&lt;TODAY(),"OVERDUE",""))</f>
        <v/>
      </c>
      <c r="P51" s="35" t="str">
        <f aca="true">IF(J51="","",IF(M51&lt;&gt;"",M51-J51,TODAY()-J51))</f>
        <v/>
      </c>
    </row>
    <row r="52" customFormat="false" ht="24" hidden="false" customHeight="true" outlineLevel="0" collapsed="false">
      <c r="A52" s="33"/>
      <c r="B52" s="33"/>
      <c r="C52" s="35" t="str">
        <f aca="false">IF(B52="","",IFERROR(INDEX(Questionnaire!$B$6:$B$93,MATCH(B52,Questionnaire!$A$6:$A$93,0)),"ID not in questionnaire"))</f>
        <v/>
      </c>
      <c r="D52" s="35" t="str">
        <f aca="false">IF(B52="","",IFERROR(INDEX(Questionnaire!$C$6:$C$93,MATCH(B52,Questionnaire!$A$6:$A$93,0)),""))</f>
        <v/>
      </c>
      <c r="E52" s="33"/>
      <c r="F52" s="33"/>
      <c r="G52" s="33"/>
      <c r="H52" s="33"/>
      <c r="I52" s="33"/>
      <c r="J52" s="52"/>
      <c r="K52" s="52"/>
      <c r="L52" s="33"/>
      <c r="M52" s="52"/>
      <c r="N52" s="33"/>
      <c r="O52" s="35" t="str">
        <f aca="true">IF(OR(K52="",L52="Closed",L52="Risk accepted"),"",IF(K52&lt;TODAY(),"OVERDUE",""))</f>
        <v/>
      </c>
      <c r="P52" s="35" t="str">
        <f aca="true">IF(J52="","",IF(M52&lt;&gt;"",M52-J52,TODAY()-J52))</f>
        <v/>
      </c>
    </row>
    <row r="53" customFormat="false" ht="24" hidden="false" customHeight="true" outlineLevel="0" collapsed="false">
      <c r="A53" s="33"/>
      <c r="B53" s="33"/>
      <c r="C53" s="35" t="str">
        <f aca="false">IF(B53="","",IFERROR(INDEX(Questionnaire!$B$6:$B$93,MATCH(B53,Questionnaire!$A$6:$A$93,0)),"ID not in questionnaire"))</f>
        <v/>
      </c>
      <c r="D53" s="35" t="str">
        <f aca="false">IF(B53="","",IFERROR(INDEX(Questionnaire!$C$6:$C$93,MATCH(B53,Questionnaire!$A$6:$A$93,0)),""))</f>
        <v/>
      </c>
      <c r="E53" s="33"/>
      <c r="F53" s="33"/>
      <c r="G53" s="33"/>
      <c r="H53" s="33"/>
      <c r="I53" s="33"/>
      <c r="J53" s="52"/>
      <c r="K53" s="52"/>
      <c r="L53" s="33"/>
      <c r="M53" s="52"/>
      <c r="N53" s="33"/>
      <c r="O53" s="35" t="str">
        <f aca="true">IF(OR(K53="",L53="Closed",L53="Risk accepted"),"",IF(K53&lt;TODAY(),"OVERDUE",""))</f>
        <v/>
      </c>
      <c r="P53" s="35" t="str">
        <f aca="true">IF(J53="","",IF(M53&lt;&gt;"",M53-J53,TODAY()-J53))</f>
        <v/>
      </c>
    </row>
    <row r="54" customFormat="false" ht="24" hidden="false" customHeight="true" outlineLevel="0" collapsed="false">
      <c r="A54" s="33"/>
      <c r="B54" s="33"/>
      <c r="C54" s="35" t="str">
        <f aca="false">IF(B54="","",IFERROR(INDEX(Questionnaire!$B$6:$B$93,MATCH(B54,Questionnaire!$A$6:$A$93,0)),"ID not in questionnaire"))</f>
        <v/>
      </c>
      <c r="D54" s="35" t="str">
        <f aca="false">IF(B54="","",IFERROR(INDEX(Questionnaire!$C$6:$C$93,MATCH(B54,Questionnaire!$A$6:$A$93,0)),""))</f>
        <v/>
      </c>
      <c r="E54" s="33"/>
      <c r="F54" s="33"/>
      <c r="G54" s="33"/>
      <c r="H54" s="33"/>
      <c r="I54" s="33"/>
      <c r="J54" s="52"/>
      <c r="K54" s="52"/>
      <c r="L54" s="33"/>
      <c r="M54" s="52"/>
      <c r="N54" s="33"/>
      <c r="O54" s="35" t="str">
        <f aca="true">IF(OR(K54="",L54="Closed",L54="Risk accepted"),"",IF(K54&lt;TODAY(),"OVERDUE",""))</f>
        <v/>
      </c>
      <c r="P54" s="35" t="str">
        <f aca="true">IF(J54="","",IF(M54&lt;&gt;"",M54-J54,TODAY()-J54))</f>
        <v/>
      </c>
    </row>
    <row r="55" customFormat="false" ht="24" hidden="false" customHeight="true" outlineLevel="0" collapsed="false">
      <c r="A55" s="33"/>
      <c r="B55" s="33"/>
      <c r="C55" s="35" t="str">
        <f aca="false">IF(B55="","",IFERROR(INDEX(Questionnaire!$B$6:$B$93,MATCH(B55,Questionnaire!$A$6:$A$93,0)),"ID not in questionnaire"))</f>
        <v/>
      </c>
      <c r="D55" s="35" t="str">
        <f aca="false">IF(B55="","",IFERROR(INDEX(Questionnaire!$C$6:$C$93,MATCH(B55,Questionnaire!$A$6:$A$93,0)),""))</f>
        <v/>
      </c>
      <c r="E55" s="33"/>
      <c r="F55" s="33"/>
      <c r="G55" s="33"/>
      <c r="H55" s="33"/>
      <c r="I55" s="33"/>
      <c r="J55" s="52"/>
      <c r="K55" s="52"/>
      <c r="L55" s="33"/>
      <c r="M55" s="52"/>
      <c r="N55" s="33"/>
      <c r="O55" s="35" t="str">
        <f aca="true">IF(OR(K55="",L55="Closed",L55="Risk accepted"),"",IF(K55&lt;TODAY(),"OVERDUE",""))</f>
        <v/>
      </c>
      <c r="P55" s="35" t="str">
        <f aca="true">IF(J55="","",IF(M55&lt;&gt;"",M55-J55,TODAY()-J55))</f>
        <v/>
      </c>
    </row>
    <row r="56" customFormat="false" ht="24" hidden="false" customHeight="true" outlineLevel="0" collapsed="false">
      <c r="A56" s="33"/>
      <c r="B56" s="33"/>
      <c r="C56" s="35" t="str">
        <f aca="false">IF(B56="","",IFERROR(INDEX(Questionnaire!$B$6:$B$93,MATCH(B56,Questionnaire!$A$6:$A$93,0)),"ID not in questionnaire"))</f>
        <v/>
      </c>
      <c r="D56" s="35" t="str">
        <f aca="false">IF(B56="","",IFERROR(INDEX(Questionnaire!$C$6:$C$93,MATCH(B56,Questionnaire!$A$6:$A$93,0)),""))</f>
        <v/>
      </c>
      <c r="E56" s="33"/>
      <c r="F56" s="33"/>
      <c r="G56" s="33"/>
      <c r="H56" s="33"/>
      <c r="I56" s="33"/>
      <c r="J56" s="52"/>
      <c r="K56" s="52"/>
      <c r="L56" s="33"/>
      <c r="M56" s="52"/>
      <c r="N56" s="33"/>
      <c r="O56" s="35" t="str">
        <f aca="true">IF(OR(K56="",L56="Closed",L56="Risk accepted"),"",IF(K56&lt;TODAY(),"OVERDUE",""))</f>
        <v/>
      </c>
      <c r="P56" s="35" t="str">
        <f aca="true">IF(J56="","",IF(M56&lt;&gt;"",M56-J56,TODAY()-J56))</f>
        <v/>
      </c>
    </row>
    <row r="57" customFormat="false" ht="24" hidden="false" customHeight="true" outlineLevel="0" collapsed="false">
      <c r="A57" s="33"/>
      <c r="B57" s="33"/>
      <c r="C57" s="35" t="str">
        <f aca="false">IF(B57="","",IFERROR(INDEX(Questionnaire!$B$6:$B$93,MATCH(B57,Questionnaire!$A$6:$A$93,0)),"ID not in questionnaire"))</f>
        <v/>
      </c>
      <c r="D57" s="35" t="str">
        <f aca="false">IF(B57="","",IFERROR(INDEX(Questionnaire!$C$6:$C$93,MATCH(B57,Questionnaire!$A$6:$A$93,0)),""))</f>
        <v/>
      </c>
      <c r="E57" s="33"/>
      <c r="F57" s="33"/>
      <c r="G57" s="33"/>
      <c r="H57" s="33"/>
      <c r="I57" s="33"/>
      <c r="J57" s="52"/>
      <c r="K57" s="52"/>
      <c r="L57" s="33"/>
      <c r="M57" s="52"/>
      <c r="N57" s="33"/>
      <c r="O57" s="35" t="str">
        <f aca="true">IF(OR(K57="",L57="Closed",L57="Risk accepted"),"",IF(K57&lt;TODAY(),"OVERDUE",""))</f>
        <v/>
      </c>
      <c r="P57" s="35" t="str">
        <f aca="true">IF(J57="","",IF(M57&lt;&gt;"",M57-J57,TODAY()-J57))</f>
        <v/>
      </c>
    </row>
    <row r="58" customFormat="false" ht="24" hidden="false" customHeight="true" outlineLevel="0" collapsed="false">
      <c r="A58" s="33"/>
      <c r="B58" s="33"/>
      <c r="C58" s="35" t="str">
        <f aca="false">IF(B58="","",IFERROR(INDEX(Questionnaire!$B$6:$B$93,MATCH(B58,Questionnaire!$A$6:$A$93,0)),"ID not in questionnaire"))</f>
        <v/>
      </c>
      <c r="D58" s="35" t="str">
        <f aca="false">IF(B58="","",IFERROR(INDEX(Questionnaire!$C$6:$C$93,MATCH(B58,Questionnaire!$A$6:$A$93,0)),""))</f>
        <v/>
      </c>
      <c r="E58" s="33"/>
      <c r="F58" s="33"/>
      <c r="G58" s="33"/>
      <c r="H58" s="33"/>
      <c r="I58" s="33"/>
      <c r="J58" s="52"/>
      <c r="K58" s="52"/>
      <c r="L58" s="33"/>
      <c r="M58" s="52"/>
      <c r="N58" s="33"/>
      <c r="O58" s="35" t="str">
        <f aca="true">IF(OR(K58="",L58="Closed",L58="Risk accepted"),"",IF(K58&lt;TODAY(),"OVERDUE",""))</f>
        <v/>
      </c>
      <c r="P58" s="35" t="str">
        <f aca="true">IF(J58="","",IF(M58&lt;&gt;"",M58-J58,TODAY()-J58))</f>
        <v/>
      </c>
    </row>
    <row r="59" customFormat="false" ht="24" hidden="false" customHeight="true" outlineLevel="0" collapsed="false">
      <c r="A59" s="33"/>
      <c r="B59" s="33"/>
      <c r="C59" s="35" t="str">
        <f aca="false">IF(B59="","",IFERROR(INDEX(Questionnaire!$B$6:$B$93,MATCH(B59,Questionnaire!$A$6:$A$93,0)),"ID not in questionnaire"))</f>
        <v/>
      </c>
      <c r="D59" s="35" t="str">
        <f aca="false">IF(B59="","",IFERROR(INDEX(Questionnaire!$C$6:$C$93,MATCH(B59,Questionnaire!$A$6:$A$93,0)),""))</f>
        <v/>
      </c>
      <c r="E59" s="33"/>
      <c r="F59" s="33"/>
      <c r="G59" s="33"/>
      <c r="H59" s="33"/>
      <c r="I59" s="33"/>
      <c r="J59" s="52"/>
      <c r="K59" s="52"/>
      <c r="L59" s="33"/>
      <c r="M59" s="52"/>
      <c r="N59" s="33"/>
      <c r="O59" s="35" t="str">
        <f aca="true">IF(OR(K59="",L59="Closed",L59="Risk accepted"),"",IF(K59&lt;TODAY(),"OVERDUE",""))</f>
        <v/>
      </c>
      <c r="P59" s="35" t="str">
        <f aca="true">IF(J59="","",IF(M59&lt;&gt;"",M59-J59,TODAY()-J59))</f>
        <v/>
      </c>
    </row>
    <row r="60" customFormat="false" ht="24" hidden="false" customHeight="true" outlineLevel="0" collapsed="false">
      <c r="A60" s="33"/>
      <c r="B60" s="33"/>
      <c r="C60" s="35" t="str">
        <f aca="false">IF(B60="","",IFERROR(INDEX(Questionnaire!$B$6:$B$93,MATCH(B60,Questionnaire!$A$6:$A$93,0)),"ID not in questionnaire"))</f>
        <v/>
      </c>
      <c r="D60" s="35" t="str">
        <f aca="false">IF(B60="","",IFERROR(INDEX(Questionnaire!$C$6:$C$93,MATCH(B60,Questionnaire!$A$6:$A$93,0)),""))</f>
        <v/>
      </c>
      <c r="E60" s="33"/>
      <c r="F60" s="33"/>
      <c r="G60" s="33"/>
      <c r="H60" s="33"/>
      <c r="I60" s="33"/>
      <c r="J60" s="52"/>
      <c r="K60" s="52"/>
      <c r="L60" s="33"/>
      <c r="M60" s="52"/>
      <c r="N60" s="33"/>
      <c r="O60" s="35" t="str">
        <f aca="true">IF(OR(K60="",L60="Closed",L60="Risk accepted"),"",IF(K60&lt;TODAY(),"OVERDUE",""))</f>
        <v/>
      </c>
      <c r="P60" s="35" t="str">
        <f aca="true">IF(J60="","",IF(M60&lt;&gt;"",M60-J60,TODAY()-J60))</f>
        <v/>
      </c>
    </row>
    <row r="61" customFormat="false" ht="24" hidden="false" customHeight="true" outlineLevel="0" collapsed="false">
      <c r="A61" s="33"/>
      <c r="B61" s="33"/>
      <c r="C61" s="35" t="str">
        <f aca="false">IF(B61="","",IFERROR(INDEX(Questionnaire!$B$6:$B$93,MATCH(B61,Questionnaire!$A$6:$A$93,0)),"ID not in questionnaire"))</f>
        <v/>
      </c>
      <c r="D61" s="35" t="str">
        <f aca="false">IF(B61="","",IFERROR(INDEX(Questionnaire!$C$6:$C$93,MATCH(B61,Questionnaire!$A$6:$A$93,0)),""))</f>
        <v/>
      </c>
      <c r="E61" s="33"/>
      <c r="F61" s="33"/>
      <c r="G61" s="33"/>
      <c r="H61" s="33"/>
      <c r="I61" s="33"/>
      <c r="J61" s="52"/>
      <c r="K61" s="52"/>
      <c r="L61" s="33"/>
      <c r="M61" s="52"/>
      <c r="N61" s="33"/>
      <c r="O61" s="35" t="str">
        <f aca="true">IF(OR(K61="",L61="Closed",L61="Risk accepted"),"",IF(K61&lt;TODAY(),"OVERDUE",""))</f>
        <v/>
      </c>
      <c r="P61" s="35" t="str">
        <f aca="true">IF(J61="","",IF(M61&lt;&gt;"",M61-J61,TODAY()-J61))</f>
        <v/>
      </c>
    </row>
    <row r="62" customFormat="false" ht="24" hidden="false" customHeight="true" outlineLevel="0" collapsed="false">
      <c r="A62" s="33"/>
      <c r="B62" s="33"/>
      <c r="C62" s="35" t="str">
        <f aca="false">IF(B62="","",IFERROR(INDEX(Questionnaire!$B$6:$B$93,MATCH(B62,Questionnaire!$A$6:$A$93,0)),"ID not in questionnaire"))</f>
        <v/>
      </c>
      <c r="D62" s="35" t="str">
        <f aca="false">IF(B62="","",IFERROR(INDEX(Questionnaire!$C$6:$C$93,MATCH(B62,Questionnaire!$A$6:$A$93,0)),""))</f>
        <v/>
      </c>
      <c r="E62" s="33"/>
      <c r="F62" s="33"/>
      <c r="G62" s="33"/>
      <c r="H62" s="33"/>
      <c r="I62" s="33"/>
      <c r="J62" s="52"/>
      <c r="K62" s="52"/>
      <c r="L62" s="33"/>
      <c r="M62" s="52"/>
      <c r="N62" s="33"/>
      <c r="O62" s="35" t="str">
        <f aca="true">IF(OR(K62="",L62="Closed",L62="Risk accepted"),"",IF(K62&lt;TODAY(),"OVERDUE",""))</f>
        <v/>
      </c>
      <c r="P62" s="35" t="str">
        <f aca="true">IF(J62="","",IF(M62&lt;&gt;"",M62-J62,TODAY()-J62))</f>
        <v/>
      </c>
    </row>
    <row r="63" customFormat="false" ht="24" hidden="false" customHeight="true" outlineLevel="0" collapsed="false">
      <c r="A63" s="33"/>
      <c r="B63" s="33"/>
      <c r="C63" s="35" t="str">
        <f aca="false">IF(B63="","",IFERROR(INDEX(Questionnaire!$B$6:$B$93,MATCH(B63,Questionnaire!$A$6:$A$93,0)),"ID not in questionnaire"))</f>
        <v/>
      </c>
      <c r="D63" s="35" t="str">
        <f aca="false">IF(B63="","",IFERROR(INDEX(Questionnaire!$C$6:$C$93,MATCH(B63,Questionnaire!$A$6:$A$93,0)),""))</f>
        <v/>
      </c>
      <c r="E63" s="33"/>
      <c r="F63" s="33"/>
      <c r="G63" s="33"/>
      <c r="H63" s="33"/>
      <c r="I63" s="33"/>
      <c r="J63" s="52"/>
      <c r="K63" s="52"/>
      <c r="L63" s="33"/>
      <c r="M63" s="52"/>
      <c r="N63" s="33"/>
      <c r="O63" s="35" t="str">
        <f aca="true">IF(OR(K63="",L63="Closed",L63="Risk accepted"),"",IF(K63&lt;TODAY(),"OVERDUE",""))</f>
        <v/>
      </c>
      <c r="P63" s="35" t="str">
        <f aca="true">IF(J63="","",IF(M63&lt;&gt;"",M63-J63,TODAY()-J63))</f>
        <v/>
      </c>
    </row>
    <row r="64" customFormat="false" ht="24" hidden="false" customHeight="true" outlineLevel="0" collapsed="false">
      <c r="A64" s="33"/>
      <c r="B64" s="33"/>
      <c r="C64" s="35" t="str">
        <f aca="false">IF(B64="","",IFERROR(INDEX(Questionnaire!$B$6:$B$93,MATCH(B64,Questionnaire!$A$6:$A$93,0)),"ID not in questionnaire"))</f>
        <v/>
      </c>
      <c r="D64" s="35" t="str">
        <f aca="false">IF(B64="","",IFERROR(INDEX(Questionnaire!$C$6:$C$93,MATCH(B64,Questionnaire!$A$6:$A$93,0)),""))</f>
        <v/>
      </c>
      <c r="E64" s="33"/>
      <c r="F64" s="33"/>
      <c r="G64" s="33"/>
      <c r="H64" s="33"/>
      <c r="I64" s="33"/>
      <c r="J64" s="52"/>
      <c r="K64" s="52"/>
      <c r="L64" s="33"/>
      <c r="M64" s="52"/>
      <c r="N64" s="33"/>
      <c r="O64" s="35" t="str">
        <f aca="true">IF(OR(K64="",L64="Closed",L64="Risk accepted"),"",IF(K64&lt;TODAY(),"OVERDUE",""))</f>
        <v/>
      </c>
      <c r="P64" s="35" t="str">
        <f aca="true">IF(J64="","",IF(M64&lt;&gt;"",M64-J64,TODAY()-J64))</f>
        <v/>
      </c>
    </row>
    <row r="65" customFormat="false" ht="24" hidden="false" customHeight="true" outlineLevel="0" collapsed="false">
      <c r="A65" s="33"/>
      <c r="B65" s="33"/>
      <c r="C65" s="35" t="str">
        <f aca="false">IF(B65="","",IFERROR(INDEX(Questionnaire!$B$6:$B$93,MATCH(B65,Questionnaire!$A$6:$A$93,0)),"ID not in questionnaire"))</f>
        <v/>
      </c>
      <c r="D65" s="35" t="str">
        <f aca="false">IF(B65="","",IFERROR(INDEX(Questionnaire!$C$6:$C$93,MATCH(B65,Questionnaire!$A$6:$A$93,0)),""))</f>
        <v/>
      </c>
      <c r="E65" s="33"/>
      <c r="F65" s="33"/>
      <c r="G65" s="33"/>
      <c r="H65" s="33"/>
      <c r="I65" s="33"/>
      <c r="J65" s="52"/>
      <c r="K65" s="52"/>
      <c r="L65" s="33"/>
      <c r="M65" s="52"/>
      <c r="N65" s="33"/>
      <c r="O65" s="35" t="str">
        <f aca="true">IF(OR(K65="",L65="Closed",L65="Risk accepted"),"",IF(K65&lt;TODAY(),"OVERDUE",""))</f>
        <v/>
      </c>
      <c r="P65" s="35" t="str">
        <f aca="true">IF(J65="","",IF(M65&lt;&gt;"",M65-J65,TODAY()-J65))</f>
        <v/>
      </c>
    </row>
    <row r="66" customFormat="false" ht="24" hidden="false" customHeight="true" outlineLevel="0" collapsed="false">
      <c r="A66" s="33"/>
      <c r="B66" s="33"/>
      <c r="C66" s="35" t="str">
        <f aca="false">IF(B66="","",IFERROR(INDEX(Questionnaire!$B$6:$B$93,MATCH(B66,Questionnaire!$A$6:$A$93,0)),"ID not in questionnaire"))</f>
        <v/>
      </c>
      <c r="D66" s="35" t="str">
        <f aca="false">IF(B66="","",IFERROR(INDEX(Questionnaire!$C$6:$C$93,MATCH(B66,Questionnaire!$A$6:$A$93,0)),""))</f>
        <v/>
      </c>
      <c r="E66" s="33"/>
      <c r="F66" s="33"/>
      <c r="G66" s="33"/>
      <c r="H66" s="33"/>
      <c r="I66" s="33"/>
      <c r="J66" s="52"/>
      <c r="K66" s="52"/>
      <c r="L66" s="33"/>
      <c r="M66" s="52"/>
      <c r="N66" s="33"/>
      <c r="O66" s="35" t="str">
        <f aca="true">IF(OR(K66="",L66="Closed",L66="Risk accepted"),"",IF(K66&lt;TODAY(),"OVERDUE",""))</f>
        <v/>
      </c>
      <c r="P66" s="35" t="str">
        <f aca="true">IF(J66="","",IF(M66&lt;&gt;"",M66-J66,TODAY()-J66))</f>
        <v/>
      </c>
    </row>
    <row r="67" customFormat="false" ht="24" hidden="false" customHeight="true" outlineLevel="0" collapsed="false">
      <c r="A67" s="33"/>
      <c r="B67" s="33"/>
      <c r="C67" s="35" t="str">
        <f aca="false">IF(B67="","",IFERROR(INDEX(Questionnaire!$B$6:$B$93,MATCH(B67,Questionnaire!$A$6:$A$93,0)),"ID not in questionnaire"))</f>
        <v/>
      </c>
      <c r="D67" s="35" t="str">
        <f aca="false">IF(B67="","",IFERROR(INDEX(Questionnaire!$C$6:$C$93,MATCH(B67,Questionnaire!$A$6:$A$93,0)),""))</f>
        <v/>
      </c>
      <c r="E67" s="33"/>
      <c r="F67" s="33"/>
      <c r="G67" s="33"/>
      <c r="H67" s="33"/>
      <c r="I67" s="33"/>
      <c r="J67" s="52"/>
      <c r="K67" s="52"/>
      <c r="L67" s="33"/>
      <c r="M67" s="52"/>
      <c r="N67" s="33"/>
      <c r="O67" s="35" t="str">
        <f aca="true">IF(OR(K67="",L67="Closed",L67="Risk accepted"),"",IF(K67&lt;TODAY(),"OVERDUE",""))</f>
        <v/>
      </c>
      <c r="P67" s="35" t="str">
        <f aca="true">IF(J67="","",IF(M67&lt;&gt;"",M67-J67,TODAY()-J67))</f>
        <v/>
      </c>
    </row>
    <row r="68" customFormat="false" ht="24" hidden="false" customHeight="true" outlineLevel="0" collapsed="false">
      <c r="A68" s="33"/>
      <c r="B68" s="33"/>
      <c r="C68" s="35" t="str">
        <f aca="false">IF(B68="","",IFERROR(INDEX(Questionnaire!$B$6:$B$93,MATCH(B68,Questionnaire!$A$6:$A$93,0)),"ID not in questionnaire"))</f>
        <v/>
      </c>
      <c r="D68" s="35" t="str">
        <f aca="false">IF(B68="","",IFERROR(INDEX(Questionnaire!$C$6:$C$93,MATCH(B68,Questionnaire!$A$6:$A$93,0)),""))</f>
        <v/>
      </c>
      <c r="E68" s="33"/>
      <c r="F68" s="33"/>
      <c r="G68" s="33"/>
      <c r="H68" s="33"/>
      <c r="I68" s="33"/>
      <c r="J68" s="52"/>
      <c r="K68" s="52"/>
      <c r="L68" s="33"/>
      <c r="M68" s="52"/>
      <c r="N68" s="33"/>
      <c r="O68" s="35" t="str">
        <f aca="true">IF(OR(K68="",L68="Closed",L68="Risk accepted"),"",IF(K68&lt;TODAY(),"OVERDUE",""))</f>
        <v/>
      </c>
      <c r="P68" s="35" t="str">
        <f aca="true">IF(J68="","",IF(M68&lt;&gt;"",M68-J68,TODAY()-J68))</f>
        <v/>
      </c>
    </row>
    <row r="69" customFormat="false" ht="24" hidden="false" customHeight="true" outlineLevel="0" collapsed="false">
      <c r="A69" s="33"/>
      <c r="B69" s="33"/>
      <c r="C69" s="35" t="str">
        <f aca="false">IF(B69="","",IFERROR(INDEX(Questionnaire!$B$6:$B$93,MATCH(B69,Questionnaire!$A$6:$A$93,0)),"ID not in questionnaire"))</f>
        <v/>
      </c>
      <c r="D69" s="35" t="str">
        <f aca="false">IF(B69="","",IFERROR(INDEX(Questionnaire!$C$6:$C$93,MATCH(B69,Questionnaire!$A$6:$A$93,0)),""))</f>
        <v/>
      </c>
      <c r="E69" s="33"/>
      <c r="F69" s="33"/>
      <c r="G69" s="33"/>
      <c r="H69" s="33"/>
      <c r="I69" s="33"/>
      <c r="J69" s="52"/>
      <c r="K69" s="52"/>
      <c r="L69" s="33"/>
      <c r="M69" s="52"/>
      <c r="N69" s="33"/>
      <c r="O69" s="35" t="str">
        <f aca="true">IF(OR(K69="",L69="Closed",L69="Risk accepted"),"",IF(K69&lt;TODAY(),"OVERDUE",""))</f>
        <v/>
      </c>
      <c r="P69" s="35" t="str">
        <f aca="true">IF(J69="","",IF(M69&lt;&gt;"",M69-J69,TODAY()-J69))</f>
        <v/>
      </c>
    </row>
    <row r="70" customFormat="false" ht="24" hidden="false" customHeight="true" outlineLevel="0" collapsed="false">
      <c r="A70" s="33"/>
      <c r="B70" s="33"/>
      <c r="C70" s="35" t="str">
        <f aca="false">IF(B70="","",IFERROR(INDEX(Questionnaire!$B$6:$B$93,MATCH(B70,Questionnaire!$A$6:$A$93,0)),"ID not in questionnaire"))</f>
        <v/>
      </c>
      <c r="D70" s="35" t="str">
        <f aca="false">IF(B70="","",IFERROR(INDEX(Questionnaire!$C$6:$C$93,MATCH(B70,Questionnaire!$A$6:$A$93,0)),""))</f>
        <v/>
      </c>
      <c r="E70" s="33"/>
      <c r="F70" s="33"/>
      <c r="G70" s="33"/>
      <c r="H70" s="33"/>
      <c r="I70" s="33"/>
      <c r="J70" s="52"/>
      <c r="K70" s="52"/>
      <c r="L70" s="33"/>
      <c r="M70" s="52"/>
      <c r="N70" s="33"/>
      <c r="O70" s="35" t="str">
        <f aca="true">IF(OR(K70="",L70="Closed",L70="Risk accepted"),"",IF(K70&lt;TODAY(),"OVERDUE",""))</f>
        <v/>
      </c>
      <c r="P70" s="35" t="str">
        <f aca="true">IF(J70="","",IF(M70&lt;&gt;"",M70-J70,TODAY()-J70))</f>
        <v/>
      </c>
    </row>
    <row r="71" customFormat="false" ht="24" hidden="false" customHeight="true" outlineLevel="0" collapsed="false">
      <c r="A71" s="33"/>
      <c r="B71" s="33"/>
      <c r="C71" s="35" t="str">
        <f aca="false">IF(B71="","",IFERROR(INDEX(Questionnaire!$B$6:$B$93,MATCH(B71,Questionnaire!$A$6:$A$93,0)),"ID not in questionnaire"))</f>
        <v/>
      </c>
      <c r="D71" s="35" t="str">
        <f aca="false">IF(B71="","",IFERROR(INDEX(Questionnaire!$C$6:$C$93,MATCH(B71,Questionnaire!$A$6:$A$93,0)),""))</f>
        <v/>
      </c>
      <c r="E71" s="33"/>
      <c r="F71" s="33"/>
      <c r="G71" s="33"/>
      <c r="H71" s="33"/>
      <c r="I71" s="33"/>
      <c r="J71" s="52"/>
      <c r="K71" s="52"/>
      <c r="L71" s="33"/>
      <c r="M71" s="52"/>
      <c r="N71" s="33"/>
      <c r="O71" s="35" t="str">
        <f aca="true">IF(OR(K71="",L71="Closed",L71="Risk accepted"),"",IF(K71&lt;TODAY(),"OVERDUE",""))</f>
        <v/>
      </c>
      <c r="P71" s="35" t="str">
        <f aca="true">IF(J71="","",IF(M71&lt;&gt;"",M71-J71,TODAY()-J71))</f>
        <v/>
      </c>
    </row>
    <row r="72" customFormat="false" ht="24" hidden="false" customHeight="true" outlineLevel="0" collapsed="false">
      <c r="A72" s="33"/>
      <c r="B72" s="33"/>
      <c r="C72" s="35" t="str">
        <f aca="false">IF(B72="","",IFERROR(INDEX(Questionnaire!$B$6:$B$93,MATCH(B72,Questionnaire!$A$6:$A$93,0)),"ID not in questionnaire"))</f>
        <v/>
      </c>
      <c r="D72" s="35" t="str">
        <f aca="false">IF(B72="","",IFERROR(INDEX(Questionnaire!$C$6:$C$93,MATCH(B72,Questionnaire!$A$6:$A$93,0)),""))</f>
        <v/>
      </c>
      <c r="E72" s="33"/>
      <c r="F72" s="33"/>
      <c r="G72" s="33"/>
      <c r="H72" s="33"/>
      <c r="I72" s="33"/>
      <c r="J72" s="52"/>
      <c r="K72" s="52"/>
      <c r="L72" s="33"/>
      <c r="M72" s="52"/>
      <c r="N72" s="33"/>
      <c r="O72" s="35" t="str">
        <f aca="true">IF(OR(K72="",L72="Closed",L72="Risk accepted"),"",IF(K72&lt;TODAY(),"OVERDUE",""))</f>
        <v/>
      </c>
      <c r="P72" s="35" t="str">
        <f aca="true">IF(J72="","",IF(M72&lt;&gt;"",M72-J72,TODAY()-J72))</f>
        <v/>
      </c>
    </row>
    <row r="73" customFormat="false" ht="24" hidden="false" customHeight="true" outlineLevel="0" collapsed="false">
      <c r="A73" s="33"/>
      <c r="B73" s="33"/>
      <c r="C73" s="35" t="str">
        <f aca="false">IF(B73="","",IFERROR(INDEX(Questionnaire!$B$6:$B$93,MATCH(B73,Questionnaire!$A$6:$A$93,0)),"ID not in questionnaire"))</f>
        <v/>
      </c>
      <c r="D73" s="35" t="str">
        <f aca="false">IF(B73="","",IFERROR(INDEX(Questionnaire!$C$6:$C$93,MATCH(B73,Questionnaire!$A$6:$A$93,0)),""))</f>
        <v/>
      </c>
      <c r="E73" s="33"/>
      <c r="F73" s="33"/>
      <c r="G73" s="33"/>
      <c r="H73" s="33"/>
      <c r="I73" s="33"/>
      <c r="J73" s="52"/>
      <c r="K73" s="52"/>
      <c r="L73" s="33"/>
      <c r="M73" s="52"/>
      <c r="N73" s="33"/>
      <c r="O73" s="35" t="str">
        <f aca="true">IF(OR(K73="",L73="Closed",L73="Risk accepted"),"",IF(K73&lt;TODAY(),"OVERDUE",""))</f>
        <v/>
      </c>
      <c r="P73" s="35" t="str">
        <f aca="true">IF(J73="","",IF(M73&lt;&gt;"",M73-J73,TODAY()-J73))</f>
        <v/>
      </c>
    </row>
    <row r="74" customFormat="false" ht="24" hidden="false" customHeight="true" outlineLevel="0" collapsed="false">
      <c r="A74" s="33"/>
      <c r="B74" s="33"/>
      <c r="C74" s="35" t="str">
        <f aca="false">IF(B74="","",IFERROR(INDEX(Questionnaire!$B$6:$B$93,MATCH(B74,Questionnaire!$A$6:$A$93,0)),"ID not in questionnaire"))</f>
        <v/>
      </c>
      <c r="D74" s="35" t="str">
        <f aca="false">IF(B74="","",IFERROR(INDEX(Questionnaire!$C$6:$C$93,MATCH(B74,Questionnaire!$A$6:$A$93,0)),""))</f>
        <v/>
      </c>
      <c r="E74" s="33"/>
      <c r="F74" s="33"/>
      <c r="G74" s="33"/>
      <c r="H74" s="33"/>
      <c r="I74" s="33"/>
      <c r="J74" s="52"/>
      <c r="K74" s="52"/>
      <c r="L74" s="33"/>
      <c r="M74" s="52"/>
      <c r="N74" s="33"/>
      <c r="O74" s="35" t="str">
        <f aca="true">IF(OR(K74="",L74="Closed",L74="Risk accepted"),"",IF(K74&lt;TODAY(),"OVERDUE",""))</f>
        <v/>
      </c>
      <c r="P74" s="35" t="str">
        <f aca="true">IF(J74="","",IF(M74&lt;&gt;"",M74-J74,TODAY()-J74))</f>
        <v/>
      </c>
    </row>
    <row r="75" customFormat="false" ht="24" hidden="false" customHeight="true" outlineLevel="0" collapsed="false">
      <c r="A75" s="33"/>
      <c r="B75" s="33"/>
      <c r="C75" s="35" t="str">
        <f aca="false">IF(B75="","",IFERROR(INDEX(Questionnaire!$B$6:$B$93,MATCH(B75,Questionnaire!$A$6:$A$93,0)),"ID not in questionnaire"))</f>
        <v/>
      </c>
      <c r="D75" s="35" t="str">
        <f aca="false">IF(B75="","",IFERROR(INDEX(Questionnaire!$C$6:$C$93,MATCH(B75,Questionnaire!$A$6:$A$93,0)),""))</f>
        <v/>
      </c>
      <c r="E75" s="33"/>
      <c r="F75" s="33"/>
      <c r="G75" s="33"/>
      <c r="H75" s="33"/>
      <c r="I75" s="33"/>
      <c r="J75" s="52"/>
      <c r="K75" s="52"/>
      <c r="L75" s="33"/>
      <c r="M75" s="52"/>
      <c r="N75" s="33"/>
      <c r="O75" s="35" t="str">
        <f aca="true">IF(OR(K75="",L75="Closed",L75="Risk accepted"),"",IF(K75&lt;TODAY(),"OVERDUE",""))</f>
        <v/>
      </c>
      <c r="P75" s="35" t="str">
        <f aca="true">IF(J75="","",IF(M75&lt;&gt;"",M75-J75,TODAY()-J75))</f>
        <v/>
      </c>
    </row>
    <row r="76" customFormat="false" ht="24" hidden="false" customHeight="true" outlineLevel="0" collapsed="false">
      <c r="A76" s="33"/>
      <c r="B76" s="33"/>
      <c r="C76" s="35" t="str">
        <f aca="false">IF(B76="","",IFERROR(INDEX(Questionnaire!$B$6:$B$93,MATCH(B76,Questionnaire!$A$6:$A$93,0)),"ID not in questionnaire"))</f>
        <v/>
      </c>
      <c r="D76" s="35" t="str">
        <f aca="false">IF(B76="","",IFERROR(INDEX(Questionnaire!$C$6:$C$93,MATCH(B76,Questionnaire!$A$6:$A$93,0)),""))</f>
        <v/>
      </c>
      <c r="E76" s="33"/>
      <c r="F76" s="33"/>
      <c r="G76" s="33"/>
      <c r="H76" s="33"/>
      <c r="I76" s="33"/>
      <c r="J76" s="52"/>
      <c r="K76" s="52"/>
      <c r="L76" s="33"/>
      <c r="M76" s="52"/>
      <c r="N76" s="33"/>
      <c r="O76" s="35" t="str">
        <f aca="true">IF(OR(K76="",L76="Closed",L76="Risk accepted"),"",IF(K76&lt;TODAY(),"OVERDUE",""))</f>
        <v/>
      </c>
      <c r="P76" s="35" t="str">
        <f aca="true">IF(J76="","",IF(M76&lt;&gt;"",M76-J76,TODAY()-J76))</f>
        <v/>
      </c>
    </row>
    <row r="77" customFormat="false" ht="24" hidden="false" customHeight="true" outlineLevel="0" collapsed="false">
      <c r="A77" s="33"/>
      <c r="B77" s="33"/>
      <c r="C77" s="35" t="str">
        <f aca="false">IF(B77="","",IFERROR(INDEX(Questionnaire!$B$6:$B$93,MATCH(B77,Questionnaire!$A$6:$A$93,0)),"ID not in questionnaire"))</f>
        <v/>
      </c>
      <c r="D77" s="35" t="str">
        <f aca="false">IF(B77="","",IFERROR(INDEX(Questionnaire!$C$6:$C$93,MATCH(B77,Questionnaire!$A$6:$A$93,0)),""))</f>
        <v/>
      </c>
      <c r="E77" s="33"/>
      <c r="F77" s="33"/>
      <c r="G77" s="33"/>
      <c r="H77" s="33"/>
      <c r="I77" s="33"/>
      <c r="J77" s="52"/>
      <c r="K77" s="52"/>
      <c r="L77" s="33"/>
      <c r="M77" s="52"/>
      <c r="N77" s="33"/>
      <c r="O77" s="35" t="str">
        <f aca="true">IF(OR(K77="",L77="Closed",L77="Risk accepted"),"",IF(K77&lt;TODAY(),"OVERDUE",""))</f>
        <v/>
      </c>
      <c r="P77" s="35" t="str">
        <f aca="true">IF(J77="","",IF(M77&lt;&gt;"",M77-J77,TODAY()-J77))</f>
        <v/>
      </c>
    </row>
    <row r="78" customFormat="false" ht="24" hidden="false" customHeight="true" outlineLevel="0" collapsed="false">
      <c r="A78" s="33"/>
      <c r="B78" s="33"/>
      <c r="C78" s="35" t="str">
        <f aca="false">IF(B78="","",IFERROR(INDEX(Questionnaire!$B$6:$B$93,MATCH(B78,Questionnaire!$A$6:$A$93,0)),"ID not in questionnaire"))</f>
        <v/>
      </c>
      <c r="D78" s="35" t="str">
        <f aca="false">IF(B78="","",IFERROR(INDEX(Questionnaire!$C$6:$C$93,MATCH(B78,Questionnaire!$A$6:$A$93,0)),""))</f>
        <v/>
      </c>
      <c r="E78" s="33"/>
      <c r="F78" s="33"/>
      <c r="G78" s="33"/>
      <c r="H78" s="33"/>
      <c r="I78" s="33"/>
      <c r="J78" s="52"/>
      <c r="K78" s="52"/>
      <c r="L78" s="33"/>
      <c r="M78" s="52"/>
      <c r="N78" s="33"/>
      <c r="O78" s="35" t="str">
        <f aca="true">IF(OR(K78="",L78="Closed",L78="Risk accepted"),"",IF(K78&lt;TODAY(),"OVERDUE",""))</f>
        <v/>
      </c>
      <c r="P78" s="35" t="str">
        <f aca="true">IF(J78="","",IF(M78&lt;&gt;"",M78-J78,TODAY()-J78))</f>
        <v/>
      </c>
    </row>
    <row r="79" customFormat="false" ht="24" hidden="false" customHeight="true" outlineLevel="0" collapsed="false">
      <c r="A79" s="33"/>
      <c r="B79" s="33"/>
      <c r="C79" s="35" t="str">
        <f aca="false">IF(B79="","",IFERROR(INDEX(Questionnaire!$B$6:$B$93,MATCH(B79,Questionnaire!$A$6:$A$93,0)),"ID not in questionnaire"))</f>
        <v/>
      </c>
      <c r="D79" s="35" t="str">
        <f aca="false">IF(B79="","",IFERROR(INDEX(Questionnaire!$C$6:$C$93,MATCH(B79,Questionnaire!$A$6:$A$93,0)),""))</f>
        <v/>
      </c>
      <c r="E79" s="33"/>
      <c r="F79" s="33"/>
      <c r="G79" s="33"/>
      <c r="H79" s="33"/>
      <c r="I79" s="33"/>
      <c r="J79" s="52"/>
      <c r="K79" s="52"/>
      <c r="L79" s="33"/>
      <c r="M79" s="52"/>
      <c r="N79" s="33"/>
      <c r="O79" s="35" t="str">
        <f aca="true">IF(OR(K79="",L79="Closed",L79="Risk accepted"),"",IF(K79&lt;TODAY(),"OVERDUE",""))</f>
        <v/>
      </c>
      <c r="P79" s="35" t="str">
        <f aca="true">IF(J79="","",IF(M79&lt;&gt;"",M79-J79,TODAY()-J79))</f>
        <v/>
      </c>
    </row>
    <row r="80" customFormat="false" ht="24" hidden="false" customHeight="true" outlineLevel="0" collapsed="false">
      <c r="A80" s="33"/>
      <c r="B80" s="33"/>
      <c r="C80" s="35" t="str">
        <f aca="false">IF(B80="","",IFERROR(INDEX(Questionnaire!$B$6:$B$93,MATCH(B80,Questionnaire!$A$6:$A$93,0)),"ID not in questionnaire"))</f>
        <v/>
      </c>
      <c r="D80" s="35" t="str">
        <f aca="false">IF(B80="","",IFERROR(INDEX(Questionnaire!$C$6:$C$93,MATCH(B80,Questionnaire!$A$6:$A$93,0)),""))</f>
        <v/>
      </c>
      <c r="E80" s="33"/>
      <c r="F80" s="33"/>
      <c r="G80" s="33"/>
      <c r="H80" s="33"/>
      <c r="I80" s="33"/>
      <c r="J80" s="52"/>
      <c r="K80" s="52"/>
      <c r="L80" s="33"/>
      <c r="M80" s="52"/>
      <c r="N80" s="33"/>
      <c r="O80" s="35" t="str">
        <f aca="true">IF(OR(K80="",L80="Closed",L80="Risk accepted"),"",IF(K80&lt;TODAY(),"OVERDUE",""))</f>
        <v/>
      </c>
      <c r="P80" s="35" t="str">
        <f aca="true">IF(J80="","",IF(M80&lt;&gt;"",M80-J80,TODAY()-J80))</f>
        <v/>
      </c>
    </row>
    <row r="81" customFormat="false" ht="24" hidden="false" customHeight="true" outlineLevel="0" collapsed="false">
      <c r="A81" s="33"/>
      <c r="B81" s="33"/>
      <c r="C81" s="35" t="str">
        <f aca="false">IF(B81="","",IFERROR(INDEX(Questionnaire!$B$6:$B$93,MATCH(B81,Questionnaire!$A$6:$A$93,0)),"ID not in questionnaire"))</f>
        <v/>
      </c>
      <c r="D81" s="35" t="str">
        <f aca="false">IF(B81="","",IFERROR(INDEX(Questionnaire!$C$6:$C$93,MATCH(B81,Questionnaire!$A$6:$A$93,0)),""))</f>
        <v/>
      </c>
      <c r="E81" s="33"/>
      <c r="F81" s="33"/>
      <c r="G81" s="33"/>
      <c r="H81" s="33"/>
      <c r="I81" s="33"/>
      <c r="J81" s="52"/>
      <c r="K81" s="52"/>
      <c r="L81" s="33"/>
      <c r="M81" s="52"/>
      <c r="N81" s="33"/>
      <c r="O81" s="35" t="str">
        <f aca="true">IF(OR(K81="",L81="Closed",L81="Risk accepted"),"",IF(K81&lt;TODAY(),"OVERDUE",""))</f>
        <v/>
      </c>
      <c r="P81" s="35" t="str">
        <f aca="true">IF(J81="","",IF(M81&lt;&gt;"",M81-J81,TODAY()-J81))</f>
        <v/>
      </c>
    </row>
    <row r="82" customFormat="false" ht="24" hidden="false" customHeight="true" outlineLevel="0" collapsed="false">
      <c r="A82" s="33"/>
      <c r="B82" s="33"/>
      <c r="C82" s="35" t="str">
        <f aca="false">IF(B82="","",IFERROR(INDEX(Questionnaire!$B$6:$B$93,MATCH(B82,Questionnaire!$A$6:$A$93,0)),"ID not in questionnaire"))</f>
        <v/>
      </c>
      <c r="D82" s="35" t="str">
        <f aca="false">IF(B82="","",IFERROR(INDEX(Questionnaire!$C$6:$C$93,MATCH(B82,Questionnaire!$A$6:$A$93,0)),""))</f>
        <v/>
      </c>
      <c r="E82" s="33"/>
      <c r="F82" s="33"/>
      <c r="G82" s="33"/>
      <c r="H82" s="33"/>
      <c r="I82" s="33"/>
      <c r="J82" s="52"/>
      <c r="K82" s="52"/>
      <c r="L82" s="33"/>
      <c r="M82" s="52"/>
      <c r="N82" s="33"/>
      <c r="O82" s="35" t="str">
        <f aca="true">IF(OR(K82="",L82="Closed",L82="Risk accepted"),"",IF(K82&lt;TODAY(),"OVERDUE",""))</f>
        <v/>
      </c>
      <c r="P82" s="35" t="str">
        <f aca="true">IF(J82="","",IF(M82&lt;&gt;"",M82-J82,TODAY()-J82))</f>
        <v/>
      </c>
    </row>
    <row r="83" customFormat="false" ht="24" hidden="false" customHeight="true" outlineLevel="0" collapsed="false">
      <c r="A83" s="33"/>
      <c r="B83" s="33"/>
      <c r="C83" s="35" t="str">
        <f aca="false">IF(B83="","",IFERROR(INDEX(Questionnaire!$B$6:$B$93,MATCH(B83,Questionnaire!$A$6:$A$93,0)),"ID not in questionnaire"))</f>
        <v/>
      </c>
      <c r="D83" s="35" t="str">
        <f aca="false">IF(B83="","",IFERROR(INDEX(Questionnaire!$C$6:$C$93,MATCH(B83,Questionnaire!$A$6:$A$93,0)),""))</f>
        <v/>
      </c>
      <c r="E83" s="33"/>
      <c r="F83" s="33"/>
      <c r="G83" s="33"/>
      <c r="H83" s="33"/>
      <c r="I83" s="33"/>
      <c r="J83" s="52"/>
      <c r="K83" s="52"/>
      <c r="L83" s="33"/>
      <c r="M83" s="52"/>
      <c r="N83" s="33"/>
      <c r="O83" s="35" t="str">
        <f aca="true">IF(OR(K83="",L83="Closed",L83="Risk accepted"),"",IF(K83&lt;TODAY(),"OVERDUE",""))</f>
        <v/>
      </c>
      <c r="P83" s="35" t="str">
        <f aca="true">IF(J83="","",IF(M83&lt;&gt;"",M83-J83,TODAY()-J83))</f>
        <v/>
      </c>
    </row>
    <row r="84" customFormat="false" ht="24" hidden="false" customHeight="true" outlineLevel="0" collapsed="false">
      <c r="A84" s="33"/>
      <c r="B84" s="33"/>
      <c r="C84" s="35" t="str">
        <f aca="false">IF(B84="","",IFERROR(INDEX(Questionnaire!$B$6:$B$93,MATCH(B84,Questionnaire!$A$6:$A$93,0)),"ID not in questionnaire"))</f>
        <v/>
      </c>
      <c r="D84" s="35" t="str">
        <f aca="false">IF(B84="","",IFERROR(INDEX(Questionnaire!$C$6:$C$93,MATCH(B84,Questionnaire!$A$6:$A$93,0)),""))</f>
        <v/>
      </c>
      <c r="E84" s="33"/>
      <c r="F84" s="33"/>
      <c r="G84" s="33"/>
      <c r="H84" s="33"/>
      <c r="I84" s="33"/>
      <c r="J84" s="52"/>
      <c r="K84" s="52"/>
      <c r="L84" s="33"/>
      <c r="M84" s="52"/>
      <c r="N84" s="33"/>
      <c r="O84" s="35" t="str">
        <f aca="true">IF(OR(K84="",L84="Closed",L84="Risk accepted"),"",IF(K84&lt;TODAY(),"OVERDUE",""))</f>
        <v/>
      </c>
      <c r="P84" s="35" t="str">
        <f aca="true">IF(J84="","",IF(M84&lt;&gt;"",M84-J84,TODAY()-J84))</f>
        <v/>
      </c>
    </row>
    <row r="85" customFormat="false" ht="24" hidden="false" customHeight="true" outlineLevel="0" collapsed="false">
      <c r="A85" s="33"/>
      <c r="B85" s="33"/>
      <c r="C85" s="35" t="str">
        <f aca="false">IF(B85="","",IFERROR(INDEX(Questionnaire!$B$6:$B$93,MATCH(B85,Questionnaire!$A$6:$A$93,0)),"ID not in questionnaire"))</f>
        <v/>
      </c>
      <c r="D85" s="35" t="str">
        <f aca="false">IF(B85="","",IFERROR(INDEX(Questionnaire!$C$6:$C$93,MATCH(B85,Questionnaire!$A$6:$A$93,0)),""))</f>
        <v/>
      </c>
      <c r="E85" s="33"/>
      <c r="F85" s="33"/>
      <c r="G85" s="33"/>
      <c r="H85" s="33"/>
      <c r="I85" s="33"/>
      <c r="J85" s="52"/>
      <c r="K85" s="52"/>
      <c r="L85" s="33"/>
      <c r="M85" s="52"/>
      <c r="N85" s="33"/>
      <c r="O85" s="35" t="str">
        <f aca="true">IF(OR(K85="",L85="Closed",L85="Risk accepted"),"",IF(K85&lt;TODAY(),"OVERDUE",""))</f>
        <v/>
      </c>
      <c r="P85" s="35" t="str">
        <f aca="true">IF(J85="","",IF(M85&lt;&gt;"",M85-J85,TODAY()-J85))</f>
        <v/>
      </c>
    </row>
    <row r="86" customFormat="false" ht="24" hidden="false" customHeight="true" outlineLevel="0" collapsed="false">
      <c r="A86" s="33"/>
      <c r="B86" s="33"/>
      <c r="C86" s="35" t="str">
        <f aca="false">IF(B86="","",IFERROR(INDEX(Questionnaire!$B$6:$B$93,MATCH(B86,Questionnaire!$A$6:$A$93,0)),"ID not in questionnaire"))</f>
        <v/>
      </c>
      <c r="D86" s="35" t="str">
        <f aca="false">IF(B86="","",IFERROR(INDEX(Questionnaire!$C$6:$C$93,MATCH(B86,Questionnaire!$A$6:$A$93,0)),""))</f>
        <v/>
      </c>
      <c r="E86" s="33"/>
      <c r="F86" s="33"/>
      <c r="G86" s="33"/>
      <c r="H86" s="33"/>
      <c r="I86" s="33"/>
      <c r="J86" s="52"/>
      <c r="K86" s="52"/>
      <c r="L86" s="33"/>
      <c r="M86" s="52"/>
      <c r="N86" s="33"/>
      <c r="O86" s="35" t="str">
        <f aca="true">IF(OR(K86="",L86="Closed",L86="Risk accepted"),"",IF(K86&lt;TODAY(),"OVERDUE",""))</f>
        <v/>
      </c>
      <c r="P86" s="35" t="str">
        <f aca="true">IF(J86="","",IF(M86&lt;&gt;"",M86-J86,TODAY()-J86))</f>
        <v/>
      </c>
    </row>
    <row r="87" customFormat="false" ht="24" hidden="false" customHeight="true" outlineLevel="0" collapsed="false">
      <c r="A87" s="33"/>
      <c r="B87" s="33"/>
      <c r="C87" s="35" t="str">
        <f aca="false">IF(B87="","",IFERROR(INDEX(Questionnaire!$B$6:$B$93,MATCH(B87,Questionnaire!$A$6:$A$93,0)),"ID not in questionnaire"))</f>
        <v/>
      </c>
      <c r="D87" s="35" t="str">
        <f aca="false">IF(B87="","",IFERROR(INDEX(Questionnaire!$C$6:$C$93,MATCH(B87,Questionnaire!$A$6:$A$93,0)),""))</f>
        <v/>
      </c>
      <c r="E87" s="33"/>
      <c r="F87" s="33"/>
      <c r="G87" s="33"/>
      <c r="H87" s="33"/>
      <c r="I87" s="33"/>
      <c r="J87" s="52"/>
      <c r="K87" s="52"/>
      <c r="L87" s="33"/>
      <c r="M87" s="52"/>
      <c r="N87" s="33"/>
      <c r="O87" s="35" t="str">
        <f aca="true">IF(OR(K87="",L87="Closed",L87="Risk accepted"),"",IF(K87&lt;TODAY(),"OVERDUE",""))</f>
        <v/>
      </c>
      <c r="P87" s="35" t="str">
        <f aca="true">IF(J87="","",IF(M87&lt;&gt;"",M87-J87,TODAY()-J87))</f>
        <v/>
      </c>
    </row>
    <row r="88" customFormat="false" ht="24" hidden="false" customHeight="true" outlineLevel="0" collapsed="false">
      <c r="A88" s="33"/>
      <c r="B88" s="33"/>
      <c r="C88" s="35" t="str">
        <f aca="false">IF(B88="","",IFERROR(INDEX(Questionnaire!$B$6:$B$93,MATCH(B88,Questionnaire!$A$6:$A$93,0)),"ID not in questionnaire"))</f>
        <v/>
      </c>
      <c r="D88" s="35" t="str">
        <f aca="false">IF(B88="","",IFERROR(INDEX(Questionnaire!$C$6:$C$93,MATCH(B88,Questionnaire!$A$6:$A$93,0)),""))</f>
        <v/>
      </c>
      <c r="E88" s="33"/>
      <c r="F88" s="33"/>
      <c r="G88" s="33"/>
      <c r="H88" s="33"/>
      <c r="I88" s="33"/>
      <c r="J88" s="52"/>
      <c r="K88" s="52"/>
      <c r="L88" s="33"/>
      <c r="M88" s="52"/>
      <c r="N88" s="33"/>
      <c r="O88" s="35" t="str">
        <f aca="true">IF(OR(K88="",L88="Closed",L88="Risk accepted"),"",IF(K88&lt;TODAY(),"OVERDUE",""))</f>
        <v/>
      </c>
      <c r="P88" s="35" t="str">
        <f aca="true">IF(J88="","",IF(M88&lt;&gt;"",M88-J88,TODAY()-J88))</f>
        <v/>
      </c>
    </row>
    <row r="89" customFormat="false" ht="24" hidden="false" customHeight="true" outlineLevel="0" collapsed="false">
      <c r="A89" s="33"/>
      <c r="B89" s="33"/>
      <c r="C89" s="35" t="str">
        <f aca="false">IF(B89="","",IFERROR(INDEX(Questionnaire!$B$6:$B$93,MATCH(B89,Questionnaire!$A$6:$A$93,0)),"ID not in questionnaire"))</f>
        <v/>
      </c>
      <c r="D89" s="35" t="str">
        <f aca="false">IF(B89="","",IFERROR(INDEX(Questionnaire!$C$6:$C$93,MATCH(B89,Questionnaire!$A$6:$A$93,0)),""))</f>
        <v/>
      </c>
      <c r="E89" s="33"/>
      <c r="F89" s="33"/>
      <c r="G89" s="33"/>
      <c r="H89" s="33"/>
      <c r="I89" s="33"/>
      <c r="J89" s="52"/>
      <c r="K89" s="52"/>
      <c r="L89" s="33"/>
      <c r="M89" s="52"/>
      <c r="N89" s="33"/>
      <c r="O89" s="35" t="str">
        <f aca="true">IF(OR(K89="",L89="Closed",L89="Risk accepted"),"",IF(K89&lt;TODAY(),"OVERDUE",""))</f>
        <v/>
      </c>
      <c r="P89" s="35" t="str">
        <f aca="true">IF(J89="","",IF(M89&lt;&gt;"",M89-J89,TODAY()-J89))</f>
        <v/>
      </c>
    </row>
    <row r="90" customFormat="false" ht="24" hidden="false" customHeight="true" outlineLevel="0" collapsed="false">
      <c r="A90" s="33"/>
      <c r="B90" s="33"/>
      <c r="C90" s="35" t="str">
        <f aca="false">IF(B90="","",IFERROR(INDEX(Questionnaire!$B$6:$B$93,MATCH(B90,Questionnaire!$A$6:$A$93,0)),"ID not in questionnaire"))</f>
        <v/>
      </c>
      <c r="D90" s="35" t="str">
        <f aca="false">IF(B90="","",IFERROR(INDEX(Questionnaire!$C$6:$C$93,MATCH(B90,Questionnaire!$A$6:$A$93,0)),""))</f>
        <v/>
      </c>
      <c r="E90" s="33"/>
      <c r="F90" s="33"/>
      <c r="G90" s="33"/>
      <c r="H90" s="33"/>
      <c r="I90" s="33"/>
      <c r="J90" s="52"/>
      <c r="K90" s="52"/>
      <c r="L90" s="33"/>
      <c r="M90" s="52"/>
      <c r="N90" s="33"/>
      <c r="O90" s="35" t="str">
        <f aca="true">IF(OR(K90="",L90="Closed",L90="Risk accepted"),"",IF(K90&lt;TODAY(),"OVERDUE",""))</f>
        <v/>
      </c>
      <c r="P90" s="35" t="str">
        <f aca="true">IF(J90="","",IF(M90&lt;&gt;"",M90-J90,TODAY()-J90))</f>
        <v/>
      </c>
    </row>
    <row r="91" customFormat="false" ht="24" hidden="false" customHeight="true" outlineLevel="0" collapsed="false">
      <c r="A91" s="33"/>
      <c r="B91" s="33"/>
      <c r="C91" s="35" t="str">
        <f aca="false">IF(B91="","",IFERROR(INDEX(Questionnaire!$B$6:$B$93,MATCH(B91,Questionnaire!$A$6:$A$93,0)),"ID not in questionnaire"))</f>
        <v/>
      </c>
      <c r="D91" s="35" t="str">
        <f aca="false">IF(B91="","",IFERROR(INDEX(Questionnaire!$C$6:$C$93,MATCH(B91,Questionnaire!$A$6:$A$93,0)),""))</f>
        <v/>
      </c>
      <c r="E91" s="33"/>
      <c r="F91" s="33"/>
      <c r="G91" s="33"/>
      <c r="H91" s="33"/>
      <c r="I91" s="33"/>
      <c r="J91" s="52"/>
      <c r="K91" s="52"/>
      <c r="L91" s="33"/>
      <c r="M91" s="52"/>
      <c r="N91" s="33"/>
      <c r="O91" s="35" t="str">
        <f aca="true">IF(OR(K91="",L91="Closed",L91="Risk accepted"),"",IF(K91&lt;TODAY(),"OVERDUE",""))</f>
        <v/>
      </c>
      <c r="P91" s="35" t="str">
        <f aca="true">IF(J91="","",IF(M91&lt;&gt;"",M91-J91,TODAY()-J91))</f>
        <v/>
      </c>
    </row>
    <row r="92" customFormat="false" ht="24" hidden="false" customHeight="true" outlineLevel="0" collapsed="false">
      <c r="A92" s="33"/>
      <c r="B92" s="33"/>
      <c r="C92" s="35" t="str">
        <f aca="false">IF(B92="","",IFERROR(INDEX(Questionnaire!$B$6:$B$93,MATCH(B92,Questionnaire!$A$6:$A$93,0)),"ID not in questionnaire"))</f>
        <v/>
      </c>
      <c r="D92" s="35" t="str">
        <f aca="false">IF(B92="","",IFERROR(INDEX(Questionnaire!$C$6:$C$93,MATCH(B92,Questionnaire!$A$6:$A$93,0)),""))</f>
        <v/>
      </c>
      <c r="E92" s="33"/>
      <c r="F92" s="33"/>
      <c r="G92" s="33"/>
      <c r="H92" s="33"/>
      <c r="I92" s="33"/>
      <c r="J92" s="52"/>
      <c r="K92" s="52"/>
      <c r="L92" s="33"/>
      <c r="M92" s="52"/>
      <c r="N92" s="33"/>
      <c r="O92" s="35" t="str">
        <f aca="true">IF(OR(K92="",L92="Closed",L92="Risk accepted"),"",IF(K92&lt;TODAY(),"OVERDUE",""))</f>
        <v/>
      </c>
      <c r="P92" s="35" t="str">
        <f aca="true">IF(J92="","",IF(M92&lt;&gt;"",M92-J92,TODAY()-J92))</f>
        <v/>
      </c>
    </row>
    <row r="93" customFormat="false" ht="24" hidden="false" customHeight="true" outlineLevel="0" collapsed="false">
      <c r="A93" s="33"/>
      <c r="B93" s="33"/>
      <c r="C93" s="35" t="str">
        <f aca="false">IF(B93="","",IFERROR(INDEX(Questionnaire!$B$6:$B$93,MATCH(B93,Questionnaire!$A$6:$A$93,0)),"ID not in questionnaire"))</f>
        <v/>
      </c>
      <c r="D93" s="35" t="str">
        <f aca="false">IF(B93="","",IFERROR(INDEX(Questionnaire!$C$6:$C$93,MATCH(B93,Questionnaire!$A$6:$A$93,0)),""))</f>
        <v/>
      </c>
      <c r="E93" s="33"/>
      <c r="F93" s="33"/>
      <c r="G93" s="33"/>
      <c r="H93" s="33"/>
      <c r="I93" s="33"/>
      <c r="J93" s="52"/>
      <c r="K93" s="52"/>
      <c r="L93" s="33"/>
      <c r="M93" s="52"/>
      <c r="N93" s="33"/>
      <c r="O93" s="35" t="str">
        <f aca="true">IF(OR(K93="",L93="Closed",L93="Risk accepted"),"",IF(K93&lt;TODAY(),"OVERDUE",""))</f>
        <v/>
      </c>
      <c r="P93" s="35" t="str">
        <f aca="true">IF(J93="","",IF(M93&lt;&gt;"",M93-J93,TODAY()-J93))</f>
        <v/>
      </c>
    </row>
    <row r="94" customFormat="false" ht="24" hidden="false" customHeight="true" outlineLevel="0" collapsed="false">
      <c r="A94" s="33"/>
      <c r="B94" s="33"/>
      <c r="C94" s="35" t="str">
        <f aca="false">IF(B94="","",IFERROR(INDEX(Questionnaire!$B$6:$B$93,MATCH(B94,Questionnaire!$A$6:$A$93,0)),"ID not in questionnaire"))</f>
        <v/>
      </c>
      <c r="D94" s="35" t="str">
        <f aca="false">IF(B94="","",IFERROR(INDEX(Questionnaire!$C$6:$C$93,MATCH(B94,Questionnaire!$A$6:$A$93,0)),""))</f>
        <v/>
      </c>
      <c r="E94" s="33"/>
      <c r="F94" s="33"/>
      <c r="G94" s="33"/>
      <c r="H94" s="33"/>
      <c r="I94" s="33"/>
      <c r="J94" s="52"/>
      <c r="K94" s="52"/>
      <c r="L94" s="33"/>
      <c r="M94" s="52"/>
      <c r="N94" s="33"/>
      <c r="O94" s="35" t="str">
        <f aca="true">IF(OR(K94="",L94="Closed",L94="Risk accepted"),"",IF(K94&lt;TODAY(),"OVERDUE",""))</f>
        <v/>
      </c>
      <c r="P94" s="35" t="str">
        <f aca="true">IF(J94="","",IF(M94&lt;&gt;"",M94-J94,TODAY()-J94))</f>
        <v/>
      </c>
    </row>
    <row r="95" customFormat="false" ht="24" hidden="false" customHeight="true" outlineLevel="0" collapsed="false">
      <c r="A95" s="33"/>
      <c r="B95" s="33"/>
      <c r="C95" s="35" t="str">
        <f aca="false">IF(B95="","",IFERROR(INDEX(Questionnaire!$B$6:$B$93,MATCH(B95,Questionnaire!$A$6:$A$93,0)),"ID not in questionnaire"))</f>
        <v/>
      </c>
      <c r="D95" s="35" t="str">
        <f aca="false">IF(B95="","",IFERROR(INDEX(Questionnaire!$C$6:$C$93,MATCH(B95,Questionnaire!$A$6:$A$93,0)),""))</f>
        <v/>
      </c>
      <c r="E95" s="33"/>
      <c r="F95" s="33"/>
      <c r="G95" s="33"/>
      <c r="H95" s="33"/>
      <c r="I95" s="33"/>
      <c r="J95" s="52"/>
      <c r="K95" s="52"/>
      <c r="L95" s="33"/>
      <c r="M95" s="52"/>
      <c r="N95" s="33"/>
      <c r="O95" s="35" t="str">
        <f aca="true">IF(OR(K95="",L95="Closed",L95="Risk accepted"),"",IF(K95&lt;TODAY(),"OVERDUE",""))</f>
        <v/>
      </c>
      <c r="P95" s="35" t="str">
        <f aca="true">IF(J95="","",IF(M95&lt;&gt;"",M95-J95,TODAY()-J95))</f>
        <v/>
      </c>
    </row>
    <row r="96" customFormat="false" ht="24" hidden="false" customHeight="true" outlineLevel="0" collapsed="false">
      <c r="A96" s="33"/>
      <c r="B96" s="33"/>
      <c r="C96" s="35" t="str">
        <f aca="false">IF(B96="","",IFERROR(INDEX(Questionnaire!$B$6:$B$93,MATCH(B96,Questionnaire!$A$6:$A$93,0)),"ID not in questionnaire"))</f>
        <v/>
      </c>
      <c r="D96" s="35" t="str">
        <f aca="false">IF(B96="","",IFERROR(INDEX(Questionnaire!$C$6:$C$93,MATCH(B96,Questionnaire!$A$6:$A$93,0)),""))</f>
        <v/>
      </c>
      <c r="E96" s="33"/>
      <c r="F96" s="33"/>
      <c r="G96" s="33"/>
      <c r="H96" s="33"/>
      <c r="I96" s="33"/>
      <c r="J96" s="52"/>
      <c r="K96" s="52"/>
      <c r="L96" s="33"/>
      <c r="M96" s="52"/>
      <c r="N96" s="33"/>
      <c r="O96" s="35" t="str">
        <f aca="true">IF(OR(K96="",L96="Closed",L96="Risk accepted"),"",IF(K96&lt;TODAY(),"OVERDUE",""))</f>
        <v/>
      </c>
      <c r="P96" s="35" t="str">
        <f aca="true">IF(J96="","",IF(M96&lt;&gt;"",M96-J96,TODAY()-J96))</f>
        <v/>
      </c>
    </row>
    <row r="97" customFormat="false" ht="24" hidden="false" customHeight="true" outlineLevel="0" collapsed="false">
      <c r="A97" s="33"/>
      <c r="B97" s="33"/>
      <c r="C97" s="35" t="str">
        <f aca="false">IF(B97="","",IFERROR(INDEX(Questionnaire!$B$6:$B$93,MATCH(B97,Questionnaire!$A$6:$A$93,0)),"ID not in questionnaire"))</f>
        <v/>
      </c>
      <c r="D97" s="35" t="str">
        <f aca="false">IF(B97="","",IFERROR(INDEX(Questionnaire!$C$6:$C$93,MATCH(B97,Questionnaire!$A$6:$A$93,0)),""))</f>
        <v/>
      </c>
      <c r="E97" s="33"/>
      <c r="F97" s="33"/>
      <c r="G97" s="33"/>
      <c r="H97" s="33"/>
      <c r="I97" s="33"/>
      <c r="J97" s="52"/>
      <c r="K97" s="52"/>
      <c r="L97" s="33"/>
      <c r="M97" s="52"/>
      <c r="N97" s="33"/>
      <c r="O97" s="35" t="str">
        <f aca="true">IF(OR(K97="",L97="Closed",L97="Risk accepted"),"",IF(K97&lt;TODAY(),"OVERDUE",""))</f>
        <v/>
      </c>
      <c r="P97" s="35" t="str">
        <f aca="true">IF(J97="","",IF(M97&lt;&gt;"",M97-J97,TODAY()-J97))</f>
        <v/>
      </c>
    </row>
    <row r="98" customFormat="false" ht="24" hidden="false" customHeight="true" outlineLevel="0" collapsed="false">
      <c r="A98" s="33"/>
      <c r="B98" s="33"/>
      <c r="C98" s="35" t="str">
        <f aca="false">IF(B98="","",IFERROR(INDEX(Questionnaire!$B$6:$B$93,MATCH(B98,Questionnaire!$A$6:$A$93,0)),"ID not in questionnaire"))</f>
        <v/>
      </c>
      <c r="D98" s="35" t="str">
        <f aca="false">IF(B98="","",IFERROR(INDEX(Questionnaire!$C$6:$C$93,MATCH(B98,Questionnaire!$A$6:$A$93,0)),""))</f>
        <v/>
      </c>
      <c r="E98" s="33"/>
      <c r="F98" s="33"/>
      <c r="G98" s="33"/>
      <c r="H98" s="33"/>
      <c r="I98" s="33"/>
      <c r="J98" s="52"/>
      <c r="K98" s="52"/>
      <c r="L98" s="33"/>
      <c r="M98" s="52"/>
      <c r="N98" s="33"/>
      <c r="O98" s="35" t="str">
        <f aca="true">IF(OR(K98="",L98="Closed",L98="Risk accepted"),"",IF(K98&lt;TODAY(),"OVERDUE",""))</f>
        <v/>
      </c>
      <c r="P98" s="35" t="str">
        <f aca="true">IF(J98="","",IF(M98&lt;&gt;"",M98-J98,TODAY()-J98))</f>
        <v/>
      </c>
    </row>
    <row r="99" customFormat="false" ht="24" hidden="false" customHeight="true" outlineLevel="0" collapsed="false">
      <c r="A99" s="33"/>
      <c r="B99" s="33"/>
      <c r="C99" s="35" t="str">
        <f aca="false">IF(B99="","",IFERROR(INDEX(Questionnaire!$B$6:$B$93,MATCH(B99,Questionnaire!$A$6:$A$93,0)),"ID not in questionnaire"))</f>
        <v/>
      </c>
      <c r="D99" s="35" t="str">
        <f aca="false">IF(B99="","",IFERROR(INDEX(Questionnaire!$C$6:$C$93,MATCH(B99,Questionnaire!$A$6:$A$93,0)),""))</f>
        <v/>
      </c>
      <c r="E99" s="33"/>
      <c r="F99" s="33"/>
      <c r="G99" s="33"/>
      <c r="H99" s="33"/>
      <c r="I99" s="33"/>
      <c r="J99" s="52"/>
      <c r="K99" s="52"/>
      <c r="L99" s="33"/>
      <c r="M99" s="52"/>
      <c r="N99" s="33"/>
      <c r="O99" s="35" t="str">
        <f aca="true">IF(OR(K99="",L99="Closed",L99="Risk accepted"),"",IF(K99&lt;TODAY(),"OVERDUE",""))</f>
        <v/>
      </c>
      <c r="P99" s="35" t="str">
        <f aca="true">IF(J99="","",IF(M99&lt;&gt;"",M99-J99,TODAY()-J99))</f>
        <v/>
      </c>
    </row>
    <row r="100" customFormat="false" ht="24" hidden="false" customHeight="true" outlineLevel="0" collapsed="false">
      <c r="A100" s="33"/>
      <c r="B100" s="33"/>
      <c r="C100" s="35" t="str">
        <f aca="false">IF(B100="","",IFERROR(INDEX(Questionnaire!$B$6:$B$93,MATCH(B100,Questionnaire!$A$6:$A$93,0)),"ID not in questionnaire"))</f>
        <v/>
      </c>
      <c r="D100" s="35" t="str">
        <f aca="false">IF(B100="","",IFERROR(INDEX(Questionnaire!$C$6:$C$93,MATCH(B100,Questionnaire!$A$6:$A$93,0)),""))</f>
        <v/>
      </c>
      <c r="E100" s="33"/>
      <c r="F100" s="33"/>
      <c r="G100" s="33"/>
      <c r="H100" s="33"/>
      <c r="I100" s="33"/>
      <c r="J100" s="52"/>
      <c r="K100" s="52"/>
      <c r="L100" s="33"/>
      <c r="M100" s="52"/>
      <c r="N100" s="33"/>
      <c r="O100" s="35" t="str">
        <f aca="true">IF(OR(K100="",L100="Closed",L100="Risk accepted"),"",IF(K100&lt;TODAY(),"OVERDUE",""))</f>
        <v/>
      </c>
      <c r="P100" s="35" t="str">
        <f aca="true">IF(J100="","",IF(M100&lt;&gt;"",M100-J100,TODAY()-J100))</f>
        <v/>
      </c>
    </row>
    <row r="101" customFormat="false" ht="24" hidden="false" customHeight="true" outlineLevel="0" collapsed="false">
      <c r="A101" s="33"/>
      <c r="B101" s="33"/>
      <c r="C101" s="35" t="str">
        <f aca="false">IF(B101="","",IFERROR(INDEX(Questionnaire!$B$6:$B$93,MATCH(B101,Questionnaire!$A$6:$A$93,0)),"ID not in questionnaire"))</f>
        <v/>
      </c>
      <c r="D101" s="35" t="str">
        <f aca="false">IF(B101="","",IFERROR(INDEX(Questionnaire!$C$6:$C$93,MATCH(B101,Questionnaire!$A$6:$A$93,0)),""))</f>
        <v/>
      </c>
      <c r="E101" s="33"/>
      <c r="F101" s="33"/>
      <c r="G101" s="33"/>
      <c r="H101" s="33"/>
      <c r="I101" s="33"/>
      <c r="J101" s="52"/>
      <c r="K101" s="52"/>
      <c r="L101" s="33"/>
      <c r="M101" s="52"/>
      <c r="N101" s="33"/>
      <c r="O101" s="35" t="str">
        <f aca="true">IF(OR(K101="",L101="Closed",L101="Risk accepted"),"",IF(K101&lt;TODAY(),"OVERDUE",""))</f>
        <v/>
      </c>
      <c r="P101" s="35" t="str">
        <f aca="true">IF(J101="","",IF(M101&lt;&gt;"",M101-J101,TODAY()-J101))</f>
        <v/>
      </c>
    </row>
    <row r="102" customFormat="false" ht="24" hidden="false" customHeight="true" outlineLevel="0" collapsed="false">
      <c r="A102" s="33"/>
      <c r="B102" s="33"/>
      <c r="C102" s="35" t="str">
        <f aca="false">IF(B102="","",IFERROR(INDEX(Questionnaire!$B$6:$B$93,MATCH(B102,Questionnaire!$A$6:$A$93,0)),"ID not in questionnaire"))</f>
        <v/>
      </c>
      <c r="D102" s="35" t="str">
        <f aca="false">IF(B102="","",IFERROR(INDEX(Questionnaire!$C$6:$C$93,MATCH(B102,Questionnaire!$A$6:$A$93,0)),""))</f>
        <v/>
      </c>
      <c r="E102" s="33"/>
      <c r="F102" s="33"/>
      <c r="G102" s="33"/>
      <c r="H102" s="33"/>
      <c r="I102" s="33"/>
      <c r="J102" s="52"/>
      <c r="K102" s="52"/>
      <c r="L102" s="33"/>
      <c r="M102" s="52"/>
      <c r="N102" s="33"/>
      <c r="O102" s="35" t="str">
        <f aca="true">IF(OR(K102="",L102="Closed",L102="Risk accepted"),"",IF(K102&lt;TODAY(),"OVERDUE",""))</f>
        <v/>
      </c>
      <c r="P102" s="35" t="str">
        <f aca="true">IF(J102="","",IF(M102&lt;&gt;"",M102-J102,TODAY()-J102))</f>
        <v/>
      </c>
    </row>
    <row r="103" customFormat="false" ht="24" hidden="false" customHeight="true" outlineLevel="0" collapsed="false">
      <c r="A103" s="33"/>
      <c r="B103" s="33"/>
      <c r="C103" s="35" t="str">
        <f aca="false">IF(B103="","",IFERROR(INDEX(Questionnaire!$B$6:$B$93,MATCH(B103,Questionnaire!$A$6:$A$93,0)),"ID not in questionnaire"))</f>
        <v/>
      </c>
      <c r="D103" s="35" t="str">
        <f aca="false">IF(B103="","",IFERROR(INDEX(Questionnaire!$C$6:$C$93,MATCH(B103,Questionnaire!$A$6:$A$93,0)),""))</f>
        <v/>
      </c>
      <c r="E103" s="33"/>
      <c r="F103" s="33"/>
      <c r="G103" s="33"/>
      <c r="H103" s="33"/>
      <c r="I103" s="33"/>
      <c r="J103" s="52"/>
      <c r="K103" s="52"/>
      <c r="L103" s="33"/>
      <c r="M103" s="52"/>
      <c r="N103" s="33"/>
      <c r="O103" s="35" t="str">
        <f aca="true">IF(OR(K103="",L103="Closed",L103="Risk accepted"),"",IF(K103&lt;TODAY(),"OVERDUE",""))</f>
        <v/>
      </c>
      <c r="P103" s="35" t="str">
        <f aca="true">IF(J103="","",IF(M103&lt;&gt;"",M103-J103,TODAY()-J103))</f>
        <v/>
      </c>
    </row>
    <row r="104" customFormat="false" ht="24" hidden="false" customHeight="true" outlineLevel="0" collapsed="false">
      <c r="A104" s="33"/>
      <c r="B104" s="33"/>
      <c r="C104" s="35" t="str">
        <f aca="false">IF(B104="","",IFERROR(INDEX(Questionnaire!$B$6:$B$93,MATCH(B104,Questionnaire!$A$6:$A$93,0)),"ID not in questionnaire"))</f>
        <v/>
      </c>
      <c r="D104" s="35" t="str">
        <f aca="false">IF(B104="","",IFERROR(INDEX(Questionnaire!$C$6:$C$93,MATCH(B104,Questionnaire!$A$6:$A$93,0)),""))</f>
        <v/>
      </c>
      <c r="E104" s="33"/>
      <c r="F104" s="33"/>
      <c r="G104" s="33"/>
      <c r="H104" s="33"/>
      <c r="I104" s="33"/>
      <c r="J104" s="52"/>
      <c r="K104" s="52"/>
      <c r="L104" s="33"/>
      <c r="M104" s="52"/>
      <c r="N104" s="33"/>
      <c r="O104" s="35" t="str">
        <f aca="true">IF(OR(K104="",L104="Closed",L104="Risk accepted"),"",IF(K104&lt;TODAY(),"OVERDUE",""))</f>
        <v/>
      </c>
      <c r="P104" s="35" t="str">
        <f aca="true">IF(J104="","",IF(M104&lt;&gt;"",M104-J104,TODAY()-J104))</f>
        <v/>
      </c>
    </row>
    <row r="105" customFormat="false" ht="24" hidden="false" customHeight="true" outlineLevel="0" collapsed="false">
      <c r="A105" s="33"/>
      <c r="B105" s="33"/>
      <c r="C105" s="35" t="str">
        <f aca="false">IF(B105="","",IFERROR(INDEX(Questionnaire!$B$6:$B$93,MATCH(B105,Questionnaire!$A$6:$A$93,0)),"ID not in questionnaire"))</f>
        <v/>
      </c>
      <c r="D105" s="35" t="str">
        <f aca="false">IF(B105="","",IFERROR(INDEX(Questionnaire!$C$6:$C$93,MATCH(B105,Questionnaire!$A$6:$A$93,0)),""))</f>
        <v/>
      </c>
      <c r="E105" s="33"/>
      <c r="F105" s="33"/>
      <c r="G105" s="33"/>
      <c r="H105" s="33"/>
      <c r="I105" s="33"/>
      <c r="J105" s="52"/>
      <c r="K105" s="52"/>
      <c r="L105" s="33"/>
      <c r="M105" s="52"/>
      <c r="N105" s="33"/>
      <c r="O105" s="35" t="str">
        <f aca="true">IF(OR(K105="",L105="Closed",L105="Risk accepted"),"",IF(K105&lt;TODAY(),"OVERDUE",""))</f>
        <v/>
      </c>
      <c r="P105" s="35" t="str">
        <f aca="true">IF(J105="","",IF(M105&lt;&gt;"",M105-J105,TODAY()-J105))</f>
        <v/>
      </c>
    </row>
  </sheetData>
  <autoFilter ref="A5:P105"/>
  <conditionalFormatting sqref="O6:O105">
    <cfRule type="cellIs" priority="2" operator="equal" aboveAverage="0" equalAverage="0" bottom="0" percent="0" rank="0" text="" dxfId="3">
      <formula>"OVERDUE"</formula>
    </cfRule>
  </conditionalFormatting>
  <dataValidations count="4">
    <dataValidation allowBlank="true" errorStyle="stop" operator="between" showDropDown="false" showErrorMessage="false" showInputMessage="false" sqref="B6:B105" type="list">
      <formula1>Questionnaire!$A$6:$A$93</formula1>
      <formula2>0</formula2>
    </dataValidation>
    <dataValidation allowBlank="true" error="Pick a value from the list" errorStyle="stop" errorTitle="Not in list" operator="between" showDropDown="false" showErrorMessage="false" showInputMessage="false" sqref="G6:G105" type="list">
      <formula1>Lists!$H$6:$H$11</formula1>
      <formula2>0</formula2>
    </dataValidation>
    <dataValidation allowBlank="true" error="Pick a value from the list" errorStyle="stop" errorTitle="Not in list" operator="between" showDropDown="false" showErrorMessage="false" showInputMessage="false" sqref="L6:L105" type="list">
      <formula1>Lists!$I$6:$I$9</formula1>
      <formula2>0</formula2>
    </dataValidation>
    <dataValidation allowBlank="true" error="Pick a value from the list" errorStyle="stop" errorTitle="Not in list" operator="between" showDropDown="false" showErrorMessage="false" showInputMessage="false" sqref="N6:N105" type="list">
      <formula1>Lists!$D$6:$D$7</formula1>
      <formula2>0</formula2>
    </dataValidation>
  </dataValidation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78"/>
    <col collapsed="false" customWidth="true" hidden="false" outlineLevel="0" max="3" min="3" style="0" width="62"/>
  </cols>
  <sheetData>
    <row r="1" customFormat="false" ht="48" hidden="false" customHeight="true" outlineLevel="0" collapsed="false">
      <c r="B1" s="1" t="s">
        <v>555</v>
      </c>
    </row>
    <row r="2" customFormat="false" ht="18" hidden="false" customHeight="true" outlineLevel="0" collapsed="false">
      <c r="B2" s="2" t="s">
        <v>1</v>
      </c>
    </row>
    <row r="3" customFormat="false" ht="3.75" hidden="false" customHeight="true" outlineLevel="0" collapsed="false">
      <c r="A3" s="3"/>
      <c r="B3" s="3"/>
      <c r="C3" s="3"/>
    </row>
    <row r="5" customFormat="false" ht="15" hidden="false" customHeight="false" outlineLevel="0" collapsed="false">
      <c r="B5" s="6" t="s">
        <v>556</v>
      </c>
      <c r="C5" s="6" t="s">
        <v>557</v>
      </c>
    </row>
    <row r="6" customFormat="false" ht="82.5" hidden="false" customHeight="true" outlineLevel="0" collapsed="false">
      <c r="B6" s="53" t="s">
        <v>558</v>
      </c>
      <c r="C6" s="54" t="s">
        <v>559</v>
      </c>
    </row>
    <row r="7" customFormat="false" ht="52.5" hidden="false" customHeight="true" outlineLevel="0" collapsed="false">
      <c r="B7" s="53" t="s">
        <v>560</v>
      </c>
      <c r="C7" s="54" t="s">
        <v>561</v>
      </c>
    </row>
    <row r="8" customFormat="false" ht="37.5" hidden="false" customHeight="true" outlineLevel="0" collapsed="false">
      <c r="B8" s="53" t="s">
        <v>562</v>
      </c>
      <c r="C8" s="54" t="s">
        <v>563</v>
      </c>
    </row>
    <row r="9" customFormat="false" ht="67.5" hidden="false" customHeight="true" outlineLevel="0" collapsed="false">
      <c r="B9" s="53" t="s">
        <v>564</v>
      </c>
      <c r="C9" s="54" t="s">
        <v>565</v>
      </c>
    </row>
    <row r="11" customFormat="false" ht="43.5" hidden="false" customHeight="true" outlineLevel="0" collapsed="false">
      <c r="B11" s="55" t="s">
        <v>566</v>
      </c>
    </row>
  </sheetData>
  <hyperlinks>
    <hyperlink ref="C6" r:id="rId1" display="https://eur-lex.europa.eu/eli/reg/2024/1689/oj"/>
    <hyperlink ref="C7" r:id="rId2" display="https://www.iso.org/standard/81230.html"/>
    <hyperlink ref="C8" r:id="rId3" display="https://www.nist.gov/itl/ai-risk-management-framework"/>
    <hyperlink ref="C9" r:id="rId4" display="https://genai.owasp.org/llm-top-10/"/>
  </hyperlinks>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9" min="2" style="0" width="34"/>
  </cols>
  <sheetData>
    <row r="1" customFormat="false" ht="48" hidden="false" customHeight="true" outlineLevel="0" collapsed="false">
      <c r="B1" s="1" t="s">
        <v>567</v>
      </c>
    </row>
    <row r="2" customFormat="false" ht="18" hidden="false" customHeight="true" outlineLevel="0" collapsed="false">
      <c r="B2" s="2" t="s">
        <v>1</v>
      </c>
    </row>
    <row r="3" customFormat="false" ht="3.75" hidden="false" customHeight="true" outlineLevel="0" collapsed="false">
      <c r="A3" s="3"/>
      <c r="B3" s="3"/>
      <c r="C3" s="3"/>
      <c r="D3" s="3"/>
      <c r="E3" s="3"/>
      <c r="F3" s="3"/>
      <c r="G3" s="3"/>
      <c r="H3" s="3"/>
      <c r="I3" s="3"/>
    </row>
    <row r="5" customFormat="false" ht="15" hidden="false" customHeight="false" outlineLevel="0" collapsed="false">
      <c r="A5" s="6" t="s">
        <v>568</v>
      </c>
      <c r="B5" s="6" t="s">
        <v>569</v>
      </c>
      <c r="C5" s="6" t="s">
        <v>570</v>
      </c>
      <c r="D5" s="6" t="s">
        <v>571</v>
      </c>
      <c r="E5" s="6" t="s">
        <v>572</v>
      </c>
      <c r="F5" s="6" t="s">
        <v>573</v>
      </c>
      <c r="G5" s="6" t="s">
        <v>574</v>
      </c>
      <c r="H5" s="6" t="s">
        <v>575</v>
      </c>
      <c r="I5" s="6" t="s">
        <v>576</v>
      </c>
    </row>
    <row r="6" customFormat="false" ht="15" hidden="false" customHeight="false" outlineLevel="0" collapsed="false">
      <c r="A6" s="56" t="s">
        <v>71</v>
      </c>
      <c r="B6" s="56" t="n">
        <v>0</v>
      </c>
      <c r="C6" s="56" t="n">
        <v>1</v>
      </c>
      <c r="D6" s="56" t="s">
        <v>71</v>
      </c>
      <c r="E6" s="56" t="s">
        <v>101</v>
      </c>
      <c r="F6" s="56" t="s">
        <v>577</v>
      </c>
      <c r="G6" s="56" t="s">
        <v>81</v>
      </c>
      <c r="H6" s="56" t="s">
        <v>545</v>
      </c>
      <c r="I6" s="56" t="s">
        <v>548</v>
      </c>
    </row>
    <row r="7" customFormat="false" ht="15" hidden="false" customHeight="false" outlineLevel="0" collapsed="false">
      <c r="A7" s="56" t="s">
        <v>134</v>
      </c>
      <c r="B7" s="56" t="n">
        <v>1</v>
      </c>
      <c r="C7" s="56" t="n">
        <v>2</v>
      </c>
      <c r="D7" s="56" t="s">
        <v>73</v>
      </c>
      <c r="E7" s="56" t="s">
        <v>86</v>
      </c>
      <c r="F7" s="56" t="s">
        <v>63</v>
      </c>
      <c r="G7" s="56" t="s">
        <v>578</v>
      </c>
      <c r="H7" s="56" t="s">
        <v>552</v>
      </c>
      <c r="I7" s="56" t="s">
        <v>554</v>
      </c>
    </row>
    <row r="8" customFormat="false" ht="15" hidden="false" customHeight="false" outlineLevel="0" collapsed="false">
      <c r="A8" s="56" t="s">
        <v>73</v>
      </c>
      <c r="B8" s="56" t="n">
        <v>2</v>
      </c>
      <c r="C8" s="56" t="n">
        <v>3</v>
      </c>
      <c r="E8" s="56" t="s">
        <v>102</v>
      </c>
      <c r="F8" s="56" t="s">
        <v>579</v>
      </c>
      <c r="G8" s="56" t="s">
        <v>580</v>
      </c>
      <c r="H8" s="56" t="s">
        <v>581</v>
      </c>
      <c r="I8" s="56" t="s">
        <v>582</v>
      </c>
    </row>
    <row r="9" customFormat="false" ht="15" hidden="false" customHeight="false" outlineLevel="0" collapsed="false">
      <c r="A9" s="56" t="s">
        <v>432</v>
      </c>
      <c r="B9" s="56" t="n">
        <v>3</v>
      </c>
      <c r="E9" s="56" t="s">
        <v>103</v>
      </c>
      <c r="F9" s="56" t="s">
        <v>583</v>
      </c>
      <c r="G9" s="56" t="s">
        <v>584</v>
      </c>
      <c r="H9" s="56" t="s">
        <v>585</v>
      </c>
      <c r="I9" s="56" t="s">
        <v>586</v>
      </c>
    </row>
    <row r="10" customFormat="false" ht="15" hidden="false" customHeight="false" outlineLevel="0" collapsed="false">
      <c r="F10" s="56" t="s">
        <v>587</v>
      </c>
      <c r="G10" s="56" t="s">
        <v>588</v>
      </c>
      <c r="H10" s="56" t="s">
        <v>589</v>
      </c>
    </row>
    <row r="11" customFormat="false" ht="15" hidden="false" customHeight="false" outlineLevel="0" collapsed="false">
      <c r="F11" s="56" t="s">
        <v>590</v>
      </c>
      <c r="G11" s="56" t="s">
        <v>591</v>
      </c>
      <c r="H11" s="56" t="s">
        <v>592</v>
      </c>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2026-10-27T13:43:57Z</dcterms:created>
  <dc:creator>John Bommeraveni Joseph - GRC Made Simple</dc:creator>
  <dc:description/>
  <dc:language>en-CA</dc:language>
  <cp:lastModifiedBy/>
  <dcterms:modified xsi:type="dcterms:W3CDTF">2026-10-27T13:43:58Z</dcterms:modified>
  <cp:revision>0</cp:revision>
  <dc:subject/>
  <dc:title>AI Vendor Due-Diligence Questionnaire</dc:title>
</cp:coreProperties>
</file>

<file path=docProps/custom.xml><?xml version="1.0" encoding="utf-8"?>
<Properties xmlns="http://schemas.openxmlformats.org/officeDocument/2006/custom-properties" xmlns:vt="http://schemas.openxmlformats.org/officeDocument/2006/docPropsVTypes"/>
</file>